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1" activeTab="1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VALUE" sheetId="2" state="visible" r:id="rId2"/>
    <sheet xmlns:r="http://schemas.openxmlformats.org/officeDocument/2006/relationships" name="GROWTH" sheetId="3" state="visible" r:id="rId3"/>
    <sheet xmlns:r="http://schemas.openxmlformats.org/officeDocument/2006/relationships" name="QUALITY" sheetId="4" state="visible" r:id="rId4"/>
    <sheet xmlns:r="http://schemas.openxmlformats.org/officeDocument/2006/relationships" name="MOMENTUM" sheetId="5" state="visible" r:id="rId5"/>
    <sheet xmlns:r="http://schemas.openxmlformats.org/officeDocument/2006/relationships" name="PAR SECTEUR" sheetId="6" state="visible" r:id="rId6"/>
    <sheet xmlns:r="http://schemas.openxmlformats.org/officeDocument/2006/relationships" name="SECTOR OVERVIEW" sheetId="7" state="visible" r:id="rId7"/>
    <sheet xmlns:r="http://schemas.openxmlformats.org/officeDocument/2006/relationships" name="TECHNOLOGY" sheetId="8" state="visible" r:id="rId8"/>
    <sheet xmlns:r="http://schemas.openxmlformats.org/officeDocument/2006/relationships" name="CONSUMER DISC." sheetId="9" state="visible" r:id="rId9"/>
    <sheet xmlns:r="http://schemas.openxmlformats.org/officeDocument/2006/relationships" name="FINANCIALS" sheetId="10" state="visible" r:id="rId10"/>
    <sheet xmlns:r="http://schemas.openxmlformats.org/officeDocument/2006/relationships" name="INDUSTRIALS" sheetId="11" state="hidden" r:id="rId11"/>
    <sheet xmlns:r="http://schemas.openxmlformats.org/officeDocument/2006/relationships" name="HEALTHCARE" sheetId="12" state="visible" r:id="rId12"/>
    <sheet xmlns:r="http://schemas.openxmlformats.org/officeDocument/2006/relationships" name="ENERGY" sheetId="13" state="visible" r:id="rId13"/>
    <sheet xmlns:r="http://schemas.openxmlformats.org/officeDocument/2006/relationships" name="MATERIALS" sheetId="14" state="visible" r:id="rId14"/>
    <sheet xmlns:r="http://schemas.openxmlformats.org/officeDocument/2006/relationships" name="REAL ESTATE" sheetId="15" state="visible" r:id="rId15"/>
    <sheet xmlns:r="http://schemas.openxmlformats.org/officeDocument/2006/relationships" name="DONNÉES BRUTES" sheetId="16" state="hidden" r:id="rId1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9">
    <font>
      <name val="Calibri"/>
      <family val="2"/>
      <color theme="1"/>
      <sz val="11"/>
      <scheme val="minor"/>
    </font>
    <font>
      <name val="Calibri"/>
      <family val="2"/>
      <color rgb="FF0D0D0D"/>
      <sz val="8"/>
    </font>
    <font>
      <name val="Calibri"/>
      <family val="2"/>
      <b val="1"/>
      <color rgb="FFFFFFFF"/>
      <sz val="7"/>
    </font>
    <font>
      <name val="Calibri"/>
      <family val="2"/>
      <color rgb="FF0D0D0D"/>
      <sz val="7"/>
    </font>
    <font>
      <name val="Calibri"/>
      <family val="2"/>
      <color theme="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i val="1"/>
      <color rgb="FF6B7A99"/>
      <sz val="8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color rgb="FF0D0D0D"/>
      <sz val="8"/>
      <scheme val="minor"/>
    </font>
    <font>
      <name val="Calibri"/>
      <family val="2"/>
      <b val="1"/>
      <color rgb="FFFFFFFF"/>
      <sz val="8"/>
      <scheme val="minor"/>
    </font>
    <font>
      <name val="Calibri"/>
      <family val="2"/>
      <b val="1"/>
      <color rgb="FF2E5FA3"/>
      <sz val="8"/>
      <scheme val="minor"/>
    </font>
    <font>
      <name val="Calibri"/>
      <family val="2"/>
      <i val="1"/>
      <color rgb="FF8BA8C8"/>
      <sz val="8"/>
      <scheme val="minor"/>
    </font>
    <font>
      <name val="Calibri"/>
      <family val="2"/>
      <b val="1"/>
      <color rgb="FF0A2342"/>
      <sz val="20"/>
      <scheme val="minor"/>
    </font>
    <font>
      <name val="Calibri"/>
      <family val="2"/>
      <color rgb="FF6E7B8B"/>
      <sz val="7.5"/>
      <scheme val="minor"/>
    </font>
    <font>
      <name val="Calibri"/>
      <family val="2"/>
      <b val="1"/>
      <color rgb="FF0A2342"/>
      <sz val="14"/>
      <scheme val="minor"/>
    </font>
    <font>
      <name val="Calibri"/>
      <family val="2"/>
      <b val="1"/>
      <color rgb="FF1A3A5C"/>
      <sz val="9"/>
      <scheme val="minor"/>
    </font>
    <font>
      <name val="Calibri"/>
      <family val="2"/>
      <color rgb="FF111827"/>
      <sz val="7.5"/>
      <scheme val="minor"/>
    </font>
    <font>
      <name val="Calibri"/>
      <family val="2"/>
      <b val="1"/>
      <color rgb="FF1F5C99"/>
      <sz val="7.5"/>
      <scheme val="minor"/>
    </font>
    <font>
      <name val="Calibri"/>
      <family val="2"/>
      <i val="1"/>
      <color rgb="FF6E7B8B"/>
      <sz val="7"/>
      <scheme val="minor"/>
    </font>
    <font>
      <name val="Calibri"/>
      <family val="2"/>
      <b val="1"/>
      <color rgb="FF0D5C34"/>
      <sz val="7.5"/>
      <scheme val="minor"/>
    </font>
    <font>
      <name val="Calibri"/>
      <family val="2"/>
      <color rgb="FF0D6B3A"/>
      <sz val="7.5"/>
      <scheme val="minor"/>
    </font>
    <font>
      <name val="Calibri"/>
      <family val="2"/>
      <color rgb="FFB91C1C"/>
      <sz val="7.5"/>
      <scheme val="minor"/>
    </font>
    <font>
      <name val="Calibri"/>
      <family val="2"/>
      <b val="1"/>
      <color rgb="FF0A3D6B"/>
      <sz val="7.5"/>
      <scheme val="minor"/>
    </font>
    <font>
      <name val="Calibri"/>
      <family val="2"/>
      <b val="1"/>
      <color rgb="FF7A1A1A"/>
      <sz val="7.5"/>
      <scheme val="minor"/>
    </font>
    <font>
      <name val="Calibri"/>
      <family val="2"/>
      <b val="1"/>
      <color rgb="FF0A2342"/>
      <sz val="7.5"/>
      <scheme val="minor"/>
    </font>
    <font>
      <name val="Calibri"/>
      <family val="2"/>
      <b val="1"/>
      <color rgb="FF0D6B3A"/>
      <sz val="7.5"/>
      <scheme val="minor"/>
    </font>
    <font>
      <name val="Calibri"/>
      <family val="2"/>
      <color rgb="FF1F5C99"/>
      <sz val="7.5"/>
      <scheme val="minor"/>
    </font>
    <font>
      <name val="Calibri"/>
      <family val="2"/>
      <b val="1"/>
      <color rgb="FF0D5C34"/>
      <sz val="8"/>
      <scheme val="minor"/>
    </font>
    <font>
      <name val="Calibri"/>
      <family val="2"/>
      <color rgb="FF111827"/>
      <sz val="8"/>
      <scheme val="minor"/>
    </font>
    <font>
      <name val="Calibri"/>
      <family val="2"/>
      <b val="1"/>
      <color rgb="FF1F5C99"/>
      <sz val="8"/>
      <scheme val="minor"/>
    </font>
    <font>
      <name val="Calibri"/>
      <family val="2"/>
      <b val="1"/>
      <color rgb="FF7A1A1A"/>
      <sz val="8"/>
      <scheme val="minor"/>
    </font>
    <font>
      <name val="Calibri"/>
      <family val="2"/>
      <b val="1"/>
      <i val="1"/>
      <color rgb="FFFFFFFF"/>
      <sz val="8"/>
      <scheme val="minor"/>
    </font>
    <font>
      <name val="Calibri"/>
      <family val="2"/>
      <color rgb="FF1F5C99"/>
      <sz val="8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i val="1"/>
      <color rgb="FF7A9CC4"/>
      <sz val="9"/>
      <scheme val="minor"/>
    </font>
    <font>
      <name val="Calibri"/>
      <family val="2"/>
      <color rgb="FF5A6478"/>
      <sz val="8"/>
      <scheme val="minor"/>
    </font>
    <font>
      <name val="Calibri"/>
      <family val="2"/>
      <i val="1"/>
      <color rgb="FF5A6478"/>
      <sz val="8"/>
      <scheme val="minor"/>
    </font>
    <font>
      <name val="Calibri"/>
      <family val="2"/>
      <b val="1"/>
      <color rgb="FF0A2342"/>
      <sz val="8"/>
      <scheme val="minor"/>
    </font>
    <font>
      <name val="Calibri"/>
      <family val="2"/>
      <b val="1"/>
      <color rgb="FFB91C1C"/>
      <sz val="8"/>
      <scheme val="minor"/>
    </font>
    <font>
      <name val="Calibri"/>
      <family val="2"/>
      <color rgb="FFB91C1C"/>
      <sz val="8"/>
      <scheme val="minor"/>
    </font>
    <font>
      <name val="Calibri"/>
      <family val="2"/>
      <i val="1"/>
      <color rgb="FF111827"/>
      <sz val="8"/>
      <scheme val="minor"/>
    </font>
    <font>
      <name val="Calibri"/>
      <family val="2"/>
      <b val="1"/>
      <color rgb="FF0D6B3A"/>
      <sz val="8"/>
      <scheme val="minor"/>
    </font>
    <font>
      <name val="Calibri"/>
      <family val="2"/>
      <color rgb="FF0D6B3A"/>
      <sz val="8"/>
      <scheme val="minor"/>
    </font>
    <font>
      <name val="Calibri"/>
      <family val="2"/>
      <i val="1"/>
      <color rgb="FF5A6478"/>
      <sz val="7"/>
      <scheme val="minor"/>
    </font>
    <font>
      <name val="Calibri"/>
      <family val="2"/>
      <i val="1"/>
      <color rgb="FF5A6478"/>
      <sz val="7.5"/>
      <scheme val="minor"/>
    </font>
    <font>
      <name val="Calibri"/>
      <family val="2"/>
      <b val="1"/>
      <color rgb="FFFFFFFF"/>
      <sz val="7.5"/>
      <scheme val="minor"/>
    </font>
    <font>
      <name val="Calibri"/>
      <family val="2"/>
      <b val="1"/>
      <color rgb="FFB91C1C"/>
      <sz val="7.5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0D6B3A"/>
      <sz val="16"/>
      <scheme val="minor"/>
    </font>
    <font>
      <name val="Calibri"/>
      <family val="2"/>
      <b val="1"/>
      <i val="1"/>
      <color rgb="FF7A9CC4"/>
      <sz val="9"/>
      <scheme val="minor"/>
    </font>
    <font>
      <name val="Calibri"/>
      <family val="2"/>
      <b val="1"/>
      <i val="1"/>
      <color rgb="FF0A2342"/>
      <sz val="8"/>
      <scheme val="minor"/>
    </font>
    <font>
      <name val="Calibri"/>
      <family val="2"/>
      <color rgb="FF6B7280"/>
      <sz val="8"/>
      <scheme val="minor"/>
    </font>
    <font>
      <name val="Calibri"/>
      <family val="2"/>
      <color rgb="FF0B1F3A"/>
      <sz val="8"/>
      <scheme val="minor"/>
    </font>
    <font>
      <name val="Calibri"/>
      <family val="2"/>
      <b val="1"/>
      <color rgb="FF0B1F3A"/>
      <sz val="8"/>
      <scheme val="minor"/>
    </font>
    <font>
      <name val="Calibri"/>
      <family val="2"/>
      <i val="1"/>
      <color rgb="FF0B1F3A"/>
      <sz val="8"/>
      <scheme val="minor"/>
    </font>
    <font>
      <name val="Calibri"/>
      <family val="2"/>
      <color rgb="FFFFFFFF"/>
      <sz val="8"/>
      <scheme val="minor"/>
    </font>
    <font>
      <name val="Calibri"/>
      <family val="2"/>
      <b val="1"/>
      <color rgb="FF0B1F3A"/>
      <sz val="22"/>
      <scheme val="minor"/>
    </font>
    <font>
      <name val="Calibri"/>
      <family val="2"/>
      <color rgb="FF6B7280"/>
      <sz val="7.5"/>
      <scheme val="minor"/>
    </font>
    <font>
      <name val="Calibri"/>
      <family val="2"/>
      <b val="1"/>
      <color rgb="FF0B1F3A"/>
      <sz val="11"/>
      <scheme val="minor"/>
    </font>
    <font>
      <name val="Calibri"/>
      <family val="2"/>
      <b val="1"/>
      <color rgb="FF0B1F3A"/>
      <sz val="16"/>
      <scheme val="minor"/>
    </font>
    <font>
      <name val="Calibri"/>
      <family val="2"/>
      <b val="1"/>
      <color theme="1"/>
      <sz val="13"/>
      <scheme val="minor"/>
    </font>
    <font>
      <name val="Calibri"/>
      <family val="2"/>
      <b val="1"/>
      <color rgb="FFFFFFFF"/>
      <sz val="8.5"/>
      <scheme val="minor"/>
    </font>
    <font>
      <name val="Calibri"/>
      <family val="2"/>
      <b val="1"/>
      <color rgb="FF16A34A"/>
      <sz val="22"/>
      <scheme val="minor"/>
    </font>
    <font>
      <name val="Calibri"/>
      <family val="2"/>
      <b val="1"/>
      <color rgb="FF7C3AED"/>
      <sz val="22"/>
      <scheme val="minor"/>
    </font>
    <font>
      <name val="Calibri"/>
      <family val="2"/>
      <b val="1"/>
      <color rgb="FFD97706"/>
      <sz val="22"/>
      <scheme val="minor"/>
    </font>
    <font>
      <name val="Calibri"/>
      <family val="2"/>
      <b val="1"/>
      <color rgb="FF0D9488"/>
      <sz val="22"/>
      <scheme val="minor"/>
    </font>
    <font>
      <name val="Calibri"/>
      <family val="2"/>
      <b val="1"/>
      <color rgb="FF0369A1"/>
      <sz val="22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000000"/>
      <sz val="13"/>
      <scheme val="minor"/>
    </font>
  </fonts>
  <fills count="34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F7F8FA"/>
      </patternFill>
    </fill>
    <fill>
      <patternFill patternType="solid">
        <fgColor rgb="FF888888"/>
      </patternFill>
    </fill>
    <fill>
      <patternFill patternType="solid">
        <fgColor rgb="FF1B3A6B"/>
        <bgColor indexed="64"/>
      </patternFill>
    </fill>
    <fill>
      <patternFill patternType="solid">
        <fgColor rgb="FFF2F4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0A2342"/>
        <bgColor indexed="64"/>
      </patternFill>
    </fill>
    <fill>
      <patternFill patternType="solid">
        <fgColor rgb="FF2A5F9E"/>
        <bgColor indexed="64"/>
      </patternFill>
    </fill>
    <fill>
      <patternFill patternType="solid">
        <fgColor rgb="FFEEF1F6"/>
        <bgColor indexed="64"/>
      </patternFill>
    </fill>
    <fill>
      <patternFill patternType="solid">
        <fgColor rgb="FFD8DFE8"/>
        <bgColor indexed="64"/>
      </patternFill>
    </fill>
    <fill>
      <patternFill patternType="solid">
        <fgColor rgb="FF7B4F00"/>
        <bgColor indexed="64"/>
      </patternFill>
    </fill>
    <fill>
      <patternFill patternType="solid">
        <fgColor rgb="FF0D5C34"/>
        <bgColor indexed="64"/>
      </patternFill>
    </fill>
    <fill>
      <patternFill patternType="solid">
        <fgColor rgb="FF0A3D6B"/>
        <bgColor indexed="64"/>
      </patternFill>
    </fill>
    <fill>
      <patternFill patternType="solid">
        <fgColor rgb="FF7A1A1A"/>
        <bgColor indexed="64"/>
      </patternFill>
    </fill>
    <fill>
      <patternFill patternType="solid">
        <fgColor rgb="FFF7F8FA"/>
        <bgColor indexed="64"/>
      </patternFill>
    </fill>
    <fill>
      <patternFill patternType="solid">
        <fgColor rgb="FF1A3A5C"/>
        <bgColor indexed="64"/>
      </patternFill>
    </fill>
    <fill>
      <patternFill patternType="solid">
        <fgColor rgb="FFE8F0FB"/>
        <bgColor indexed="64"/>
      </patternFill>
    </fill>
    <fill>
      <patternFill patternType="solid">
        <fgColor rgb="FFE8F4ED"/>
        <bgColor indexed="64"/>
      </patternFill>
    </fill>
    <fill>
      <patternFill patternType="solid">
        <fgColor rgb="FFFBE9E9"/>
        <bgColor indexed="64"/>
      </patternFill>
    </fill>
    <fill>
      <patternFill patternType="solid">
        <fgColor rgb="FF1F5C99"/>
        <bgColor indexed="64"/>
      </patternFill>
    </fill>
    <fill>
      <patternFill patternType="solid">
        <fgColor rgb="FF12355B"/>
        <bgColor indexed="64"/>
      </patternFill>
    </fill>
    <fill>
      <patternFill patternType="solid">
        <fgColor rgb="FFEAF0FB"/>
        <bgColor indexed="64"/>
      </patternFill>
    </fill>
    <fill>
      <patternFill patternType="solid">
        <fgColor rgb="FF0B1F3A"/>
        <bgColor indexed="64"/>
      </patternFill>
    </fill>
    <fill>
      <patternFill patternType="solid">
        <fgColor rgb="FF1B4F8A"/>
        <bgColor indexed="64"/>
      </patternFill>
    </fill>
    <fill>
      <patternFill patternType="solid">
        <fgColor rgb="FF7C2D12"/>
        <bgColor indexed="64"/>
      </patternFill>
    </fill>
    <fill>
      <patternFill patternType="solid">
        <fgColor rgb="FF14532D"/>
        <bgColor indexed="64"/>
      </patternFill>
    </fill>
    <fill>
      <patternFill patternType="solid">
        <fgColor rgb="FF4C1D95"/>
        <bgColor indexed="64"/>
      </patternFill>
    </fill>
    <fill>
      <patternFill patternType="solid">
        <fgColor rgb="FF78350F"/>
        <bgColor indexed="64"/>
      </patternFill>
    </fill>
    <fill>
      <patternFill patternType="solid">
        <fgColor rgb="FF134E4A"/>
        <bgColor indexed="64"/>
      </patternFill>
    </fill>
    <fill>
      <patternFill patternType="solid">
        <fgColor rgb="FF1E3A5F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DE2EE"/>
      </left>
      <right style="thin">
        <color rgb="FFDDE2EE"/>
      </right>
      <top/>
      <bottom style="thin">
        <color rgb="FFDDE2EE"/>
      </bottom>
      <diagonal/>
    </border>
    <border>
      <left/>
      <right/>
      <top/>
      <bottom style="medium">
        <color rgb="FF4A6FA5"/>
      </bottom>
      <diagonal/>
    </border>
    <border>
      <left style="thin">
        <color rgb="FFDDE2EE"/>
      </left>
      <right style="thin">
        <color rgb="FFDDE2EE"/>
      </right>
      <top style="medium">
        <color rgb="FFDDE2EE"/>
      </top>
      <bottom style="medium">
        <color rgb="FFDDE2EE"/>
      </bottom>
      <diagonal/>
    </border>
    <border>
      <left style="thin">
        <color rgb="FFDDE2EE"/>
      </left>
      <right style="thin">
        <color rgb="FFDDE2EE"/>
      </right>
      <top style="medium">
        <color rgb="FFDDE2EE"/>
      </top>
      <bottom style="thin">
        <color rgb="FFDDE2EE"/>
      </bottom>
      <diagonal/>
    </border>
    <border>
      <left/>
      <right/>
      <top/>
      <bottom style="thin">
        <color rgb="FFD0D5DD"/>
      </bottom>
      <diagonal/>
    </border>
    <border>
      <left/>
      <right/>
      <top style="thin">
        <color rgb="FFD0D5DD"/>
      </top>
      <bottom style="thin">
        <color rgb="FFD0D5DD"/>
      </bottom>
      <diagonal/>
    </border>
    <border>
      <left style="thin">
        <color rgb="FFD0D5DD"/>
      </left>
      <right/>
      <top style="thin">
        <color rgb="FFD0D5DD"/>
      </top>
      <bottom style="thin">
        <color rgb="FFD0D5DD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/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 style="thin">
        <color rgb="FFE8ECF2"/>
      </right>
      <top style="thin">
        <color rgb="FFD0D5DD"/>
      </top>
      <bottom style="thin">
        <color rgb="FFD0D5DD"/>
      </bottom>
      <diagonal/>
    </border>
    <border>
      <left style="thin">
        <color rgb="FFE8ECF2"/>
      </left>
      <right style="thin">
        <color rgb="FFE8ECF2"/>
      </right>
      <top style="thin">
        <color rgb="FFD0D5DD"/>
      </top>
      <bottom style="thin">
        <color rgb="FFD0D5DD"/>
      </bottom>
      <diagonal/>
    </border>
    <border>
      <left style="thin">
        <color rgb="FFE8ECF2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/>
      <right/>
      <top/>
      <bottom style="medium">
        <color rgb="FF1F5C99"/>
      </bottom>
      <diagonal/>
    </border>
    <border>
      <left style="thin">
        <color rgb="FFD0D5DD"/>
      </left>
      <right/>
      <top style="thin">
        <color rgb="FFD0D5DD"/>
      </top>
      <bottom style="medium">
        <color rgb="FFD0D5DD"/>
      </bottom>
      <diagonal/>
    </border>
    <border>
      <left/>
      <right/>
      <top style="thin">
        <color rgb="FFD0D5DD"/>
      </top>
      <bottom style="medium">
        <color rgb="FFD0D5DD"/>
      </bottom>
      <diagonal/>
    </border>
    <border>
      <left/>
      <right style="thin">
        <color rgb="FFD0D5DD"/>
      </right>
      <top style="thin">
        <color rgb="FFD0D5DD"/>
      </top>
      <bottom style="medium">
        <color rgb="FFD0D5DD"/>
      </bottom>
      <diagonal/>
    </border>
    <border>
      <left style="thin">
        <color rgb="FFD0D5DD"/>
      </left>
      <right style="thin">
        <color rgb="FFE8ECF2"/>
      </right>
      <top style="medium">
        <color rgb="FFD0D5DD"/>
      </top>
      <bottom style="medium">
        <color rgb="FFD0D5DD"/>
      </bottom>
      <diagonal/>
    </border>
    <border>
      <left style="thin">
        <color rgb="FFE8ECF2"/>
      </left>
      <right style="thin">
        <color rgb="FFE8ECF2"/>
      </right>
      <top style="medium">
        <color rgb="FFD0D5DD"/>
      </top>
      <bottom style="medium">
        <color rgb="FFD0D5DD"/>
      </bottom>
      <diagonal/>
    </border>
    <border>
      <left style="thin">
        <color rgb="FFE8ECF2"/>
      </left>
      <right style="thin">
        <color rgb="FFD0D5DD"/>
      </right>
      <top style="medium">
        <color rgb="FFD0D5DD"/>
      </top>
      <bottom style="medium">
        <color rgb="FFD0D5DD"/>
      </bottom>
      <diagonal/>
    </border>
    <border>
      <left style="thin">
        <color rgb="FFD0D5DD"/>
      </left>
      <right style="thin">
        <color rgb="FFE8ECF2"/>
      </right>
      <top style="medium">
        <color rgb="FFD0D5DD"/>
      </top>
      <bottom style="thin">
        <color rgb="FFD0D5DD"/>
      </bottom>
      <diagonal/>
    </border>
    <border>
      <left style="thin">
        <color rgb="FFE8ECF2"/>
      </left>
      <right style="thin">
        <color rgb="FFE8ECF2"/>
      </right>
      <top style="medium">
        <color rgb="FFD0D5DD"/>
      </top>
      <bottom style="thin">
        <color rgb="FFD0D5DD"/>
      </bottom>
      <diagonal/>
    </border>
    <border>
      <left style="thin">
        <color rgb="FFE8ECF2"/>
      </left>
      <right style="thin">
        <color rgb="FFD0D5DD"/>
      </right>
      <top style="medium">
        <color rgb="FFD0D5DD"/>
      </top>
      <bottom style="thin">
        <color rgb="FFD0D5DD"/>
      </bottom>
      <diagonal/>
    </border>
    <border>
      <left/>
      <right/>
      <top/>
      <bottom style="medium">
        <color rgb="FF2A5F9E"/>
      </bottom>
      <diagonal/>
    </border>
    <border>
      <left style="thin">
        <color rgb="FFE8ECF2"/>
      </left>
      <right style="thin">
        <color rgb="FFE8ECF2"/>
      </right>
      <top style="thin">
        <color rgb="FFD0D5DD"/>
      </top>
      <bottom style="medium">
        <color rgb="FFD0D5DD"/>
      </bottom>
      <diagonal/>
    </border>
    <border>
      <left style="thin">
        <color rgb="FFE8ECF2"/>
      </left>
      <right style="thin">
        <color rgb="FFD0D5DD"/>
      </right>
      <top style="thin">
        <color rgb="FFD0D5DD"/>
      </top>
      <bottom style="medium">
        <color rgb="FFD0D5DD"/>
      </bottom>
      <diagonal/>
    </border>
    <border>
      <left/>
      <right style="thin">
        <color rgb="FFE8ECF2"/>
      </right>
      <top style="thin">
        <color rgb="FFD0D5DD"/>
      </top>
      <bottom style="medium">
        <color rgb="FFD0D5DD"/>
      </bottom>
      <diagonal/>
    </border>
    <border>
      <left/>
      <right style="thin">
        <color rgb="FFE8ECF2"/>
      </right>
      <top style="medium">
        <color rgb="FFD0D5DD"/>
      </top>
      <bottom style="medium">
        <color rgb="FFD0D5DD"/>
      </bottom>
      <diagonal/>
    </border>
    <border>
      <left/>
      <right style="thin">
        <color rgb="FFE8ECF2"/>
      </right>
      <top style="medium">
        <color rgb="FFD0D5DD"/>
      </top>
      <bottom style="thin">
        <color rgb="FFD0D5DD"/>
      </bottom>
      <diagonal/>
    </border>
    <border>
      <left style="medium">
        <color rgb="FF0D5C34"/>
      </left>
      <right style="thin">
        <color rgb="FFE8ECF2"/>
      </right>
      <top style="thin">
        <color rgb="FFD0D5DD"/>
      </top>
      <bottom style="medium">
        <color rgb="FFD0D5DD"/>
      </bottom>
      <diagonal/>
    </border>
    <border>
      <left style="medium">
        <color rgb="FF0D5C34"/>
      </left>
      <right style="thin">
        <color rgb="FFE8ECF2"/>
      </right>
      <top style="medium">
        <color rgb="FFD0D5DD"/>
      </top>
      <bottom style="medium">
        <color rgb="FFD0D5DD"/>
      </bottom>
      <diagonal/>
    </border>
    <border>
      <left style="medium">
        <color rgb="FF0D5C34"/>
      </left>
      <right style="thin">
        <color rgb="FFE8ECF2"/>
      </right>
      <top style="medium">
        <color rgb="FFD0D5DD"/>
      </top>
      <bottom style="thin">
        <color rgb="FFD0D5DD"/>
      </bottom>
      <diagonal/>
    </border>
    <border>
      <left style="medium">
        <color rgb="FF1F5C99"/>
      </left>
      <right style="thin">
        <color rgb="FFE8ECF2"/>
      </right>
      <top style="thin">
        <color rgb="FFD0D5DD"/>
      </top>
      <bottom style="medium">
        <color rgb="FFD0D5DD"/>
      </bottom>
      <diagonal/>
    </border>
    <border>
      <left style="medium">
        <color rgb="FF7A1A1A"/>
      </left>
      <right style="thin">
        <color rgb="FFE8ECF2"/>
      </right>
      <top style="thin">
        <color rgb="FFD0D5DD"/>
      </top>
      <bottom style="medium">
        <color rgb="FFD0D5DD"/>
      </bottom>
      <diagonal/>
    </border>
    <border>
      <left/>
      <right/>
      <top style="medium">
        <color rgb="FF12355B"/>
      </top>
      <bottom/>
      <diagonal/>
    </border>
    <border>
      <left/>
      <right/>
      <top style="medium">
        <color rgb="FF0A2342"/>
      </top>
      <bottom/>
      <diagonal/>
    </border>
    <border>
      <left style="thin">
        <color rgb="FFE8ECF2"/>
      </left>
      <right style="thin">
        <color rgb="FFE8ECF2"/>
      </right>
      <top style="thin">
        <color rgb="FFD0D5DD"/>
      </top>
      <bottom style="thin">
        <color rgb="FFE8ECF2"/>
      </bottom>
      <diagonal/>
    </border>
    <border>
      <left style="thin">
        <color rgb="FFE8ECF2"/>
      </left>
      <right style="thin">
        <color rgb="FFD0D5DD"/>
      </right>
      <top style="thin">
        <color rgb="FFD0D5DD"/>
      </top>
      <bottom style="thin">
        <color rgb="FFE8ECF2"/>
      </bottom>
      <diagonal/>
    </border>
    <border>
      <left style="thin">
        <color rgb="FFE8ECF2"/>
      </left>
      <right style="thin">
        <color rgb="FFE8ECF2"/>
      </right>
      <top style="thin">
        <color rgb="FFE8ECF2"/>
      </top>
      <bottom style="thin">
        <color rgb="FFE8ECF2"/>
      </bottom>
      <diagonal/>
    </border>
    <border>
      <left style="thin">
        <color rgb="FFE8ECF2"/>
      </left>
      <right style="thin">
        <color rgb="FFD0D5DD"/>
      </right>
      <top style="thin">
        <color rgb="FFE8ECF2"/>
      </top>
      <bottom style="thin">
        <color rgb="FFE8ECF2"/>
      </bottom>
      <diagonal/>
    </border>
    <border>
      <left style="thin">
        <color rgb="FFE8ECF2"/>
      </left>
      <right style="thin">
        <color rgb="FFE8ECF2"/>
      </right>
      <top style="thin">
        <color rgb="FFE8ECF2"/>
      </top>
      <bottom style="thin">
        <color rgb="FFD0D5DD"/>
      </bottom>
      <diagonal/>
    </border>
    <border>
      <left style="thin">
        <color rgb="FFE8ECF2"/>
      </left>
      <right style="thin">
        <color rgb="FFD0D5DD"/>
      </right>
      <top style="thin">
        <color rgb="FFE8ECF2"/>
      </top>
      <bottom style="thin">
        <color rgb="FFD0D5DD"/>
      </bottom>
      <diagonal/>
    </border>
    <border>
      <left/>
      <right style="thin">
        <color rgb="FFE8ECF2"/>
      </right>
      <top style="thin">
        <color rgb="FFD0D5DD"/>
      </top>
      <bottom style="thin">
        <color rgb="FFE8ECF2"/>
      </bottom>
      <diagonal/>
    </border>
    <border>
      <left/>
      <right style="thin">
        <color rgb="FFE8ECF2"/>
      </right>
      <top style="thin">
        <color rgb="FFE8ECF2"/>
      </top>
      <bottom style="thin">
        <color rgb="FFE8ECF2"/>
      </bottom>
      <diagonal/>
    </border>
    <border>
      <left/>
      <right style="thin">
        <color rgb="FFE8ECF2"/>
      </right>
      <top style="thin">
        <color rgb="FFE8ECF2"/>
      </top>
      <bottom style="thin">
        <color rgb="FFD0D5DD"/>
      </bottom>
      <diagonal/>
    </border>
    <border>
      <left style="medium">
        <color rgb="FF1F5C99"/>
      </left>
      <right style="thin">
        <color rgb="FFE8ECF2"/>
      </right>
      <top style="thin">
        <color rgb="FFD0D5DD"/>
      </top>
      <bottom style="thin">
        <color rgb="FFE8ECF2"/>
      </bottom>
      <diagonal/>
    </border>
    <border>
      <left style="medium">
        <color rgb="FF1F5C99"/>
      </left>
      <right style="thin">
        <color rgb="FFE8ECF2"/>
      </right>
      <top style="thin">
        <color rgb="FFE8ECF2"/>
      </top>
      <bottom style="thin">
        <color rgb="FFE8ECF2"/>
      </bottom>
      <diagonal/>
    </border>
    <border>
      <left style="medium">
        <color rgb="FF1F5C99"/>
      </left>
      <right style="thin">
        <color rgb="FFE8ECF2"/>
      </right>
      <top style="thin">
        <color rgb="FFE8ECF2"/>
      </top>
      <bottom style="thin">
        <color rgb="FFD0D5DD"/>
      </bottom>
      <diagonal/>
    </border>
    <border>
      <left style="thin">
        <color rgb="FFE8ECF2"/>
      </left>
      <right/>
      <top/>
      <bottom/>
      <diagonal/>
    </border>
  </borders>
  <cellStyleXfs count="1">
    <xf numFmtId="0" fontId="0" fillId="0" borderId="0"/>
  </cellStyleXfs>
  <cellXfs count="304">
    <xf numFmtId="0" fontId="0" fillId="0" borderId="0" pivotButton="0" quotePrefix="0" xfId="0"/>
    <xf numFmtId="0" fontId="2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6" fillId="6" borderId="0" pivotButton="0" quotePrefix="0" xfId="0"/>
    <xf numFmtId="0" fontId="5" fillId="5" borderId="4" applyAlignment="1" pivotButton="0" quotePrefix="0" xfId="0">
      <alignment vertical="center"/>
    </xf>
    <xf numFmtId="0" fontId="3" fillId="3" borderId="2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2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0" fillId="8" borderId="5" applyAlignment="1" pivotButton="0" quotePrefix="0" xfId="0">
      <alignment horizontal="center" vertical="center"/>
    </xf>
    <xf numFmtId="0" fontId="8" fillId="7" borderId="5" applyAlignment="1" pivotButton="0" quotePrefix="0" xfId="0">
      <alignment horizontal="left"/>
    </xf>
    <xf numFmtId="0" fontId="8" fillId="7" borderId="5" applyAlignment="1" pivotButton="0" quotePrefix="0" xfId="0">
      <alignment horizontal="center"/>
    </xf>
    <xf numFmtId="0" fontId="8" fillId="6" borderId="5" applyAlignment="1" pivotButton="0" quotePrefix="0" xfId="0">
      <alignment horizontal="left"/>
    </xf>
    <xf numFmtId="0" fontId="8" fillId="6" borderId="5" applyAlignment="1" pivotButton="0" quotePrefix="0" xfId="0">
      <alignment horizontal="center"/>
    </xf>
    <xf numFmtId="0" fontId="8" fillId="6" borderId="6" applyAlignment="1" pivotButton="0" quotePrefix="0" xfId="0">
      <alignment horizontal="left"/>
    </xf>
    <xf numFmtId="0" fontId="8" fillId="6" borderId="6" applyAlignment="1" pivotButton="0" quotePrefix="0" xfId="0">
      <alignment horizontal="center"/>
    </xf>
    <xf numFmtId="0" fontId="5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right" vertical="center"/>
    </xf>
    <xf numFmtId="0" fontId="0" fillId="10" borderId="0" pivotButton="0" quotePrefix="0" xfId="0"/>
    <xf numFmtId="0" fontId="0" fillId="10" borderId="0" applyAlignment="1" pivotButton="0" quotePrefix="0" xfId="0">
      <alignment horizontal="left" vertical="center"/>
    </xf>
    <xf numFmtId="0" fontId="0" fillId="11" borderId="0" applyAlignment="1" pivotButton="0" quotePrefix="0" xfId="0">
      <alignment horizontal="left" vertical="center"/>
    </xf>
    <xf numFmtId="0" fontId="0" fillId="12" borderId="0" applyAlignment="1" pivotButton="0" quotePrefix="0" xfId="0">
      <alignment horizontal="left" vertical="center"/>
    </xf>
    <xf numFmtId="0" fontId="14" fillId="11" borderId="0" applyAlignment="1" pivotButton="0" quotePrefix="0" xfId="0">
      <alignment horizontal="left"/>
    </xf>
    <xf numFmtId="0" fontId="0" fillId="11" borderId="7" applyAlignment="1" pivotButton="0" quotePrefix="0" xfId="0">
      <alignment horizontal="left" vertical="center"/>
    </xf>
    <xf numFmtId="0" fontId="13" fillId="11" borderId="7" applyAlignment="1" pivotButton="0" quotePrefix="0" xfId="0">
      <alignment horizontal="left" vertical="top"/>
    </xf>
    <xf numFmtId="0" fontId="0" fillId="12" borderId="7" applyAlignment="1" pivotButton="0" quotePrefix="0" xfId="0">
      <alignment horizontal="left" vertical="center"/>
    </xf>
    <xf numFmtId="0" fontId="0" fillId="7" borderId="0" applyAlignment="1" pivotButton="0" quotePrefix="0" xfId="0">
      <alignment horizontal="left" vertical="center"/>
    </xf>
    <xf numFmtId="0" fontId="0" fillId="7" borderId="7" applyAlignment="1" pivotButton="0" quotePrefix="0" xfId="0">
      <alignment horizontal="left" vertical="center"/>
    </xf>
    <xf numFmtId="0" fontId="16" fillId="7" borderId="0" applyAlignment="1" pivotButton="0" quotePrefix="0" xfId="0">
      <alignment horizontal="center"/>
    </xf>
    <xf numFmtId="0" fontId="16" fillId="17" borderId="0" applyAlignment="1" pivotButton="0" quotePrefix="0" xfId="0">
      <alignment horizontal="center"/>
    </xf>
    <xf numFmtId="0" fontId="15" fillId="7" borderId="0" applyAlignment="1" pivotButton="0" quotePrefix="0" xfId="0">
      <alignment horizontal="left" vertical="center"/>
    </xf>
    <xf numFmtId="0" fontId="9" fillId="13" borderId="12" applyAlignment="1" pivotButton="0" quotePrefix="0" xfId="0">
      <alignment horizontal="center" vertical="center"/>
    </xf>
    <xf numFmtId="0" fontId="9" fillId="13" borderId="13" applyAlignment="1" pivotButton="0" quotePrefix="0" xfId="0">
      <alignment horizontal="center" vertical="center"/>
    </xf>
    <xf numFmtId="0" fontId="9" fillId="13" borderId="13" applyAlignment="1" pivotButton="0" quotePrefix="0" xfId="0">
      <alignment horizontal="left" vertical="center"/>
    </xf>
    <xf numFmtId="0" fontId="9" fillId="13" borderId="14" applyAlignment="1" pivotButton="0" quotePrefix="0" xfId="0">
      <alignment horizontal="center" vertical="center"/>
    </xf>
    <xf numFmtId="0" fontId="16" fillId="7" borderId="12" applyAlignment="1" pivotButton="0" quotePrefix="0" xfId="0">
      <alignment horizontal="center"/>
    </xf>
    <xf numFmtId="0" fontId="16" fillId="7" borderId="13" applyAlignment="1" pivotButton="0" quotePrefix="0" xfId="0">
      <alignment horizontal="center"/>
    </xf>
    <xf numFmtId="0" fontId="16" fillId="7" borderId="13" applyAlignment="1" pivotButton="0" quotePrefix="0" xfId="0">
      <alignment horizontal="left"/>
    </xf>
    <xf numFmtId="0" fontId="16" fillId="7" borderId="14" applyAlignment="1" pivotButton="0" quotePrefix="0" xfId="0">
      <alignment horizontal="center"/>
    </xf>
    <xf numFmtId="0" fontId="16" fillId="17" borderId="12" applyAlignment="1" pivotButton="0" quotePrefix="0" xfId="0">
      <alignment horizontal="center"/>
    </xf>
    <xf numFmtId="0" fontId="16" fillId="17" borderId="13" applyAlignment="1" pivotButton="0" quotePrefix="0" xfId="0">
      <alignment horizontal="center"/>
    </xf>
    <xf numFmtId="0" fontId="16" fillId="17" borderId="13" applyAlignment="1" pivotButton="0" quotePrefix="0" xfId="0">
      <alignment horizontal="left"/>
    </xf>
    <xf numFmtId="0" fontId="16" fillId="17" borderId="14" applyAlignment="1" pivotButton="0" quotePrefix="0" xfId="0">
      <alignment horizontal="center"/>
    </xf>
    <xf numFmtId="0" fontId="9" fillId="14" borderId="12" applyAlignment="1" pivotButton="0" quotePrefix="0" xfId="0">
      <alignment horizontal="center" vertical="center"/>
    </xf>
    <xf numFmtId="0" fontId="9" fillId="14" borderId="13" applyAlignment="1" pivotButton="0" quotePrefix="0" xfId="0">
      <alignment horizontal="center"/>
    </xf>
    <xf numFmtId="0" fontId="9" fillId="14" borderId="13" applyAlignment="1" pivotButton="0" quotePrefix="0" xfId="0">
      <alignment horizontal="left"/>
    </xf>
    <xf numFmtId="0" fontId="9" fillId="14" borderId="14" applyAlignment="1" pivotButton="0" quotePrefix="0" xfId="0">
      <alignment horizontal="center"/>
    </xf>
    <xf numFmtId="0" fontId="9" fillId="15" borderId="12" applyAlignment="1" pivotButton="0" quotePrefix="0" xfId="0">
      <alignment horizontal="center"/>
    </xf>
    <xf numFmtId="0" fontId="9" fillId="15" borderId="13" applyAlignment="1" pivotButton="0" quotePrefix="0" xfId="0">
      <alignment horizontal="center"/>
    </xf>
    <xf numFmtId="0" fontId="9" fillId="15" borderId="13" applyAlignment="1" pivotButton="0" quotePrefix="0" xfId="0">
      <alignment horizontal="left"/>
    </xf>
    <xf numFmtId="0" fontId="9" fillId="15" borderId="14" applyAlignment="1" pivotButton="0" quotePrefix="0" xfId="0">
      <alignment horizontal="center"/>
    </xf>
    <xf numFmtId="0" fontId="9" fillId="16" borderId="12" applyAlignment="1" pivotButton="0" quotePrefix="0" xfId="0">
      <alignment horizontal="center"/>
    </xf>
    <xf numFmtId="0" fontId="9" fillId="16" borderId="13" applyAlignment="1" pivotButton="0" quotePrefix="0" xfId="0">
      <alignment horizontal="center"/>
    </xf>
    <xf numFmtId="0" fontId="9" fillId="16" borderId="13" applyAlignment="1" pivotButton="0" quotePrefix="0" xfId="0">
      <alignment horizontal="left"/>
    </xf>
    <xf numFmtId="0" fontId="9" fillId="16" borderId="14" applyAlignment="1" pivotButton="0" quotePrefix="0" xfId="0">
      <alignment horizontal="center"/>
    </xf>
    <xf numFmtId="0" fontId="7" fillId="18" borderId="0" applyAlignment="1" pivotButton="0" quotePrefix="0" xfId="0">
      <alignment horizontal="left" vertical="center"/>
    </xf>
    <xf numFmtId="0" fontId="0" fillId="19" borderId="0" pivotButton="0" quotePrefix="0" xfId="0"/>
    <xf numFmtId="0" fontId="18" fillId="17" borderId="0" applyAlignment="1" pivotButton="0" quotePrefix="0" xfId="0">
      <alignment horizontal="left" vertical="center"/>
    </xf>
    <xf numFmtId="0" fontId="19" fillId="7" borderId="13" applyAlignment="1" pivotButton="0" quotePrefix="0" xfId="0">
      <alignment horizontal="center"/>
    </xf>
    <xf numFmtId="10" fontId="20" fillId="7" borderId="14" applyAlignment="1" pivotButton="0" quotePrefix="0" xfId="0">
      <alignment horizontal="center"/>
    </xf>
    <xf numFmtId="0" fontId="19" fillId="17" borderId="13" applyAlignment="1" pivotButton="0" quotePrefix="0" xfId="0">
      <alignment horizontal="center"/>
    </xf>
    <xf numFmtId="10" fontId="20" fillId="17" borderId="14" applyAlignment="1" pivotButton="0" quotePrefix="0" xfId="0">
      <alignment horizontal="center"/>
    </xf>
    <xf numFmtId="10" fontId="21" fillId="17" borderId="14" applyAlignment="1" pivotButton="0" quotePrefix="0" xfId="0">
      <alignment horizontal="center"/>
    </xf>
    <xf numFmtId="0" fontId="22" fillId="7" borderId="13" applyAlignment="1" pivotButton="0" quotePrefix="0" xfId="0">
      <alignment horizontal="center"/>
    </xf>
    <xf numFmtId="0" fontId="22" fillId="17" borderId="13" applyAlignment="1" pivotButton="0" quotePrefix="0" xfId="0">
      <alignment horizontal="center"/>
    </xf>
    <xf numFmtId="0" fontId="23" fillId="7" borderId="13" applyAlignment="1" pivotButton="0" quotePrefix="0" xfId="0">
      <alignment horizontal="center"/>
    </xf>
    <xf numFmtId="0" fontId="23" fillId="17" borderId="13" applyAlignment="1" pivotButton="0" quotePrefix="0" xfId="0">
      <alignment horizontal="center"/>
    </xf>
    <xf numFmtId="0" fontId="0" fillId="19" borderId="15" pivotButton="0" quotePrefix="0" xfId="0"/>
    <xf numFmtId="0" fontId="17" fillId="19" borderId="16" applyAlignment="1" pivotButton="0" quotePrefix="0" xfId="0">
      <alignment horizontal="center"/>
    </xf>
    <xf numFmtId="0" fontId="17" fillId="19" borderId="17" applyAlignment="1" pivotButton="0" quotePrefix="0" xfId="0">
      <alignment horizontal="center"/>
    </xf>
    <xf numFmtId="0" fontId="17" fillId="19" borderId="17" applyAlignment="1" pivotButton="0" quotePrefix="0" xfId="0">
      <alignment horizontal="left"/>
    </xf>
    <xf numFmtId="0" fontId="0" fillId="19" borderId="17" pivotButton="0" quotePrefix="0" xfId="0"/>
    <xf numFmtId="0" fontId="17" fillId="19" borderId="18" applyAlignment="1" pivotButton="0" quotePrefix="0" xfId="0">
      <alignment horizontal="center"/>
    </xf>
    <xf numFmtId="0" fontId="16" fillId="7" borderId="19" applyAlignment="1" pivotButton="0" quotePrefix="0" xfId="0">
      <alignment horizontal="center"/>
    </xf>
    <xf numFmtId="0" fontId="16" fillId="7" borderId="20" applyAlignment="1" pivotButton="0" quotePrefix="0" xfId="0">
      <alignment horizontal="center"/>
    </xf>
    <xf numFmtId="0" fontId="16" fillId="7" borderId="20" applyAlignment="1" pivotButton="0" quotePrefix="0" xfId="0">
      <alignment horizontal="left"/>
    </xf>
    <xf numFmtId="0" fontId="24" fillId="7" borderId="20" applyAlignment="1" pivotButton="0" quotePrefix="0" xfId="0">
      <alignment horizontal="center"/>
    </xf>
    <xf numFmtId="10" fontId="16" fillId="7" borderId="20" applyAlignment="1" pivotButton="0" quotePrefix="0" xfId="0">
      <alignment horizontal="center"/>
    </xf>
    <xf numFmtId="10" fontId="20" fillId="7" borderId="20" applyAlignment="1" pivotButton="0" quotePrefix="0" xfId="0">
      <alignment horizontal="center"/>
    </xf>
    <xf numFmtId="0" fontId="25" fillId="7" borderId="21" applyAlignment="1" pivotButton="0" quotePrefix="0" xfId="0">
      <alignment horizontal="center"/>
    </xf>
    <xf numFmtId="0" fontId="16" fillId="17" borderId="19" applyAlignment="1" pivotButton="0" quotePrefix="0" xfId="0">
      <alignment horizontal="center"/>
    </xf>
    <xf numFmtId="0" fontId="16" fillId="17" borderId="20" applyAlignment="1" pivotButton="0" quotePrefix="0" xfId="0">
      <alignment horizontal="center"/>
    </xf>
    <xf numFmtId="0" fontId="16" fillId="17" borderId="20" applyAlignment="1" pivotButton="0" quotePrefix="0" xfId="0">
      <alignment horizontal="left"/>
    </xf>
    <xf numFmtId="0" fontId="24" fillId="17" borderId="20" applyAlignment="1" pivotButton="0" quotePrefix="0" xfId="0">
      <alignment horizontal="center"/>
    </xf>
    <xf numFmtId="10" fontId="16" fillId="17" borderId="20" applyAlignment="1" pivotButton="0" quotePrefix="0" xfId="0">
      <alignment horizontal="center"/>
    </xf>
    <xf numFmtId="10" fontId="21" fillId="17" borderId="20" applyAlignment="1" pivotButton="0" quotePrefix="0" xfId="0">
      <alignment horizontal="center"/>
    </xf>
    <xf numFmtId="0" fontId="26" fillId="17" borderId="21" applyAlignment="1" pivotButton="0" quotePrefix="0" xfId="0">
      <alignment horizontal="center"/>
    </xf>
    <xf numFmtId="14" fontId="16" fillId="7" borderId="20" applyAlignment="1" pivotButton="0" quotePrefix="0" xfId="0">
      <alignment horizontal="center"/>
    </xf>
    <xf numFmtId="0" fontId="26" fillId="7" borderId="21" applyAlignment="1" pivotButton="0" quotePrefix="0" xfId="0">
      <alignment horizontal="center"/>
    </xf>
    <xf numFmtId="10" fontId="20" fillId="17" borderId="20" applyAlignment="1" pivotButton="0" quotePrefix="0" xfId="0">
      <alignment horizontal="center"/>
    </xf>
    <xf numFmtId="14" fontId="16" fillId="17" borderId="20" applyAlignment="1" pivotButton="0" quotePrefix="0" xfId="0">
      <alignment horizontal="center"/>
    </xf>
    <xf numFmtId="0" fontId="16" fillId="17" borderId="22" applyAlignment="1" pivotButton="0" quotePrefix="0" xfId="0">
      <alignment horizontal="center"/>
    </xf>
    <xf numFmtId="0" fontId="16" fillId="17" borderId="23" applyAlignment="1" pivotButton="0" quotePrefix="0" xfId="0">
      <alignment horizontal="center"/>
    </xf>
    <xf numFmtId="0" fontId="16" fillId="17" borderId="23" applyAlignment="1" pivotButton="0" quotePrefix="0" xfId="0">
      <alignment horizontal="left"/>
    </xf>
    <xf numFmtId="0" fontId="24" fillId="17" borderId="23" applyAlignment="1" pivotButton="0" quotePrefix="0" xfId="0">
      <alignment horizontal="center"/>
    </xf>
    <xf numFmtId="10" fontId="20" fillId="17" borderId="23" applyAlignment="1" pivotButton="0" quotePrefix="0" xfId="0">
      <alignment horizontal="center"/>
    </xf>
    <xf numFmtId="14" fontId="16" fillId="17" borderId="23" applyAlignment="1" pivotButton="0" quotePrefix="0" xfId="0">
      <alignment horizontal="center"/>
    </xf>
    <xf numFmtId="0" fontId="26" fillId="17" borderId="24" applyAlignment="1" pivotButton="0" quotePrefix="0" xfId="0">
      <alignment horizontal="center"/>
    </xf>
    <xf numFmtId="0" fontId="5" fillId="9" borderId="25" applyAlignment="1" pivotButton="0" quotePrefix="0" xfId="0">
      <alignment horizontal="left" vertical="center"/>
    </xf>
    <xf numFmtId="0" fontId="28" fillId="7" borderId="0" applyAlignment="1" pivotButton="0" quotePrefix="0" xfId="0">
      <alignment horizontal="center" vertical="center"/>
    </xf>
    <xf numFmtId="0" fontId="28" fillId="17" borderId="0" applyAlignment="1" pivotButton="0" quotePrefix="0" xfId="0">
      <alignment horizontal="center" vertical="center"/>
    </xf>
    <xf numFmtId="0" fontId="27" fillId="20" borderId="26" applyAlignment="1" pivotButton="0" quotePrefix="0" xfId="0">
      <alignment horizontal="center" vertical="center"/>
    </xf>
    <xf numFmtId="0" fontId="27" fillId="20" borderId="26" applyAlignment="1" pivotButton="0" quotePrefix="0" xfId="0">
      <alignment horizontal="left" vertical="center"/>
    </xf>
    <xf numFmtId="0" fontId="27" fillId="20" borderId="27" applyAlignment="1" pivotButton="0" quotePrefix="0" xfId="0">
      <alignment horizontal="center" vertical="center"/>
    </xf>
    <xf numFmtId="0" fontId="28" fillId="7" borderId="20" applyAlignment="1" pivotButton="0" quotePrefix="0" xfId="0">
      <alignment horizontal="center" vertical="center"/>
    </xf>
    <xf numFmtId="0" fontId="28" fillId="7" borderId="20" applyAlignment="1" pivotButton="0" quotePrefix="0" xfId="0">
      <alignment horizontal="left" vertical="center"/>
    </xf>
    <xf numFmtId="0" fontId="27" fillId="7" borderId="20" applyAlignment="1" pivotButton="0" quotePrefix="0" xfId="0">
      <alignment horizontal="center" vertical="center"/>
    </xf>
    <xf numFmtId="0" fontId="28" fillId="7" borderId="21" applyAlignment="1" pivotButton="0" quotePrefix="0" xfId="0">
      <alignment horizontal="center" vertical="center"/>
    </xf>
    <xf numFmtId="0" fontId="28" fillId="17" borderId="20" applyAlignment="1" pivotButton="0" quotePrefix="0" xfId="0">
      <alignment horizontal="center" vertical="center"/>
    </xf>
    <xf numFmtId="0" fontId="28" fillId="17" borderId="20" applyAlignment="1" pivotButton="0" quotePrefix="0" xfId="0">
      <alignment horizontal="left" vertical="center"/>
    </xf>
    <xf numFmtId="0" fontId="27" fillId="17" borderId="20" applyAlignment="1" pivotButton="0" quotePrefix="0" xfId="0">
      <alignment horizontal="center" vertical="center"/>
    </xf>
    <xf numFmtId="0" fontId="28" fillId="17" borderId="21" applyAlignment="1" pivotButton="0" quotePrefix="0" xfId="0">
      <alignment horizontal="center" vertical="center"/>
    </xf>
    <xf numFmtId="0" fontId="28" fillId="7" borderId="23" applyAlignment="1" pivotButton="0" quotePrefix="0" xfId="0">
      <alignment horizontal="center" vertical="center"/>
    </xf>
    <xf numFmtId="0" fontId="28" fillId="7" borderId="23" applyAlignment="1" pivotButton="0" quotePrefix="0" xfId="0">
      <alignment horizontal="left" vertical="center"/>
    </xf>
    <xf numFmtId="0" fontId="27" fillId="7" borderId="23" applyAlignment="1" pivotButton="0" quotePrefix="0" xfId="0">
      <alignment horizontal="center" vertical="center"/>
    </xf>
    <xf numFmtId="0" fontId="28" fillId="7" borderId="24" applyAlignment="1" pivotButton="0" quotePrefix="0" xfId="0">
      <alignment horizontal="center" vertical="center"/>
    </xf>
    <xf numFmtId="0" fontId="27" fillId="20" borderId="28" applyAlignment="1" pivotButton="0" quotePrefix="0" xfId="0">
      <alignment horizontal="center" vertical="center"/>
    </xf>
    <xf numFmtId="0" fontId="28" fillId="7" borderId="29" applyAlignment="1" pivotButton="0" quotePrefix="0" xfId="0">
      <alignment horizontal="center" vertical="center"/>
    </xf>
    <xf numFmtId="0" fontId="28" fillId="17" borderId="29" applyAlignment="1" pivotButton="0" quotePrefix="0" xfId="0">
      <alignment horizontal="center" vertical="center"/>
    </xf>
    <xf numFmtId="0" fontId="28" fillId="7" borderId="30" applyAlignment="1" pivotButton="0" quotePrefix="0" xfId="0">
      <alignment horizontal="center" vertical="center"/>
    </xf>
    <xf numFmtId="0" fontId="27" fillId="20" borderId="31" applyAlignment="1" pivotButton="0" quotePrefix="0" xfId="0">
      <alignment horizontal="center" vertical="center"/>
    </xf>
    <xf numFmtId="0" fontId="28" fillId="7" borderId="32" applyAlignment="1" pivotButton="0" quotePrefix="0" xfId="0">
      <alignment horizontal="center" vertical="center"/>
    </xf>
    <xf numFmtId="0" fontId="28" fillId="17" borderId="32" applyAlignment="1" pivotButton="0" quotePrefix="0" xfId="0">
      <alignment horizontal="center" vertical="center"/>
    </xf>
    <xf numFmtId="0" fontId="28" fillId="7" borderId="33" applyAlignment="1" pivotButton="0" quotePrefix="0" xfId="0">
      <alignment horizontal="center" vertical="center"/>
    </xf>
    <xf numFmtId="0" fontId="9" fillId="18" borderId="0" applyAlignment="1" pivotButton="0" quotePrefix="0" xfId="0">
      <alignment horizontal="left"/>
    </xf>
    <xf numFmtId="0" fontId="29" fillId="19" borderId="0" applyAlignment="1" pivotButton="0" quotePrefix="0" xfId="0">
      <alignment horizontal="center"/>
    </xf>
    <xf numFmtId="0" fontId="29" fillId="19" borderId="8" applyAlignment="1" pivotButton="0" quotePrefix="0" xfId="0">
      <alignment horizontal="center"/>
    </xf>
    <xf numFmtId="0" fontId="29" fillId="19" borderId="9" applyAlignment="1" pivotButton="0" quotePrefix="0" xfId="0">
      <alignment horizontal="center"/>
    </xf>
    <xf numFmtId="0" fontId="29" fillId="19" borderId="11" applyAlignment="1" pivotButton="0" quotePrefix="0" xfId="0">
      <alignment horizontal="center"/>
    </xf>
    <xf numFmtId="0" fontId="29" fillId="19" borderId="26" applyAlignment="1" pivotButton="0" quotePrefix="0" xfId="0">
      <alignment horizontal="center" vertical="center"/>
    </xf>
    <xf numFmtId="0" fontId="29" fillId="19" borderId="26" applyAlignment="1" pivotButton="0" quotePrefix="0" xfId="0">
      <alignment horizontal="left" vertical="center"/>
    </xf>
    <xf numFmtId="0" fontId="29" fillId="19" borderId="27" applyAlignment="1" pivotButton="0" quotePrefix="0" xfId="0">
      <alignment horizontal="center" vertical="center"/>
    </xf>
    <xf numFmtId="0" fontId="29" fillId="19" borderId="28" applyAlignment="1" pivotButton="0" quotePrefix="0" xfId="0">
      <alignment horizontal="center" vertical="center"/>
    </xf>
    <xf numFmtId="0" fontId="29" fillId="19" borderId="34" applyAlignment="1" pivotButton="0" quotePrefix="0" xfId="0">
      <alignment horizontal="center" vertical="center"/>
    </xf>
    <xf numFmtId="0" fontId="30" fillId="21" borderId="26" applyAlignment="1" pivotButton="0" quotePrefix="0" xfId="0">
      <alignment horizontal="center" vertical="center"/>
    </xf>
    <xf numFmtId="0" fontId="30" fillId="21" borderId="26" applyAlignment="1" pivotButton="0" quotePrefix="0" xfId="0">
      <alignment horizontal="left" vertical="center"/>
    </xf>
    <xf numFmtId="0" fontId="30" fillId="21" borderId="27" applyAlignment="1" pivotButton="0" quotePrefix="0" xfId="0">
      <alignment horizontal="center" vertical="center"/>
    </xf>
    <xf numFmtId="0" fontId="30" fillId="21" borderId="28" applyAlignment="1" pivotButton="0" quotePrefix="0" xfId="0">
      <alignment horizontal="center" vertical="center"/>
    </xf>
    <xf numFmtId="0" fontId="30" fillId="21" borderId="35" applyAlignment="1" pivotButton="0" quotePrefix="0" xfId="0">
      <alignment horizontal="center" vertical="center"/>
    </xf>
    <xf numFmtId="0" fontId="31" fillId="18" borderId="0" applyAlignment="1" pivotButton="0" quotePrefix="0" xfId="0">
      <alignment horizontal="center"/>
    </xf>
    <xf numFmtId="0" fontId="31" fillId="18" borderId="0" pivotButton="0" quotePrefix="0" xfId="0"/>
    <xf numFmtId="0" fontId="31" fillId="18" borderId="3" applyAlignment="1" pivotButton="0" quotePrefix="0" xfId="0">
      <alignment horizontal="center" vertical="center"/>
    </xf>
    <xf numFmtId="0" fontId="0" fillId="22" borderId="0" pivotButton="0" quotePrefix="0" xfId="0"/>
    <xf numFmtId="0" fontId="36" fillId="17" borderId="7" applyAlignment="1" pivotButton="0" quotePrefix="0" xfId="0">
      <alignment horizontal="left" vertical="center"/>
    </xf>
    <xf numFmtId="0" fontId="7" fillId="23" borderId="0" applyAlignment="1" pivotButton="0" quotePrefix="0" xfId="0">
      <alignment horizontal="left" vertical="center"/>
    </xf>
    <xf numFmtId="0" fontId="42" fillId="17" borderId="0" applyAlignment="1" pivotButton="0" quotePrefix="0" xfId="0">
      <alignment horizontal="center" vertical="center"/>
    </xf>
    <xf numFmtId="0" fontId="42" fillId="7" borderId="0" applyAlignment="1" pivotButton="0" quotePrefix="0" xfId="0">
      <alignment horizontal="center" vertical="center"/>
    </xf>
    <xf numFmtId="0" fontId="29" fillId="19" borderId="10" applyAlignment="1" pivotButton="0" quotePrefix="0" xfId="0">
      <alignment horizontal="left" vertical="center"/>
    </xf>
    <xf numFmtId="0" fontId="29" fillId="19" borderId="10" applyAlignment="1" pivotButton="0" quotePrefix="0" xfId="0">
      <alignment horizontal="center" vertical="center"/>
    </xf>
    <xf numFmtId="0" fontId="37" fillId="7" borderId="10" applyAlignment="1" pivotButton="0" quotePrefix="0" xfId="0">
      <alignment horizontal="left" vertical="center"/>
    </xf>
    <xf numFmtId="0" fontId="28" fillId="7" borderId="10" applyAlignment="1" pivotButton="0" quotePrefix="0" xfId="0">
      <alignment horizontal="center" vertical="center"/>
    </xf>
    <xf numFmtId="0" fontId="38" fillId="7" borderId="10" applyAlignment="1" pivotButton="0" quotePrefix="0" xfId="0">
      <alignment horizontal="center" vertical="center"/>
    </xf>
    <xf numFmtId="0" fontId="39" fillId="7" borderId="10" applyAlignment="1" pivotButton="0" quotePrefix="0" xfId="0">
      <alignment horizontal="left" vertical="center"/>
    </xf>
    <xf numFmtId="0" fontId="40" fillId="7" borderId="10" applyAlignment="1" pivotButton="0" quotePrefix="0" xfId="0">
      <alignment horizontal="left" vertical="center"/>
    </xf>
    <xf numFmtId="10" fontId="28" fillId="7" borderId="10" applyAlignment="1" pivotButton="0" quotePrefix="0" xfId="0">
      <alignment horizontal="center" vertical="center"/>
    </xf>
    <xf numFmtId="10" fontId="39" fillId="7" borderId="10" applyAlignment="1" pivotButton="0" quotePrefix="0" xfId="0">
      <alignment horizontal="center" vertical="center"/>
    </xf>
    <xf numFmtId="0" fontId="35" fillId="7" borderId="10" applyAlignment="1" pivotButton="0" quotePrefix="0" xfId="0">
      <alignment horizontal="center" vertical="center"/>
    </xf>
    <xf numFmtId="0" fontId="37" fillId="17" borderId="10" applyAlignment="1" pivotButton="0" quotePrefix="0" xfId="0">
      <alignment horizontal="left" vertical="center"/>
    </xf>
    <xf numFmtId="0" fontId="28" fillId="17" borderId="10" applyAlignment="1" pivotButton="0" quotePrefix="0" xfId="0">
      <alignment horizontal="center" vertical="center"/>
    </xf>
    <xf numFmtId="0" fontId="38" fillId="17" borderId="10" applyAlignment="1" pivotButton="0" quotePrefix="0" xfId="0">
      <alignment horizontal="center" vertical="center"/>
    </xf>
    <xf numFmtId="0" fontId="39" fillId="17" borderId="10" applyAlignment="1" pivotButton="0" quotePrefix="0" xfId="0">
      <alignment horizontal="left" vertical="center"/>
    </xf>
    <xf numFmtId="0" fontId="40" fillId="17" borderId="10" applyAlignment="1" pivotButton="0" quotePrefix="0" xfId="0">
      <alignment horizontal="left" vertical="center"/>
    </xf>
    <xf numFmtId="10" fontId="28" fillId="17" borderId="10" applyAlignment="1" pivotButton="0" quotePrefix="0" xfId="0">
      <alignment horizontal="center" vertical="center"/>
    </xf>
    <xf numFmtId="10" fontId="39" fillId="17" borderId="10" applyAlignment="1" pivotButton="0" quotePrefix="0" xfId="0">
      <alignment horizontal="center" vertical="center"/>
    </xf>
    <xf numFmtId="0" fontId="35" fillId="17" borderId="10" applyAlignment="1" pivotButton="0" quotePrefix="0" xfId="0">
      <alignment horizontal="center" vertical="center"/>
    </xf>
    <xf numFmtId="0" fontId="39" fillId="7" borderId="10" applyAlignment="1" pivotButton="0" quotePrefix="0" xfId="0">
      <alignment horizontal="center" vertical="center"/>
    </xf>
    <xf numFmtId="0" fontId="41" fillId="17" borderId="10" applyAlignment="1" pivotButton="0" quotePrefix="0" xfId="0">
      <alignment horizontal="center" vertical="center"/>
    </xf>
    <xf numFmtId="0" fontId="42" fillId="17" borderId="10" applyAlignment="1" pivotButton="0" quotePrefix="0" xfId="0">
      <alignment horizontal="left" vertical="center"/>
    </xf>
    <xf numFmtId="10" fontId="42" fillId="17" borderId="10" applyAlignment="1" pivotButton="0" quotePrefix="0" xfId="0">
      <alignment horizontal="center" vertical="center"/>
    </xf>
    <xf numFmtId="0" fontId="32" fillId="17" borderId="10" applyAlignment="1" pivotButton="0" quotePrefix="0" xfId="0">
      <alignment horizontal="center" vertical="center"/>
    </xf>
    <xf numFmtId="0" fontId="29" fillId="7" borderId="10" applyAlignment="1" pivotButton="0" quotePrefix="0" xfId="0">
      <alignment horizontal="center" vertical="center"/>
    </xf>
    <xf numFmtId="0" fontId="32" fillId="7" borderId="10" applyAlignment="1" pivotButton="0" quotePrefix="0" xfId="0">
      <alignment horizontal="left" vertical="center"/>
    </xf>
    <xf numFmtId="10" fontId="42" fillId="7" borderId="10" applyAlignment="1" pivotButton="0" quotePrefix="0" xfId="0">
      <alignment horizontal="center" vertical="center"/>
    </xf>
    <xf numFmtId="0" fontId="32" fillId="7" borderId="10" applyAlignment="1" pivotButton="0" quotePrefix="0" xfId="0">
      <alignment horizontal="center" vertical="center"/>
    </xf>
    <xf numFmtId="0" fontId="29" fillId="17" borderId="10" applyAlignment="1" pivotButton="0" quotePrefix="0" xfId="0">
      <alignment horizontal="center" vertical="center"/>
    </xf>
    <xf numFmtId="0" fontId="32" fillId="17" borderId="10" applyAlignment="1" pivotButton="0" quotePrefix="0" xfId="0">
      <alignment horizontal="left" vertical="center"/>
    </xf>
    <xf numFmtId="0" fontId="41" fillId="7" borderId="10" applyAlignment="1" pivotButton="0" quotePrefix="0" xfId="0">
      <alignment horizontal="center" vertical="center"/>
    </xf>
    <xf numFmtId="0" fontId="43" fillId="17" borderId="0" applyAlignment="1" pivotButton="0" quotePrefix="0" xfId="0">
      <alignment horizontal="left" vertical="center"/>
    </xf>
    <xf numFmtId="0" fontId="33" fillId="9" borderId="37" applyAlignment="1" pivotButton="0" quotePrefix="0" xfId="0">
      <alignment horizontal="left" vertical="center"/>
    </xf>
    <xf numFmtId="0" fontId="34" fillId="9" borderId="37" applyAlignment="1" pivotButton="0" quotePrefix="0" xfId="0">
      <alignment horizontal="right" vertical="center"/>
    </xf>
    <xf numFmtId="0" fontId="44" fillId="11" borderId="7" applyAlignment="1" pivotButton="0" quotePrefix="0" xfId="0">
      <alignment vertical="center"/>
    </xf>
    <xf numFmtId="0" fontId="17" fillId="19" borderId="38" applyAlignment="1" pivotButton="0" quotePrefix="0" xfId="0">
      <alignment horizontal="center" vertical="center"/>
    </xf>
    <xf numFmtId="0" fontId="17" fillId="19" borderId="38" applyAlignment="1" pivotButton="0" quotePrefix="0" xfId="0">
      <alignment horizontal="left" vertical="center"/>
    </xf>
    <xf numFmtId="0" fontId="16" fillId="7" borderId="40" applyAlignment="1" pivotButton="0" quotePrefix="0" xfId="0">
      <alignment horizontal="center" vertical="center"/>
    </xf>
    <xf numFmtId="0" fontId="16" fillId="7" borderId="40" applyAlignment="1" pivotButton="0" quotePrefix="0" xfId="0">
      <alignment horizontal="left" vertical="center"/>
    </xf>
    <xf numFmtId="0" fontId="17" fillId="7" borderId="40" applyAlignment="1" pivotButton="0" quotePrefix="0" xfId="0">
      <alignment horizontal="center" vertical="center"/>
    </xf>
    <xf numFmtId="0" fontId="16" fillId="7" borderId="41" applyAlignment="1" pivotButton="0" quotePrefix="0" xfId="0">
      <alignment horizontal="center" vertical="center"/>
    </xf>
    <xf numFmtId="0" fontId="16" fillId="17" borderId="40" applyAlignment="1" pivotButton="0" quotePrefix="0" xfId="0">
      <alignment horizontal="center" vertical="center"/>
    </xf>
    <xf numFmtId="0" fontId="16" fillId="17" borderId="40" applyAlignment="1" pivotButton="0" quotePrefix="0" xfId="0">
      <alignment horizontal="left" vertical="center"/>
    </xf>
    <xf numFmtId="0" fontId="17" fillId="17" borderId="40" applyAlignment="1" pivotButton="0" quotePrefix="0" xfId="0">
      <alignment horizontal="center" vertical="center"/>
    </xf>
    <xf numFmtId="0" fontId="16" fillId="17" borderId="41" applyAlignment="1" pivotButton="0" quotePrefix="0" xfId="0">
      <alignment horizontal="center" vertical="center"/>
    </xf>
    <xf numFmtId="0" fontId="17" fillId="19" borderId="44" applyAlignment="1" pivotButton="0" quotePrefix="0" xfId="0">
      <alignment horizontal="center" vertical="center"/>
    </xf>
    <xf numFmtId="0" fontId="16" fillId="7" borderId="45" applyAlignment="1" pivotButton="0" quotePrefix="0" xfId="0">
      <alignment horizontal="center" vertical="center"/>
    </xf>
    <xf numFmtId="0" fontId="16" fillId="17" borderId="45" applyAlignment="1" pivotButton="0" quotePrefix="0" xfId="0">
      <alignment horizontal="center" vertical="center"/>
    </xf>
    <xf numFmtId="0" fontId="17" fillId="19" borderId="47" applyAlignment="1" pivotButton="0" quotePrefix="0" xfId="0">
      <alignment horizontal="center" vertical="center"/>
    </xf>
    <xf numFmtId="0" fontId="16" fillId="7" borderId="48" applyAlignment="1" pivotButton="0" quotePrefix="0" xfId="0">
      <alignment horizontal="center" vertical="center"/>
    </xf>
    <xf numFmtId="0" fontId="16" fillId="17" borderId="48" applyAlignment="1" pivotButton="0" quotePrefix="0" xfId="0">
      <alignment horizontal="center" vertical="center"/>
    </xf>
    <xf numFmtId="0" fontId="45" fillId="23" borderId="40" applyAlignment="1" pivotButton="0" quotePrefix="0" xfId="0">
      <alignment horizontal="center" vertical="center"/>
    </xf>
    <xf numFmtId="0" fontId="45" fillId="23" borderId="48" applyAlignment="1" pivotButton="0" quotePrefix="0" xfId="0">
      <alignment horizontal="center" vertical="center"/>
    </xf>
    <xf numFmtId="0" fontId="45" fillId="23" borderId="45" applyAlignment="1" pivotButton="0" quotePrefix="0" xfId="0">
      <alignment horizontal="center" vertical="center"/>
    </xf>
    <xf numFmtId="0" fontId="45" fillId="23" borderId="40" applyAlignment="1" pivotButton="0" quotePrefix="0" xfId="0">
      <alignment horizontal="left" vertical="center"/>
    </xf>
    <xf numFmtId="0" fontId="26" fillId="17" borderId="41" applyAlignment="1" pivotButton="0" quotePrefix="0" xfId="0">
      <alignment horizontal="center" vertical="center"/>
    </xf>
    <xf numFmtId="0" fontId="20" fillId="17" borderId="40" applyAlignment="1" pivotButton="0" quotePrefix="0" xfId="0">
      <alignment horizontal="center" vertical="center"/>
    </xf>
    <xf numFmtId="0" fontId="21" fillId="7" borderId="41" applyAlignment="1" pivotButton="0" quotePrefix="0" xfId="0">
      <alignment horizontal="center" vertical="center"/>
    </xf>
    <xf numFmtId="0" fontId="20" fillId="7" borderId="40" applyAlignment="1" pivotButton="0" quotePrefix="0" xfId="0">
      <alignment horizontal="center" vertical="center"/>
    </xf>
    <xf numFmtId="0" fontId="21" fillId="17" borderId="41" applyAlignment="1" pivotButton="0" quotePrefix="0" xfId="0">
      <alignment horizontal="center" vertical="center"/>
    </xf>
    <xf numFmtId="0" fontId="21" fillId="17" borderId="40" applyAlignment="1" pivotButton="0" quotePrefix="0" xfId="0">
      <alignment horizontal="center" vertical="center"/>
    </xf>
    <xf numFmtId="0" fontId="21" fillId="7" borderId="40" applyAlignment="1" pivotButton="0" quotePrefix="0" xfId="0">
      <alignment horizontal="center" vertical="center"/>
    </xf>
    <xf numFmtId="0" fontId="16" fillId="7" borderId="42" applyAlignment="1" pivotButton="0" quotePrefix="0" xfId="0">
      <alignment horizontal="center" vertical="center"/>
    </xf>
    <xf numFmtId="0" fontId="16" fillId="7" borderId="42" applyAlignment="1" pivotButton="0" quotePrefix="0" xfId="0">
      <alignment horizontal="left" vertical="center"/>
    </xf>
    <xf numFmtId="0" fontId="17" fillId="7" borderId="42" applyAlignment="1" pivotButton="0" quotePrefix="0" xfId="0">
      <alignment horizontal="center" vertical="center"/>
    </xf>
    <xf numFmtId="0" fontId="16" fillId="7" borderId="43" applyAlignment="1" pivotButton="0" quotePrefix="0" xfId="0">
      <alignment horizontal="center" vertical="center"/>
    </xf>
    <xf numFmtId="0" fontId="16" fillId="7" borderId="46" applyAlignment="1" pivotButton="0" quotePrefix="0" xfId="0">
      <alignment horizontal="center" vertical="center"/>
    </xf>
    <xf numFmtId="0" fontId="16" fillId="7" borderId="49" applyAlignment="1" pivotButton="0" quotePrefix="0" xfId="0">
      <alignment horizontal="center" vertical="center"/>
    </xf>
    <xf numFmtId="0" fontId="26" fillId="7" borderId="41" applyAlignment="1" pivotButton="0" quotePrefix="0" xfId="0">
      <alignment horizontal="center" vertical="center"/>
    </xf>
    <xf numFmtId="0" fontId="25" fillId="7" borderId="40" applyAlignment="1" pivotButton="0" quotePrefix="0" xfId="0">
      <alignment horizontal="center" vertical="center"/>
    </xf>
    <xf numFmtId="0" fontId="25" fillId="17" borderId="40" applyAlignment="1" pivotButton="0" quotePrefix="0" xfId="0">
      <alignment horizontal="center" vertical="center"/>
    </xf>
    <xf numFmtId="0" fontId="21" fillId="23" borderId="41" applyAlignment="1" pivotButton="0" quotePrefix="0" xfId="0">
      <alignment horizontal="center" vertical="center"/>
    </xf>
    <xf numFmtId="0" fontId="46" fillId="23" borderId="40" applyAlignment="1" pivotButton="0" quotePrefix="0" xfId="0">
      <alignment horizontal="center" vertical="center"/>
    </xf>
    <xf numFmtId="0" fontId="47" fillId="9" borderId="25" applyAlignment="1" pivotButton="0" quotePrefix="0" xfId="0">
      <alignment horizontal="left" vertical="center"/>
    </xf>
    <xf numFmtId="0" fontId="44" fillId="11" borderId="7" applyAlignment="1" pivotButton="0" quotePrefix="0" xfId="0">
      <alignment horizontal="left" vertical="center"/>
    </xf>
    <xf numFmtId="0" fontId="49" fillId="9" borderId="25" applyAlignment="1" pivotButton="0" quotePrefix="0" xfId="0">
      <alignment horizontal="right" vertical="center"/>
    </xf>
    <xf numFmtId="0" fontId="37" fillId="11" borderId="36" applyAlignment="1" pivotButton="0" quotePrefix="0" xfId="0">
      <alignment horizontal="center" vertical="center"/>
    </xf>
    <xf numFmtId="0" fontId="37" fillId="11" borderId="36" applyAlignment="1" pivotButton="0" quotePrefix="0" xfId="0">
      <alignment horizontal="left" vertical="center"/>
    </xf>
    <xf numFmtId="0" fontId="29" fillId="11" borderId="36" applyAlignment="1" pivotButton="0" quotePrefix="0" xfId="0">
      <alignment horizontal="center" vertical="center"/>
    </xf>
    <xf numFmtId="0" fontId="50" fillId="11" borderId="36" applyAlignment="1" pivotButton="0" quotePrefix="0" xfId="0">
      <alignment horizontal="center" vertical="center"/>
    </xf>
    <xf numFmtId="10" fontId="37" fillId="11" borderId="36" applyAlignment="1" pivotButton="0" quotePrefix="0" xfId="0">
      <alignment horizontal="center" vertical="center"/>
    </xf>
    <xf numFmtId="10" fontId="41" fillId="11" borderId="36" applyAlignment="1" pivotButton="0" quotePrefix="0" xfId="0">
      <alignment horizontal="center" vertical="center"/>
    </xf>
    <xf numFmtId="0" fontId="0" fillId="0" borderId="10" pivotButton="0" quotePrefix="0" xfId="0"/>
    <xf numFmtId="0" fontId="16" fillId="7" borderId="50" applyAlignment="1" pivotButton="0" quotePrefix="0" xfId="0">
      <alignment horizontal="center" vertical="center"/>
    </xf>
    <xf numFmtId="0" fontId="29" fillId="19" borderId="0" applyAlignment="1" pivotButton="0" quotePrefix="0" xfId="0">
      <alignment horizontal="center" vertical="center"/>
    </xf>
    <xf numFmtId="0" fontId="4" fillId="0" borderId="0" pivotButton="0" quotePrefix="0" xfId="0"/>
    <xf numFmtId="0" fontId="51" fillId="7" borderId="0" applyAlignment="1" pivotButton="0" quotePrefix="0" xfId="0">
      <alignment horizontal="center" vertical="center"/>
    </xf>
    <xf numFmtId="0" fontId="52" fillId="7" borderId="0" applyAlignment="1" pivotButton="0" quotePrefix="0" xfId="0">
      <alignment vertical="center"/>
    </xf>
    <xf numFmtId="0" fontId="53" fillId="7" borderId="0" applyAlignment="1" pivotButton="0" quotePrefix="0" xfId="0">
      <alignment horizontal="center" vertical="center"/>
    </xf>
    <xf numFmtId="0" fontId="52" fillId="7" borderId="0" applyAlignment="1" pivotButton="0" quotePrefix="0" xfId="0">
      <alignment horizontal="center" vertical="center"/>
    </xf>
    <xf numFmtId="0" fontId="52" fillId="17" borderId="0" applyAlignment="1" pivotButton="0" quotePrefix="0" xfId="0">
      <alignment vertical="center"/>
    </xf>
    <xf numFmtId="0" fontId="51" fillId="17" borderId="0" applyAlignment="1" pivotButton="0" quotePrefix="0" xfId="0">
      <alignment horizontal="center" vertical="center"/>
    </xf>
    <xf numFmtId="0" fontId="53" fillId="17" borderId="0" applyAlignment="1" pivotButton="0" quotePrefix="0" xfId="0">
      <alignment horizontal="center" vertical="center"/>
    </xf>
    <xf numFmtId="0" fontId="52" fillId="17" borderId="0" applyAlignment="1" pivotButton="0" quotePrefix="0" xfId="0">
      <alignment horizontal="center" vertical="center"/>
    </xf>
    <xf numFmtId="0" fontId="54" fillId="17" borderId="0" applyAlignment="1" pivotButton="0" quotePrefix="0" xfId="0">
      <alignment vertical="center"/>
    </xf>
    <xf numFmtId="0" fontId="54" fillId="7" borderId="0" applyAlignment="1" pivotButton="0" quotePrefix="0" xfId="0">
      <alignment vertical="center"/>
    </xf>
    <xf numFmtId="0" fontId="56" fillId="24" borderId="0" applyAlignment="1" pivotButton="0" quotePrefix="0" xfId="0">
      <alignment horizontal="center" vertical="center"/>
    </xf>
    <xf numFmtId="0" fontId="57" fillId="24" borderId="0" applyAlignment="1" pivotButton="0" quotePrefix="0" xfId="0">
      <alignment vertical="top"/>
    </xf>
    <xf numFmtId="0" fontId="57" fillId="24" borderId="0" applyAlignment="1" pivotButton="0" quotePrefix="0" xfId="0">
      <alignment horizontal="center" vertical="top"/>
    </xf>
    <xf numFmtId="0" fontId="58" fillId="24" borderId="0" applyAlignment="1" pivotButton="0" quotePrefix="0" xfId="0">
      <alignment horizontal="left" vertical="center"/>
    </xf>
    <xf numFmtId="0" fontId="57" fillId="24" borderId="0" applyAlignment="1" pivotButton="0" quotePrefix="0" xfId="0">
      <alignment horizontal="left" vertical="top"/>
    </xf>
    <xf numFmtId="0" fontId="59" fillId="24" borderId="0" applyAlignment="1" pivotButton="0" quotePrefix="0" xfId="0">
      <alignment horizontal="center" vertical="center"/>
    </xf>
    <xf numFmtId="0" fontId="48" fillId="24" borderId="0" applyAlignment="1" pivotButton="0" quotePrefix="0" xfId="0">
      <alignment horizontal="center" vertical="center"/>
    </xf>
    <xf numFmtId="0" fontId="60" fillId="24" borderId="0" applyAlignment="1" pivotButton="0" quotePrefix="0" xfId="0">
      <alignment horizontal="center" vertical="center"/>
    </xf>
    <xf numFmtId="0" fontId="45" fillId="26" borderId="0" pivotButton="0" quotePrefix="0" xfId="0"/>
    <xf numFmtId="0" fontId="0" fillId="24" borderId="0" applyAlignment="1" pivotButton="0" quotePrefix="0" xfId="0">
      <alignment vertical="center"/>
    </xf>
    <xf numFmtId="0" fontId="62" fillId="24" borderId="0" applyAlignment="1" pivotButton="0" quotePrefix="0" xfId="0">
      <alignment horizontal="center" vertical="center"/>
    </xf>
    <xf numFmtId="0" fontId="45" fillId="28" borderId="0" applyAlignment="1" pivotButton="0" quotePrefix="0" xfId="0">
      <alignment horizontal="center" vertical="center"/>
    </xf>
    <xf numFmtId="0" fontId="45" fillId="28" borderId="0" applyAlignment="1" pivotButton="0" quotePrefix="0" xfId="0">
      <alignment horizontal="left" vertical="center"/>
    </xf>
    <xf numFmtId="0" fontId="63" fillId="24" borderId="0" applyAlignment="1" pivotButton="0" quotePrefix="0" xfId="0">
      <alignment horizontal="center" vertical="center"/>
    </xf>
    <xf numFmtId="0" fontId="45" fillId="29" borderId="0" applyAlignment="1" pivotButton="0" quotePrefix="0" xfId="0">
      <alignment horizontal="center" vertical="center"/>
    </xf>
    <xf numFmtId="0" fontId="45" fillId="29" borderId="0" applyAlignment="1" pivotButton="0" quotePrefix="0" xfId="0">
      <alignment horizontal="left" vertical="center"/>
    </xf>
    <xf numFmtId="0" fontId="64" fillId="24" borderId="0" applyAlignment="1" pivotButton="0" quotePrefix="0" xfId="0">
      <alignment horizontal="center" vertical="center"/>
    </xf>
    <xf numFmtId="0" fontId="45" fillId="30" borderId="0" applyAlignment="1" pivotButton="0" quotePrefix="0" xfId="0">
      <alignment horizontal="center" vertical="center"/>
    </xf>
    <xf numFmtId="0" fontId="45" fillId="30" borderId="0" applyAlignment="1" pivotButton="0" quotePrefix="0" xfId="0">
      <alignment horizontal="left" vertical="center"/>
    </xf>
    <xf numFmtId="0" fontId="65" fillId="24" borderId="0" applyAlignment="1" pivotButton="0" quotePrefix="0" xfId="0">
      <alignment horizontal="center" vertical="center"/>
    </xf>
    <xf numFmtId="0" fontId="45" fillId="31" borderId="0" applyAlignment="1" pivotButton="0" quotePrefix="0" xfId="0">
      <alignment horizontal="center" vertical="center"/>
    </xf>
    <xf numFmtId="0" fontId="45" fillId="31" borderId="0" applyAlignment="1" pivotButton="0" quotePrefix="0" xfId="0">
      <alignment horizontal="left" vertical="center"/>
    </xf>
    <xf numFmtId="0" fontId="66" fillId="24" borderId="0" applyAlignment="1" pivotButton="0" quotePrefix="0" xfId="0">
      <alignment horizontal="center" vertical="center"/>
    </xf>
    <xf numFmtId="0" fontId="45" fillId="32" borderId="0" applyAlignment="1" pivotButton="0" quotePrefix="0" xfId="0">
      <alignment horizontal="center" vertical="center"/>
    </xf>
    <xf numFmtId="0" fontId="45" fillId="32" borderId="0" applyAlignment="1" pivotButton="0" quotePrefix="0" xfId="0">
      <alignment horizontal="left" vertical="center"/>
    </xf>
    <xf numFmtId="0" fontId="12" fillId="11" borderId="0" applyAlignment="1" pivotButton="0" quotePrefix="0" xfId="0">
      <alignment horizontal="center"/>
    </xf>
    <xf numFmtId="0" fontId="0" fillId="11" borderId="0" applyAlignment="1" pivotButton="0" quotePrefix="0" xfId="0">
      <alignment horizontal="center" vertical="center"/>
    </xf>
    <xf numFmtId="0" fontId="5" fillId="25" borderId="0" applyAlignment="1" pivotButton="0" quotePrefix="0" xfId="0">
      <alignment horizontal="left" vertical="center" indent="1"/>
    </xf>
    <xf numFmtId="0" fontId="55" fillId="27" borderId="0" applyAlignment="1" pivotButton="0" quotePrefix="0" xfId="0">
      <alignment horizontal="left" vertical="center" indent="1"/>
    </xf>
    <xf numFmtId="0" fontId="61" fillId="25" borderId="0" applyAlignment="1" pivotButton="0" quotePrefix="0" xfId="0">
      <alignment horizontal="left" vertical="center" indent="1"/>
    </xf>
    <xf numFmtId="0" fontId="55" fillId="28" borderId="0" applyAlignment="1" pivotButton="0" quotePrefix="0" xfId="0">
      <alignment horizontal="left" vertical="center" indent="1"/>
    </xf>
    <xf numFmtId="0" fontId="55" fillId="29" borderId="0" applyAlignment="1" pivotButton="0" quotePrefix="0" xfId="0">
      <alignment horizontal="left" vertical="center" indent="1"/>
    </xf>
    <xf numFmtId="0" fontId="55" fillId="30" borderId="0" applyAlignment="1" pivotButton="0" quotePrefix="0" xfId="0">
      <alignment horizontal="left" vertical="center" indent="1"/>
    </xf>
    <xf numFmtId="0" fontId="55" fillId="31" borderId="0" applyAlignment="1" pivotButton="0" quotePrefix="0" xfId="0">
      <alignment horizontal="left" vertical="center" indent="1"/>
    </xf>
    <xf numFmtId="0" fontId="55" fillId="32" borderId="0" applyAlignment="1" pivotButton="0" quotePrefix="0" xfId="0">
      <alignment horizontal="left" vertical="center" indent="1"/>
    </xf>
    <xf numFmtId="4" fontId="0" fillId="0" borderId="0" pivotButton="0" quotePrefix="0" xfId="0"/>
    <xf numFmtId="0" fontId="0" fillId="24" borderId="0" applyAlignment="1" pivotButton="0" quotePrefix="0" xfId="0">
      <alignment vertical="center"/>
    </xf>
    <xf numFmtId="0" fontId="67" fillId="24" borderId="0" applyAlignment="1" pivotButton="0" quotePrefix="0" xfId="0">
      <alignment vertical="center"/>
    </xf>
    <xf numFmtId="0" fontId="68" fillId="24" borderId="0" applyAlignment="1" pivotButton="0" quotePrefix="0" xfId="0">
      <alignment horizontal="center" vertical="center"/>
    </xf>
    <xf numFmtId="0" fontId="59" fillId="24" borderId="38" applyAlignment="1" pivotButton="0" quotePrefix="0" xfId="0">
      <alignment horizontal="center" vertical="center"/>
    </xf>
    <xf numFmtId="0" fontId="48" fillId="24" borderId="38" applyAlignment="1" pivotButton="0" quotePrefix="0" xfId="0">
      <alignment horizontal="center" vertical="center"/>
    </xf>
    <xf numFmtId="0" fontId="68" fillId="24" borderId="39" applyAlignment="1" pivotButton="0" quotePrefix="0" xfId="0">
      <alignment horizontal="center" vertical="center"/>
    </xf>
    <xf numFmtId="0" fontId="57" fillId="24" borderId="40" applyAlignment="1" pivotButton="0" quotePrefix="0" xfId="0">
      <alignment horizontal="center" vertical="center"/>
    </xf>
    <xf numFmtId="0" fontId="57" fillId="24" borderId="41" applyAlignment="1" pivotButton="0" quotePrefix="0" xfId="0">
      <alignment horizontal="center" vertical="center"/>
    </xf>
    <xf numFmtId="0" fontId="13" fillId="11" borderId="7" applyAlignment="1" pivotButton="0" quotePrefix="0" xfId="0">
      <alignment horizontal="center" vertical="top"/>
    </xf>
    <xf numFmtId="0" fontId="12" fillId="11" borderId="0" pivotButton="0" quotePrefix="0" xfId="0"/>
    <xf numFmtId="0" fontId="13" fillId="11" borderId="7" applyAlignment="1" pivotButton="0" quotePrefix="0" xfId="0">
      <alignment vertical="top"/>
    </xf>
    <xf numFmtId="49" fontId="14" fillId="11" borderId="0" applyAlignment="1" pivotButton="0" quotePrefix="0" xfId="0">
      <alignment horizontal="center"/>
    </xf>
    <xf numFmtId="0" fontId="35" fillId="17" borderId="7" applyAlignment="1" pivotButton="0" quotePrefix="0" xfId="0">
      <alignment horizontal="left" vertical="center"/>
    </xf>
    <xf numFmtId="0" fontId="7" fillId="33" borderId="0" applyAlignment="1" pivotButton="0" quotePrefix="0" xfId="0">
      <alignment horizontal="left" vertical="center"/>
    </xf>
    <xf numFmtId="0" fontId="0" fillId="33" borderId="0" pivotButton="0" quotePrefix="0" xfId="0"/>
    <xf numFmtId="1" fontId="0" fillId="33" borderId="0" pivotButton="0" quotePrefix="0" xfId="0"/>
    <xf numFmtId="49" fontId="0" fillId="33" borderId="0" pivotButton="0" quotePrefix="0" xfId="0"/>
    <xf numFmtId="0" fontId="4" fillId="33" borderId="0" pivotButton="0" quotePrefix="0" xfId="0"/>
    <xf numFmtId="0" fontId="29" fillId="19" borderId="9" applyAlignment="1" pivotButton="0" quotePrefix="0" xfId="0">
      <alignment horizontal="center" vertical="center"/>
    </xf>
    <xf numFmtId="0" fontId="29" fillId="19" borderId="0" applyAlignment="1" pivotButton="0" quotePrefix="0" xfId="0">
      <alignment horizontal="center" vertical="center"/>
    </xf>
    <xf numFmtId="0" fontId="37" fillId="33" borderId="0" applyAlignment="1" pivotButton="0" quotePrefix="0" xfId="0">
      <alignment horizontal="center"/>
    </xf>
    <xf numFmtId="0" fontId="29" fillId="19" borderId="1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15 Sociétés — Score Global FinSight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v>Score Global /100</v>
          </tx>
          <spPr>
            <a:solidFill xmlns:a="http://schemas.openxmlformats.org/drawingml/2006/main">
              <a:srgbClr val="1E3A5F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VALUE!$O$2:$O$16</f>
              <strCache>
                <ptCount val="15"/>
                <pt idx="0">
                  <v>Hermès International</v>
                </pt>
                <pt idx="1">
                  <v>L'Air Liquide S.A.</v>
                </pt>
                <pt idx="2">
                  <v>Sanofi</v>
                </pt>
                <pt idx="3">
                  <v xml:space="preserve">Eurofins Scientific </v>
                </pt>
                <pt idx="4">
                  <v>Dassault Systèmes SE</v>
                </pt>
                <pt idx="5">
                  <v>Alstom SA</v>
                </pt>
                <pt idx="6">
                  <v>Unibail-Rodamco-West</v>
                </pt>
                <pt idx="7">
                  <v>Safran SA</v>
                </pt>
                <pt idx="8">
                  <v>Airbus SE</v>
                </pt>
                <pt idx="9">
                  <v>Crédit Agricole S.A.</v>
                </pt>
                <pt idx="10">
                  <v>Legrand SA</v>
                </pt>
                <pt idx="11">
                  <v>L'Oréal S.A.</v>
                </pt>
                <pt idx="12">
                  <v>EssilorLuxottica Soc</v>
                </pt>
                <pt idx="13">
                  <v>AXA SA</v>
                </pt>
                <pt idx="14">
                  <v>BNP Paribas SA</v>
                </pt>
              </strCache>
            </strRef>
          </cat>
          <val>
            <numRef>
              <f>VALUE!$P$2:$P$16</f>
              <numCache>
                <formatCode>General</formatCode>
                <ptCount val="15"/>
                <pt idx="0">
                  <v>75</v>
                </pt>
                <pt idx="1">
                  <v>74</v>
                </pt>
                <pt idx="2">
                  <v>72</v>
                </pt>
                <pt idx="3">
                  <v>72</v>
                </pt>
                <pt idx="4">
                  <v>72</v>
                </pt>
                <pt idx="5">
                  <v>70</v>
                </pt>
                <pt idx="6">
                  <v>69</v>
                </pt>
                <pt idx="7">
                  <v>68</v>
                </pt>
                <pt idx="8">
                  <v>68</v>
                </pt>
                <pt idx="9">
                  <v>65</v>
                </pt>
                <pt idx="10">
                  <v>64</v>
                </pt>
                <pt idx="11">
                  <v>64</v>
                </pt>
                <pt idx="12">
                  <v>64</v>
                </pt>
                <pt idx="13">
                  <v>64</v>
                </pt>
                <pt idx="14">
                  <v>62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361261023"/>
        <axId val="361262463"/>
      </barChart>
      <catAx>
        <axId val="361261023"/>
        <scaling>
          <orientation val="maxMin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61262463"/>
        <crosses val="autoZero"/>
        <auto val="1"/>
        <lblAlgn val="ctr"/>
        <lblOffset val="100"/>
        <noMultiLvlLbl val="0"/>
      </catAx>
      <valAx>
        <axId val="361262463"/>
        <scaling>
          <orientation val="minMax"/>
          <max val="100"/>
          <min val="0"/>
        </scaling>
        <delete val="0"/>
        <axPos val="t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61261023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Sociétés — Score Croissance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strRef>
              <f>GROWTH!$P$1</f>
              <strCache>
                <ptCount val="1"/>
                <pt idx="0">
                  <v>Score Gr</v>
                </pt>
              </strCache>
            </strRef>
          </tx>
          <spPr>
            <a:solidFill xmlns:a="http://schemas.openxmlformats.org/drawingml/2006/main">
              <a:srgbClr val="2D8A6E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GROWTH!$O$2:$O$11</f>
              <strCache>
                <ptCount val="10"/>
                <pt idx="0">
                  <v>Safran SA</v>
                </pt>
                <pt idx="1">
                  <v>Vivendi SE</v>
                </pt>
                <pt idx="2">
                  <v>Alstom SA</v>
                </pt>
                <pt idx="3">
                  <v>Unibail-Rodamco-We</v>
                </pt>
                <pt idx="4">
                  <v>Thales S.A.</v>
                </pt>
                <pt idx="5">
                  <v>Sanofi</v>
                </pt>
                <pt idx="6">
                  <v>Airbus SE</v>
                </pt>
                <pt idx="7">
                  <v>Legrand SA</v>
                </pt>
                <pt idx="8">
                  <v>ArcelorMittal S.A.</v>
                </pt>
                <pt idx="9">
                  <v>Eurofins Scientifi</v>
                </pt>
              </strCache>
            </strRef>
          </cat>
          <val>
            <numRef>
              <f>GROWTH!$P$2:$P$11</f>
              <numCache>
                <formatCode>General</formatCode>
                <ptCount val="10"/>
                <pt idx="0">
                  <v>100</v>
                </pt>
                <pt idx="1">
                  <v>97</v>
                </pt>
                <pt idx="2">
                  <v>95</v>
                </pt>
                <pt idx="3">
                  <v>92</v>
                </pt>
                <pt idx="4">
                  <v>89</v>
                </pt>
                <pt idx="5">
                  <v>87</v>
                </pt>
                <pt idx="6">
                  <v>84</v>
                </pt>
                <pt idx="7">
                  <v>82</v>
                </pt>
                <pt idx="8">
                  <v>79</v>
                </pt>
                <pt idx="9">
                  <v>76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361265823"/>
        <axId val="361266303"/>
      </barChart>
      <catAx>
        <axId val="361265823"/>
        <scaling>
          <orientation val="maxMin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61266303"/>
        <crosses val="autoZero"/>
        <auto val="1"/>
        <lblAlgn val="ctr"/>
        <lblOffset val="100"/>
        <noMultiLvlLbl val="0"/>
      </catAx>
      <valAx>
        <axId val="361266303"/>
        <scaling>
          <orientation val="minMax"/>
          <max val="100"/>
          <min val="0"/>
        </scaling>
        <delete val="0"/>
        <axPos val="t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61265823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Sociétés — Score Qualité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strRef>
              <f>QUALITY!$P$1</f>
              <strCache>
                <ptCount val="1"/>
                <pt idx="0">
                  <v>Score Qual</v>
                </pt>
              </strCache>
            </strRef>
          </tx>
          <spPr>
            <a:solidFill xmlns:a="http://schemas.openxmlformats.org/drawingml/2006/main">
              <a:srgbClr val="8E7BB5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QUALITY!$O$2:$O$11</f>
              <strCache>
                <ptCount val="10"/>
                <pt idx="0">
                  <v>Dassault Systèm</v>
                </pt>
                <pt idx="1">
                  <v>Sanofi</v>
                </pt>
                <pt idx="2">
                  <v>Unibail-Rodamco</v>
                </pt>
                <pt idx="3">
                  <v>Crédit Agricole</v>
                </pt>
                <pt idx="4">
                  <v>Hermès Internat</v>
                </pt>
                <pt idx="5">
                  <v>Kering SA</v>
                </pt>
                <pt idx="6">
                  <v>L'Oréal S.A.</v>
                </pt>
                <pt idx="7">
                  <v xml:space="preserve">Bureau Veritas </v>
                </pt>
                <pt idx="8">
                  <v>LVMH Moët Henne</v>
                </pt>
                <pt idx="9">
                  <v>L'Air Liquide S</v>
                </pt>
              </strCache>
            </strRef>
          </cat>
          <val>
            <numRef>
              <f>QUALITY!$P$2:$P$11</f>
              <numCache>
                <formatCode>General</formatCode>
                <ptCount val="10"/>
                <pt idx="0">
                  <v>100</v>
                </pt>
                <pt idx="1">
                  <v>97</v>
                </pt>
                <pt idx="2">
                  <v>95</v>
                </pt>
                <pt idx="3">
                  <v>92</v>
                </pt>
                <pt idx="4">
                  <v>90</v>
                </pt>
                <pt idx="5">
                  <v>87</v>
                </pt>
                <pt idx="6">
                  <v>85</v>
                </pt>
                <pt idx="7">
                  <v>82</v>
                </pt>
                <pt idx="8">
                  <v>79</v>
                </pt>
                <pt idx="9">
                  <v>77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651298192"/>
        <axId val="651296752"/>
      </barChart>
      <catAx>
        <axId val="651298192"/>
        <scaling>
          <orientation val="maxMin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651296752"/>
        <crosses val="autoZero"/>
        <auto val="1"/>
        <lblAlgn val="ctr"/>
        <lblOffset val="100"/>
        <noMultiLvlLbl val="0"/>
      </catAx>
      <valAx>
        <axId val="651296752"/>
        <scaling>
          <orientation val="minMax"/>
          <max val="100"/>
          <min val="0"/>
        </scaling>
        <delete val="0"/>
        <axPos val="t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651298192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Sociétés — Score Momentum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strRef>
              <f>MOMENTUM!$P$1</f>
              <strCache>
                <ptCount val="1"/>
                <pt idx="0">
                  <v>Score Mom</v>
                </pt>
              </strCache>
            </strRef>
          </tx>
          <spPr>
            <a:solidFill xmlns:a="http://schemas.openxmlformats.org/drawingml/2006/main">
              <a:srgbClr val="C8A95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MOMENTUM!$O$2:$O$11</f>
              <strCache>
                <ptCount val="10"/>
                <pt idx="0">
                  <v>Alstom SA</v>
                </pt>
                <pt idx="1">
                  <v>Airbus SE</v>
                </pt>
                <pt idx="2">
                  <v>BNP Paribas SA</v>
                </pt>
                <pt idx="3">
                  <v>AXA SA</v>
                </pt>
                <pt idx="4">
                  <v>L'Air Liquide S.A.</v>
                </pt>
                <pt idx="5">
                  <v>Capgemini SE</v>
                </pt>
                <pt idx="6">
                  <v>Carrefour SA</v>
                </pt>
                <pt idx="7">
                  <v>Crédit Agricole S.</v>
                </pt>
                <pt idx="8">
                  <v>Bouygues SA</v>
                </pt>
                <pt idx="9">
                  <v>Danone S.A.</v>
                </pt>
              </strCache>
            </strRef>
          </cat>
          <val>
            <numRef>
              <f>MOMENTUM!$P$2:$P$11</f>
              <numCache>
                <formatCode>General</formatCode>
                <ptCount val="10"/>
                <pt idx="0">
                  <v>100</v>
                </pt>
                <pt idx="1">
                  <v>97</v>
                </pt>
                <pt idx="2">
                  <v>95</v>
                </pt>
                <pt idx="3">
                  <v>92</v>
                </pt>
                <pt idx="4">
                  <v>90</v>
                </pt>
                <pt idx="5">
                  <v>87</v>
                </pt>
                <pt idx="6">
                  <v>85</v>
                </pt>
                <pt idx="7">
                  <v>82</v>
                </pt>
                <pt idx="8">
                  <v>79</v>
                </pt>
                <pt idx="9">
                  <v>77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361271583"/>
        <axId val="361270143"/>
      </barChart>
      <catAx>
        <axId val="361271583"/>
        <scaling>
          <orientation val="maxMin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61270143"/>
        <crosses val="autoZero"/>
        <auto val="1"/>
        <lblAlgn val="ctr"/>
        <lblOffset val="100"/>
        <noMultiLvlLbl val="0"/>
      </catAx>
      <valAx>
        <axId val="361270143"/>
        <scaling>
          <orientation val="minMax"/>
          <max val="100"/>
          <min val="0"/>
        </scaling>
        <delete val="0"/>
        <axPos val="t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61271583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 Composite FinSight par Secteur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v>Score /100</v>
          </tx>
          <spPr>
            <a:solidFill xmlns:a="http://schemas.openxmlformats.org/drawingml/2006/main">
              <a:srgbClr val="1E3A5F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'PAR SECTEUR'!$L$2:$L$11</f>
              <strCache>
                <ptCount val="10"/>
                <pt idx="0">
                  <v>Healthcare</v>
                </pt>
                <pt idx="1">
                  <v>Real Estate</v>
                </pt>
                <pt idx="2">
                  <v>Financials</v>
                </pt>
                <pt idx="3">
                  <v>Industrials</v>
                </pt>
                <pt idx="4">
                  <v>Consumer Staples</v>
                </pt>
                <pt idx="5">
                  <v>Consumer Disc.</v>
                </pt>
                <pt idx="6">
                  <v>Materials</v>
                </pt>
                <pt idx="7">
                  <v>Comm. Services</v>
                </pt>
                <pt idx="8">
                  <v>Technology</v>
                </pt>
                <pt idx="9">
                  <v>Energy</v>
                </pt>
              </strCache>
            </strRef>
          </cat>
          <val>
            <numRef>
              <f>'PAR SECTEUR'!$M$2:$M$11</f>
              <numCache>
                <formatCode>General</formatCode>
                <ptCount val="10"/>
                <pt idx="0">
                  <v>72</v>
                </pt>
                <pt idx="1">
                  <v>69</v>
                </pt>
                <pt idx="2">
                  <v>63</v>
                </pt>
                <pt idx="3">
                  <v>57</v>
                </pt>
                <pt idx="4">
                  <v>55</v>
                </pt>
                <pt idx="5">
                  <v>54</v>
                </pt>
                <pt idx="6">
                  <v>53</v>
                </pt>
                <pt idx="7">
                  <v>38</v>
                </pt>
                <pt idx="8">
                  <v>36</v>
                </pt>
                <pt idx="9">
                  <v>18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361250943"/>
        <axId val="361245663"/>
      </barChart>
      <catAx>
        <axId val="361250943"/>
        <scaling>
          <orientation val="maxMin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61245663"/>
        <crosses val="autoZero"/>
        <auto val="1"/>
        <lblAlgn val="ctr"/>
        <lblOffset val="100"/>
        <noMultiLvlLbl val="0"/>
      </catAx>
      <valAx>
        <axId val="361245663"/>
        <scaling>
          <orientation val="minMax"/>
          <max val="100"/>
          <min val="0"/>
        </scaling>
        <delete val="0"/>
        <axPos val="t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61250943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Marge EBITDA Médiane par Secteur (%)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v>Mg EBITDA %</v>
          </tx>
          <spPr>
            <a:solidFill xmlns:a="http://schemas.openxmlformats.org/drawingml/2006/main">
              <a:srgbClr val="C8A95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'PAR SECTEUR'!$L$14:$L$22</f>
              <strCache>
                <ptCount val="6"/>
                <pt idx="0">
                  <v>Financials</v>
                </pt>
                <pt idx="1">
                  <v>Real Estate</v>
                </pt>
                <pt idx="2">
                  <v>Consumer Disc.</v>
                </pt>
                <pt idx="3">
                  <v>Healthcare</v>
                </pt>
                <pt idx="4">
                  <v>Materials</v>
                </pt>
                <pt idx="5">
                  <v>Consumer Staples</v>
                </pt>
              </strCache>
            </strRef>
          </cat>
          <val>
            <numRef>
              <f>'PAR SECTEUR'!$M$14:$M$22</f>
              <numCache>
                <formatCode>General</formatCode>
                <ptCount val="9"/>
                <pt idx="0">
                  <v>103.4</v>
                </pt>
                <pt idx="1">
                  <v>89.09999999999999</v>
                </pt>
                <pt idx="2">
                  <v>28.3</v>
                </pt>
                <pt idx="3">
                  <v>23.2</v>
                </pt>
                <pt idx="4">
                  <v>22.7</v>
                </pt>
                <pt idx="5">
                  <v>16.1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361249023"/>
        <axId val="361252383"/>
      </barChart>
      <catAx>
        <axId val="36124902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61252383"/>
        <crosses val="autoZero"/>
        <auto val="1"/>
        <lblAlgn val="ctr"/>
        <lblOffset val="100"/>
        <noMultiLvlLbl val="0"/>
      </catAx>
      <valAx>
        <axId val="361252383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61249023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Composition CAC 40 par Secteur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doughnutChart>
        <varyColors val="1"/>
        <ser>
          <idx val="0"/>
          <order val="0"/>
          <tx>
            <strRef>
              <f>'PAR SECTEUR'!$I$25</f>
              <strCache>
                <ptCount val="1"/>
                <pt idx="0">
                  <v>Nb Soc.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1E3A5F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2E6DA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4A9BD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C8A95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rgbClr val="E8C97A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rgbClr val="2D8A6E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rgbClr val="47B39C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rgbClr val="8E7BB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rgbClr val="B5A8D0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 xmlns:a="http://schemas.openxmlformats.org/drawingml/2006/main">
                <a:srgbClr val="D4626B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'PAR SECTEUR'!$L$26:$L$35</f>
              <strCache>
                <ptCount val="10"/>
                <pt idx="5">
                  <v>Healthcare</v>
                </pt>
                <pt idx="6">
                  <v>Comm. Services</v>
                </pt>
                <pt idx="7">
                  <v>Materials</v>
                </pt>
                <pt idx="8">
                  <v>Real Estate</v>
                </pt>
                <pt idx="9">
                  <v>Energy</v>
                </pt>
              </strCache>
            </strRef>
          </cat>
          <val>
            <numRef>
              <f>'PAR SECTEUR'!$M$26:$M$35</f>
              <numCache>
                <formatCode>General</formatCode>
                <ptCount val="10"/>
                <pt idx="5">
                  <v>3</v>
                </pt>
                <pt idx="6">
                  <v>3</v>
                </pt>
                <pt idx="7">
                  <v>2</v>
                </pt>
                <pt idx="8">
                  <v>1</v>
                </pt>
                <pt idx="9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75"/>
      </doughnutChart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 Composite FinSight — CAC 40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v>Score /100</v>
          </tx>
          <spPr>
            <a:solidFill xmlns:a="http://schemas.openxmlformats.org/drawingml/2006/main">
              <a:srgbClr val="1E3A5F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'SECTOR OVERVIEW'!$O$2:$O$12</f>
              <strCache>
                <ptCount val="11"/>
                <pt idx="0">
                  <v>Healthcare</v>
                </pt>
                <pt idx="1">
                  <v>Real Estate</v>
                </pt>
                <pt idx="2">
                  <v>Consumer Staples</v>
                </pt>
                <pt idx="3">
                  <v>Financials</v>
                </pt>
                <pt idx="4">
                  <v>Industrials</v>
                </pt>
                <pt idx="5">
                  <v>Materials</v>
                </pt>
                <pt idx="6">
                  <v>Utilities</v>
                </pt>
                <pt idx="7">
                  <v>Technology</v>
                </pt>
                <pt idx="8">
                  <v>Consumer Disc.</v>
                </pt>
                <pt idx="9">
                  <v>Comm. Services</v>
                </pt>
                <pt idx="10">
                  <v>Energy</v>
                </pt>
              </strCache>
            </strRef>
          </cat>
          <val>
            <numRef>
              <f>'SECTOR OVERVIEW'!$P$2:$P$12</f>
              <numCache>
                <formatCode>General</formatCode>
                <ptCount val="11"/>
                <pt idx="0">
                  <v>69</v>
                </pt>
                <pt idx="1">
                  <v>69</v>
                </pt>
                <pt idx="2">
                  <v>56</v>
                </pt>
                <pt idx="3">
                  <v>55</v>
                </pt>
                <pt idx="4">
                  <v>54</v>
                </pt>
                <pt idx="5">
                  <v>54</v>
                </pt>
                <pt idx="6">
                  <v>46</v>
                </pt>
                <pt idx="7">
                  <v>36</v>
                </pt>
                <pt idx="8">
                  <v>41</v>
                </pt>
                <pt idx="9">
                  <v>38</v>
                </pt>
                <pt idx="10">
                  <v>18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361258143"/>
        <axId val="361246623"/>
      </barChart>
      <catAx>
        <axId val="361258143"/>
        <scaling>
          <orientation val="maxMin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61246623"/>
        <crosses val="autoZero"/>
        <auto val="1"/>
        <lblAlgn val="ctr"/>
        <lblOffset val="100"/>
        <noMultiLvlLbl val="0"/>
      </catAx>
      <valAx>
        <axId val="361246623"/>
        <scaling>
          <orientation val="minMax"/>
          <max val="100"/>
          <min val="0"/>
        </scaling>
        <delete val="0"/>
        <axPos val="t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61258143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 Global /100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v>Score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TECHNOLOGY!$S$29:$S$32</f>
              <strCache>
                <ptCount val="4"/>
                <pt idx="0">
                  <v>Dassault Systè</v>
                </pt>
                <pt idx="1">
                  <v>Capgemini SE</v>
                </pt>
                <pt idx="2">
                  <v>STMicroelectro</v>
                </pt>
                <pt idx="3">
                  <v>Worldline SA</v>
                </pt>
              </strCache>
            </strRef>
          </cat>
          <val>
            <numRef>
              <f>TECHNOLOGY!$T$29:$T$32</f>
              <numCache>
                <formatCode>General</formatCode>
                <ptCount val="4"/>
                <pt idx="0">
                  <v>72</v>
                </pt>
                <pt idx="1">
                  <v>53</v>
                </pt>
                <pt idx="2">
                  <v>17</v>
                </pt>
                <pt idx="3">
                  <v>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103351023"/>
        <axId val="103349583"/>
      </barChart>
      <catAx>
        <axId val="103351023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03349583"/>
        <crosses val="autoZero"/>
        <auto val="1"/>
        <lblAlgn val="ctr"/>
        <lblOffset val="100"/>
        <noMultiLvlLbl val="0"/>
      </catAx>
      <valAx>
        <axId val="103349583"/>
        <scaling>
          <orientation val="minMax"/>
          <max val="100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03351023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 · Quality · Momentum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v>Growth</v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TECHNOLOGY!$S$29:$S$32</f>
              <strCache>
                <ptCount val="4"/>
                <pt idx="0">
                  <v>Dassault Systè</v>
                </pt>
                <pt idx="1">
                  <v>Capgemini SE</v>
                </pt>
                <pt idx="2">
                  <v>STMicroelectro</v>
                </pt>
                <pt idx="3">
                  <v>Worldline SA</v>
                </pt>
              </strCache>
            </strRef>
          </cat>
          <val>
            <numRef>
              <f>TECHNOLOGY!$U$29:$U$32</f>
              <numCache>
                <formatCode>General</formatCode>
                <ptCount val="4"/>
                <pt idx="0">
                  <v>42</v>
                </pt>
                <pt idx="1">
                  <v>37</v>
                </pt>
                <pt idx="2">
                  <v>8</v>
                </pt>
                <pt idx="3">
                  <v>0</v>
                </pt>
              </numCache>
            </numRef>
          </val>
        </ser>
        <ser>
          <idx val="1"/>
          <order val="1"/>
          <tx>
            <v>Quality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TECHNOLOGY!$S$29:$S$32</f>
              <strCache>
                <ptCount val="4"/>
                <pt idx="0">
                  <v>Dassault Systè</v>
                </pt>
                <pt idx="1">
                  <v>Capgemini SE</v>
                </pt>
                <pt idx="2">
                  <v>STMicroelectro</v>
                </pt>
                <pt idx="3">
                  <v>Worldline SA</v>
                </pt>
              </strCache>
            </strRef>
          </cat>
          <val>
            <numRef>
              <f>TECHNOLOGY!$V$29:$V$32</f>
              <numCache>
                <formatCode>General</formatCode>
                <ptCount val="4"/>
                <pt idx="0">
                  <v>100</v>
                </pt>
                <pt idx="1">
                  <v>36</v>
                </pt>
                <pt idx="2">
                  <v>44</v>
                </pt>
                <pt idx="3">
                  <v>0</v>
                </pt>
              </numCache>
            </numRef>
          </val>
        </ser>
        <ser>
          <idx val="2"/>
          <order val="2"/>
          <tx>
            <v>Momentum</v>
          </tx>
          <spPr>
            <a:solidFill xmlns:a="http://schemas.openxmlformats.org/drawingml/2006/main">
              <a:srgbClr val="E26B0A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TECHNOLOGY!$S$29:$S$32</f>
              <strCache>
                <ptCount val="4"/>
                <pt idx="0">
                  <v>Dassault Systè</v>
                </pt>
                <pt idx="1">
                  <v>Capgemini SE</v>
                </pt>
                <pt idx="2">
                  <v>STMicroelectro</v>
                </pt>
                <pt idx="3">
                  <v>Worldline SA</v>
                </pt>
              </strCache>
            </strRef>
          </cat>
          <val>
            <numRef>
              <f>TECHNOLOGY!$W$29:$W$32</f>
              <numCache>
                <formatCode>General</formatCode>
                <ptCount val="4"/>
                <pt idx="0">
                  <v>74</v>
                </pt>
                <pt idx="1">
                  <v>87</v>
                </pt>
                <pt idx="2">
                  <v>0</v>
                </pt>
                <pt idx="3">
                  <v>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358715855"/>
        <axId val="651260752"/>
      </barChart>
      <catAx>
        <axId val="35871585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651260752"/>
        <crosses val="autoZero"/>
        <auto val="1"/>
        <lblAlgn val="ctr"/>
        <lblOffset val="100"/>
        <noMultiLvlLbl val="0"/>
      </catAx>
      <valAx>
        <axId val="651260752"/>
        <scaling>
          <orientation val="minMax"/>
          <max val="10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58715855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 Global /100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v>Score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'CONSUMER DISC.'!$S$29:$S$32</f>
              <strCache>
                <ptCount val="4"/>
                <pt idx="0">
                  <v>Hermès Interna</v>
                </pt>
                <pt idx="1">
                  <v>Kering SA</v>
                </pt>
                <pt idx="2">
                  <v>LVMH Moët Henn</v>
                </pt>
                <pt idx="3">
                  <v>Renault SA</v>
                </pt>
              </strCache>
            </strRef>
          </cat>
          <val>
            <numRef>
              <f>'CONSUMER DISC.'!$T$29:$T$32</f>
              <numCache>
                <formatCode>General</formatCode>
                <ptCount val="4"/>
                <pt idx="0">
                  <v>75</v>
                </pt>
                <pt idx="1">
                  <v>55</v>
                </pt>
                <pt idx="2">
                  <v>54</v>
                </pt>
                <pt idx="3">
                  <v>18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103351023"/>
        <axId val="103349583"/>
      </barChart>
      <catAx>
        <axId val="103351023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03349583"/>
        <crosses val="autoZero"/>
        <auto val="1"/>
        <lblAlgn val="ctr"/>
        <lblOffset val="100"/>
        <noMultiLvlLbl val="0"/>
      </catAx>
      <valAx>
        <axId val="103349583"/>
        <scaling>
          <orientation val="minMax"/>
          <max val="100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03351023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 · Quality · Momentum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v>Growth</v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'CONSUMER DISC.'!$S$29:$S$32</f>
              <strCache>
                <ptCount val="4"/>
                <pt idx="0">
                  <v>Hermès Interna</v>
                </pt>
                <pt idx="1">
                  <v>Kering SA</v>
                </pt>
                <pt idx="2">
                  <v>LVMH Moët Henn</v>
                </pt>
                <pt idx="3">
                  <v>Renault SA</v>
                </pt>
              </strCache>
            </strRef>
          </cat>
          <val>
            <numRef>
              <f>'CONSUMER DISC.'!$U$29:$U$32</f>
              <numCache>
                <formatCode>General</formatCode>
                <ptCount val="4"/>
                <pt idx="0">
                  <v>74</v>
                </pt>
                <pt idx="1">
                  <v>13</v>
                </pt>
                <pt idx="2">
                  <v>24</v>
                </pt>
                <pt idx="3">
                  <v>5</v>
                </pt>
              </numCache>
            </numRef>
          </val>
        </ser>
        <ser>
          <idx val="1"/>
          <order val="1"/>
          <tx>
            <v>Quality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'CONSUMER DISC.'!$S$29:$S$32</f>
              <strCache>
                <ptCount val="4"/>
                <pt idx="0">
                  <v>Hermès Interna</v>
                </pt>
                <pt idx="1">
                  <v>Kering SA</v>
                </pt>
                <pt idx="2">
                  <v>LVMH Moët Henn</v>
                </pt>
                <pt idx="3">
                  <v>Renault SA</v>
                </pt>
              </strCache>
            </strRef>
          </cat>
          <val>
            <numRef>
              <f>'CONSUMER DISC.'!$V$29:$V$32</f>
              <numCache>
                <formatCode>General</formatCode>
                <ptCount val="4"/>
                <pt idx="0">
                  <v>90</v>
                </pt>
                <pt idx="1">
                  <v>87</v>
                </pt>
                <pt idx="2">
                  <v>79</v>
                </pt>
                <pt idx="3">
                  <v>5</v>
                </pt>
              </numCache>
            </numRef>
          </val>
        </ser>
        <ser>
          <idx val="2"/>
          <order val="2"/>
          <tx>
            <v>Momentum</v>
          </tx>
          <spPr>
            <a:solidFill xmlns:a="http://schemas.openxmlformats.org/drawingml/2006/main">
              <a:srgbClr val="E26B0A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'CONSUMER DISC.'!$S$29:$S$32</f>
              <strCache>
                <ptCount val="4"/>
                <pt idx="0">
                  <v>Hermès Interna</v>
                </pt>
                <pt idx="1">
                  <v>Kering SA</v>
                </pt>
                <pt idx="2">
                  <v>LVMH Moët Henn</v>
                </pt>
                <pt idx="3">
                  <v>Renault SA</v>
                </pt>
              </strCache>
            </strRef>
          </cat>
          <val>
            <numRef>
              <f>'CONSUMER DISC.'!$W$29:$W$32</f>
              <numCache>
                <formatCode>General</formatCode>
                <ptCount val="4"/>
                <pt idx="0">
                  <v>62</v>
                </pt>
                <pt idx="1">
                  <v>64</v>
                </pt>
                <pt idx="2">
                  <v>59</v>
                </pt>
                <pt idx="3">
                  <v>44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358715855"/>
        <axId val="651260752"/>
      </barChart>
      <catAx>
        <axId val="35871585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651260752"/>
        <crosses val="autoZero"/>
        <auto val="1"/>
        <lblAlgn val="ctr"/>
        <lblOffset val="100"/>
        <noMultiLvlLbl val="0"/>
      </catAx>
      <valAx>
        <axId val="651260752"/>
        <scaling>
          <orientation val="minMax"/>
          <max val="10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58715855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 Global /100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v>Score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FINANCIALS!$S$29:$S$32</f>
              <strCache>
                <ptCount val="4"/>
                <pt idx="0">
                  <v>Crédit Agricol</v>
                </pt>
                <pt idx="1">
                  <v>AXA SA</v>
                </pt>
                <pt idx="2">
                  <v>BNP Paribas SA</v>
                </pt>
                <pt idx="3">
                  <v>Société Généra</v>
                </pt>
              </strCache>
            </strRef>
          </cat>
          <val>
            <numRef>
              <f>FINANCIALS!$T$29:$T$32</f>
              <numCache>
                <formatCode>General</formatCode>
                <ptCount val="4"/>
                <pt idx="0">
                  <v>65</v>
                </pt>
                <pt idx="1">
                  <v>64</v>
                </pt>
                <pt idx="2">
                  <v>62</v>
                </pt>
                <pt idx="3">
                  <v>29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1291964608"/>
        <axId val="1291967968"/>
      </barChart>
      <catAx>
        <axId val="1291964608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291967968"/>
        <crosses val="autoZero"/>
        <auto val="1"/>
        <lblAlgn val="ctr"/>
        <lblOffset val="100"/>
        <noMultiLvlLbl val="0"/>
      </catAx>
      <valAx>
        <axId val="1291967968"/>
        <scaling>
          <orientation val="minMax"/>
          <max val="100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291964608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 · Quality · Momentum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v>Growth</v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FINANCIALS!$S$29:$S$32</f>
              <strCache>
                <ptCount val="4"/>
                <pt idx="0">
                  <v>Crédit Agricol</v>
                </pt>
                <pt idx="1">
                  <v>AXA SA</v>
                </pt>
                <pt idx="2">
                  <v>BNP Paribas SA</v>
                </pt>
                <pt idx="3">
                  <v>Société Généra</v>
                </pt>
              </strCache>
            </strRef>
          </cat>
          <val>
            <numRef>
              <f>FINANCIALS!$U$29:$U$32</f>
              <numCache>
                <formatCode>General</formatCode>
                <ptCount val="4"/>
                <pt idx="0">
                  <v>21</v>
                </pt>
                <pt idx="1">
                  <v>71</v>
                </pt>
                <pt idx="2">
                  <v>26</v>
                </pt>
                <pt idx="3">
                  <v>16</v>
                </pt>
              </numCache>
            </numRef>
          </val>
        </ser>
        <ser>
          <idx val="1"/>
          <order val="1"/>
          <tx>
            <v>Quality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FINANCIALS!$S$29:$S$32</f>
              <strCache>
                <ptCount val="4"/>
                <pt idx="0">
                  <v>Crédit Agricol</v>
                </pt>
                <pt idx="1">
                  <v>AXA SA</v>
                </pt>
                <pt idx="2">
                  <v>BNP Paribas SA</v>
                </pt>
                <pt idx="3">
                  <v>Société Généra</v>
                </pt>
              </strCache>
            </strRef>
          </cat>
          <val>
            <numRef>
              <f>FINANCIALS!$V$29:$V$32</f>
              <numCache>
                <formatCode>General</formatCode>
                <ptCount val="4"/>
                <pt idx="0">
                  <v>92</v>
                </pt>
                <pt idx="1">
                  <v>28</v>
                </pt>
                <pt idx="2">
                  <v>64</v>
                </pt>
                <pt idx="3">
                  <v>46</v>
                </pt>
              </numCache>
            </numRef>
          </val>
        </ser>
        <ser>
          <idx val="2"/>
          <order val="2"/>
          <tx>
            <v>Momentum</v>
          </tx>
          <spPr>
            <a:solidFill xmlns:a="http://schemas.openxmlformats.org/drawingml/2006/main">
              <a:srgbClr val="E26B0A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FINANCIALS!$S$29:$S$32</f>
              <strCache>
                <ptCount val="4"/>
                <pt idx="0">
                  <v>Crédit Agricol</v>
                </pt>
                <pt idx="1">
                  <v>AXA SA</v>
                </pt>
                <pt idx="2">
                  <v>BNP Paribas SA</v>
                </pt>
                <pt idx="3">
                  <v>Société Généra</v>
                </pt>
              </strCache>
            </strRef>
          </cat>
          <val>
            <numRef>
              <f>FINANCIALS!$W$29:$W$32</f>
              <numCache>
                <formatCode>General</formatCode>
                <ptCount val="4"/>
                <pt idx="0">
                  <v>82</v>
                </pt>
                <pt idx="1">
                  <v>92</v>
                </pt>
                <pt idx="2">
                  <v>95</v>
                </pt>
                <pt idx="3">
                  <v>26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291977568"/>
        <axId val="1291969408"/>
      </barChart>
      <catAx>
        <axId val="129197756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291969408"/>
        <crosses val="autoZero"/>
        <auto val="1"/>
        <lblAlgn val="ctr"/>
        <lblOffset val="100"/>
        <noMultiLvlLbl val="0"/>
      </catAx>
      <valAx>
        <axId val="1291969408"/>
        <scaling>
          <orientation val="minMax"/>
          <max val="10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291977568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 Global /100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v>Score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INDUSTRIALS!$S$29:$S$33</f>
              <strCache>
                <ptCount val="5"/>
                <pt idx="0">
                  <v>Alstom SA</v>
                </pt>
                <pt idx="1">
                  <v>Safran SA</v>
                </pt>
                <pt idx="2">
                  <v>Airbus SE</v>
                </pt>
                <pt idx="3">
                  <v>Legrand SA</v>
                </pt>
                <pt idx="4">
                  <v>Schneider Elec</v>
                </pt>
              </strCache>
            </strRef>
          </cat>
          <val>
            <numRef>
              <f>INDUSTRIALS!$T$29:$T$33</f>
              <numCache>
                <formatCode>General</formatCode>
                <ptCount val="5"/>
                <pt idx="0">
                  <v>70</v>
                </pt>
                <pt idx="1">
                  <v>68</v>
                </pt>
                <pt idx="2">
                  <v>68</v>
                </pt>
                <pt idx="3">
                  <v>64</v>
                </pt>
                <pt idx="4">
                  <v>57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1292010208"/>
        <axId val="1292010688"/>
      </barChart>
      <catAx>
        <axId val="1292010208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292010688"/>
        <crosses val="autoZero"/>
        <auto val="1"/>
        <lblAlgn val="ctr"/>
        <lblOffset val="100"/>
        <noMultiLvlLbl val="0"/>
      </catAx>
      <valAx>
        <axId val="1292010688"/>
        <scaling>
          <orientation val="minMax"/>
          <max val="100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292010208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 · Quality · Momentum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v>Growth</v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INDUSTRIALS!$S$29:$S$33</f>
              <strCache>
                <ptCount val="5"/>
                <pt idx="0">
                  <v>Alstom SA</v>
                </pt>
                <pt idx="1">
                  <v>Safran SA</v>
                </pt>
                <pt idx="2">
                  <v>Airbus SE</v>
                </pt>
                <pt idx="3">
                  <v>Legrand SA</v>
                </pt>
                <pt idx="4">
                  <v>Schneider Elec</v>
                </pt>
              </strCache>
            </strRef>
          </cat>
          <val>
            <numRef>
              <f>INDUSTRIALS!$U$29:$U$33</f>
              <numCache>
                <formatCode>General</formatCode>
                <ptCount val="5"/>
                <pt idx="0">
                  <v>95</v>
                </pt>
                <pt idx="1">
                  <v>100</v>
                </pt>
                <pt idx="2">
                  <v>84</v>
                </pt>
                <pt idx="3">
                  <v>82</v>
                </pt>
                <pt idx="4">
                  <v>66</v>
                </pt>
              </numCache>
            </numRef>
          </val>
        </ser>
        <ser>
          <idx val="1"/>
          <order val="1"/>
          <tx>
            <v>Quality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INDUSTRIALS!$S$29:$S$33</f>
              <strCache>
                <ptCount val="5"/>
                <pt idx="0">
                  <v>Alstom SA</v>
                </pt>
                <pt idx="1">
                  <v>Safran SA</v>
                </pt>
                <pt idx="2">
                  <v>Airbus SE</v>
                </pt>
                <pt idx="3">
                  <v>Legrand SA</v>
                </pt>
                <pt idx="4">
                  <v>Schneider Elec</v>
                </pt>
              </strCache>
            </strRef>
          </cat>
          <val>
            <numRef>
              <f>INDUSTRIALS!$V$29:$V$33</f>
              <numCache>
                <formatCode>General</formatCode>
                <ptCount val="5"/>
                <pt idx="0">
                  <v>15</v>
                </pt>
                <pt idx="1">
                  <v>67</v>
                </pt>
                <pt idx="2">
                  <v>23</v>
                </pt>
                <pt idx="3">
                  <v>56</v>
                </pt>
                <pt idx="4">
                  <v>69</v>
                </pt>
              </numCache>
            </numRef>
          </val>
        </ser>
        <ser>
          <idx val="2"/>
          <order val="2"/>
          <tx>
            <v>Momentum</v>
          </tx>
          <spPr>
            <a:solidFill xmlns:a="http://schemas.openxmlformats.org/drawingml/2006/main">
              <a:srgbClr val="E26B0A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INDUSTRIALS!$S$29:$S$33</f>
              <strCache>
                <ptCount val="5"/>
                <pt idx="0">
                  <v>Alstom SA</v>
                </pt>
                <pt idx="1">
                  <v>Safran SA</v>
                </pt>
                <pt idx="2">
                  <v>Airbus SE</v>
                </pt>
                <pt idx="3">
                  <v>Legrand SA</v>
                </pt>
                <pt idx="4">
                  <v>Schneider Elec</v>
                </pt>
              </strCache>
            </strRef>
          </cat>
          <val>
            <numRef>
              <f>INDUSTRIALS!$W$29:$W$33</f>
              <numCache>
                <formatCode>General</formatCode>
                <ptCount val="5"/>
                <pt idx="0">
                  <v>100</v>
                </pt>
                <pt idx="1">
                  <v>38</v>
                </pt>
                <pt idx="2">
                  <v>97</v>
                </pt>
                <pt idx="3">
                  <v>54</v>
                </pt>
                <pt idx="4">
                  <v>36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292012128"/>
        <axId val="1292021248"/>
      </barChart>
      <catAx>
        <axId val="12920121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292021248"/>
        <crosses val="autoZero"/>
        <auto val="1"/>
        <lblAlgn val="ctr"/>
        <lblOffset val="100"/>
        <noMultiLvlLbl val="0"/>
      </catAx>
      <valAx>
        <axId val="1292021248"/>
        <scaling>
          <orientation val="minMax"/>
          <max val="10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292012128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 Global /100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v>Score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HEALTHCARE!$S$29:$S$31</f>
              <strCache>
                <ptCount val="3"/>
                <pt idx="0">
                  <v>Sanofi</v>
                </pt>
                <pt idx="1">
                  <v>Eurofins Scien</v>
                </pt>
                <pt idx="2">
                  <v>EssilorLuxotti</v>
                </pt>
              </strCache>
            </strRef>
          </cat>
          <val>
            <numRef>
              <f>HEALTHCARE!$T$29:$T$31</f>
              <numCache>
                <formatCode>General</formatCode>
                <ptCount val="3"/>
                <pt idx="0">
                  <v>72</v>
                </pt>
                <pt idx="1">
                  <v>72</v>
                </pt>
                <pt idx="2">
                  <v>64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1291980448"/>
        <axId val="1291980928"/>
      </barChart>
      <catAx>
        <axId val="1291980448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291980928"/>
        <crosses val="autoZero"/>
        <auto val="1"/>
        <lblAlgn val="ctr"/>
        <lblOffset val="100"/>
        <noMultiLvlLbl val="0"/>
      </catAx>
      <valAx>
        <axId val="1291980928"/>
        <scaling>
          <orientation val="minMax"/>
          <max val="100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291980448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 · Quality · Momentum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v>Growth</v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HEALTHCARE!$S$29:$S$31</f>
              <strCache>
                <ptCount val="3"/>
                <pt idx="0">
                  <v>Sanofi</v>
                </pt>
                <pt idx="1">
                  <v>Eurofins Scien</v>
                </pt>
                <pt idx="2">
                  <v>EssilorLuxotti</v>
                </pt>
              </strCache>
            </strRef>
          </cat>
          <val>
            <numRef>
              <f>HEALTHCARE!$U$29:$U$31</f>
              <numCache>
                <formatCode>General</formatCode>
                <ptCount val="3"/>
                <pt idx="0">
                  <v>87</v>
                </pt>
                <pt idx="1">
                  <v>76</v>
                </pt>
                <pt idx="2">
                  <v>61</v>
                </pt>
              </numCache>
            </numRef>
          </val>
        </ser>
        <ser>
          <idx val="1"/>
          <order val="1"/>
          <tx>
            <v>Quality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HEALTHCARE!$S$29:$S$31</f>
              <strCache>
                <ptCount val="3"/>
                <pt idx="0">
                  <v>Sanofi</v>
                </pt>
                <pt idx="1">
                  <v>Eurofins Scien</v>
                </pt>
                <pt idx="2">
                  <v>EssilorLuxotti</v>
                </pt>
              </strCache>
            </strRef>
          </cat>
          <val>
            <numRef>
              <f>HEALTHCARE!$V$29:$V$31</f>
              <numCache>
                <formatCode>General</formatCode>
                <ptCount val="3"/>
                <pt idx="0">
                  <v>97</v>
                </pt>
                <pt idx="1">
                  <v>72</v>
                </pt>
                <pt idx="2">
                  <v>62</v>
                </pt>
              </numCache>
            </numRef>
          </val>
        </ser>
        <ser>
          <idx val="2"/>
          <order val="2"/>
          <tx>
            <v>Momentum</v>
          </tx>
          <spPr>
            <a:solidFill xmlns:a="http://schemas.openxmlformats.org/drawingml/2006/main">
              <a:srgbClr val="E26B0A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HEALTHCARE!$S$29:$S$31</f>
              <strCache>
                <ptCount val="3"/>
                <pt idx="0">
                  <v>Sanofi</v>
                </pt>
                <pt idx="1">
                  <v>Eurofins Scien</v>
                </pt>
                <pt idx="2">
                  <v>EssilorLuxotti</v>
                </pt>
              </strCache>
            </strRef>
          </cat>
          <val>
            <numRef>
              <f>HEALTHCARE!$W$29:$W$31</f>
              <numCache>
                <formatCode>General</formatCode>
                <ptCount val="3"/>
                <pt idx="0">
                  <v>31</v>
                </pt>
                <pt idx="1">
                  <v>67</v>
                </pt>
                <pt idx="2">
                  <v>69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291987168"/>
        <axId val="1291983328"/>
      </barChart>
      <catAx>
        <axId val="129198716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291983328"/>
        <crosses val="autoZero"/>
        <auto val="1"/>
        <lblAlgn val="ctr"/>
        <lblOffset val="100"/>
        <noMultiLvlLbl val="0"/>
      </catAx>
      <valAx>
        <axId val="1291983328"/>
        <scaling>
          <orientation val="minMax"/>
          <max val="10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291987168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 Global /100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v>Score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ENERGY!$S$29</f>
              <strCache>
                <ptCount val="1"/>
                <pt idx="0">
                  <v xml:space="preserve">TotalEnergies </v>
                </pt>
              </strCache>
            </strRef>
          </cat>
          <val>
            <numRef>
              <f>ENERGY!$T$29</f>
              <numCache>
                <formatCode>General</formatCode>
                <ptCount val="1"/>
                <pt idx="0">
                  <v>18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1291984288"/>
        <axId val="1291991008"/>
      </barChart>
      <catAx>
        <axId val="1291984288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291991008"/>
        <crosses val="autoZero"/>
        <auto val="1"/>
        <lblAlgn val="ctr"/>
        <lblOffset val="100"/>
        <noMultiLvlLbl val="0"/>
      </catAx>
      <valAx>
        <axId val="1291991008"/>
        <scaling>
          <orientation val="minMax"/>
          <max val="100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291984288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 · Quality · Momentum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v>Growth</v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ENERGY!$S$29</f>
              <strCache>
                <ptCount val="1"/>
                <pt idx="0">
                  <v xml:space="preserve">TotalEnergies </v>
                </pt>
              </strCache>
            </strRef>
          </cat>
          <val>
            <numRef>
              <f>ENERGY!$U$29</f>
              <numCache>
                <formatCode>General</formatCode>
                <ptCount val="1"/>
                <pt idx="0">
                  <v>0</v>
                </pt>
              </numCache>
            </numRef>
          </val>
        </ser>
        <ser>
          <idx val="1"/>
          <order val="1"/>
          <tx>
            <v>Quality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ENERGY!$S$29</f>
              <strCache>
                <ptCount val="1"/>
                <pt idx="0">
                  <v xml:space="preserve">TotalEnergies </v>
                </pt>
              </strCache>
            </strRef>
          </cat>
          <val>
            <numRef>
              <f>ENERGY!$V$29</f>
              <numCache>
                <formatCode>General</formatCode>
                <ptCount val="1"/>
                <pt idx="0">
                  <v>8</v>
                </pt>
              </numCache>
            </numRef>
          </val>
        </ser>
        <ser>
          <idx val="2"/>
          <order val="2"/>
          <tx>
            <v>Momentum</v>
          </tx>
          <spPr>
            <a:solidFill xmlns:a="http://schemas.openxmlformats.org/drawingml/2006/main">
              <a:srgbClr val="E26B0A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ENERGY!$S$29</f>
              <strCache>
                <ptCount val="1"/>
                <pt idx="0">
                  <v xml:space="preserve">TotalEnergies </v>
                </pt>
              </strCache>
            </strRef>
          </cat>
          <val>
            <numRef>
              <f>ENERGY!$W$29</f>
              <numCache>
                <formatCode>General</formatCode>
                <ptCount val="1"/>
                <pt idx="0">
                  <v>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291987648"/>
        <axId val="1291988128"/>
      </barChart>
      <catAx>
        <axId val="129198764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291988128"/>
        <crosses val="autoZero"/>
        <auto val="1"/>
        <lblAlgn val="ctr"/>
        <lblOffset val="100"/>
        <noMultiLvlLbl val="0"/>
      </catAx>
      <valAx>
        <axId val="1291988128"/>
        <scaling>
          <orientation val="minMax"/>
          <max val="10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291987648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 Global /100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v>Score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MATERIALS!$S$29:$S$30</f>
              <strCache>
                <ptCount val="2"/>
                <pt idx="0">
                  <v xml:space="preserve">L'Air Liquide </v>
                </pt>
                <pt idx="1">
                  <v xml:space="preserve">ArcelorMittal </v>
                </pt>
              </strCache>
            </strRef>
          </cat>
          <val>
            <numRef>
              <f>MATERIALS!$T$29:$T$30</f>
              <numCache>
                <formatCode>General</formatCode>
                <ptCount val="2"/>
                <pt idx="0">
                  <v>74</v>
                </pt>
                <pt idx="1">
                  <v>33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1292005408"/>
        <axId val="1292001088"/>
      </barChart>
      <catAx>
        <axId val="1292005408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292001088"/>
        <crosses val="autoZero"/>
        <auto val="1"/>
        <lblAlgn val="ctr"/>
        <lblOffset val="100"/>
        <noMultiLvlLbl val="0"/>
      </catAx>
      <valAx>
        <axId val="1292001088"/>
        <scaling>
          <orientation val="minMax"/>
          <max val="100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292005408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 · Quality · Momentum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v>Growth</v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MATERIALS!$S$29:$S$30</f>
              <strCache>
                <ptCount val="2"/>
                <pt idx="0">
                  <v xml:space="preserve">L'Air Liquide </v>
                </pt>
                <pt idx="1">
                  <v xml:space="preserve">ArcelorMittal </v>
                </pt>
              </strCache>
            </strRef>
          </cat>
          <val>
            <numRef>
              <f>MATERIALS!$U$29:$U$30</f>
              <numCache>
                <formatCode>General</formatCode>
                <ptCount val="2"/>
                <pt idx="0">
                  <v>55</v>
                </pt>
                <pt idx="1">
                  <v>79</v>
                </pt>
              </numCache>
            </numRef>
          </val>
        </ser>
        <ser>
          <idx val="1"/>
          <order val="1"/>
          <tx>
            <v>Quality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MATERIALS!$S$29:$S$30</f>
              <strCache>
                <ptCount val="2"/>
                <pt idx="0">
                  <v xml:space="preserve">L'Air Liquide </v>
                </pt>
                <pt idx="1">
                  <v xml:space="preserve">ArcelorMittal </v>
                </pt>
              </strCache>
            </strRef>
          </cat>
          <val>
            <numRef>
              <f>MATERIALS!$V$29:$V$30</f>
              <numCache>
                <formatCode>General</formatCode>
                <ptCount val="2"/>
                <pt idx="0">
                  <v>77</v>
                </pt>
                <pt idx="1">
                  <v>13</v>
                </pt>
              </numCache>
            </numRef>
          </val>
        </ser>
        <ser>
          <idx val="2"/>
          <order val="2"/>
          <tx>
            <v>Momentum</v>
          </tx>
          <spPr>
            <a:solidFill xmlns:a="http://schemas.openxmlformats.org/drawingml/2006/main">
              <a:srgbClr val="E26B0A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MATERIALS!$S$29:$S$30</f>
              <strCache>
                <ptCount val="2"/>
                <pt idx="0">
                  <v xml:space="preserve">L'Air Liquide </v>
                </pt>
                <pt idx="1">
                  <v xml:space="preserve">ArcelorMittal </v>
                </pt>
              </strCache>
            </strRef>
          </cat>
          <val>
            <numRef>
              <f>MATERIALS!$W$29:$W$30</f>
              <numCache>
                <formatCode>General</formatCode>
                <ptCount val="2"/>
                <pt idx="0">
                  <v>90</v>
                </pt>
                <pt idx="1">
                  <v>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292004448"/>
        <axId val="1292003008"/>
      </barChart>
      <catAx>
        <axId val="129200444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292003008"/>
        <crosses val="autoZero"/>
        <auto val="1"/>
        <lblAlgn val="ctr"/>
        <lblOffset val="100"/>
        <noMultiLvlLbl val="0"/>
      </catAx>
      <valAx>
        <axId val="1292003008"/>
        <scaling>
          <orientation val="minMax"/>
          <max val="10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292004448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 Global /100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v>Score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'REAL ESTATE'!$S$29</f>
              <strCache>
                <ptCount val="1"/>
                <pt idx="0">
                  <v>Unibail-Rodamc</v>
                </pt>
              </strCache>
            </strRef>
          </cat>
          <val>
            <numRef>
              <f>'REAL ESTATE'!$T$29</f>
              <numCache>
                <formatCode>General</formatCode>
                <ptCount val="1"/>
                <pt idx="0">
                  <v>69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1292008768"/>
        <axId val="1291993888"/>
      </barChart>
      <catAx>
        <axId val="1292008768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291993888"/>
        <crosses val="autoZero"/>
        <auto val="1"/>
        <lblAlgn val="ctr"/>
        <lblOffset val="100"/>
        <noMultiLvlLbl val="0"/>
      </catAx>
      <valAx>
        <axId val="1291993888"/>
        <scaling>
          <orientation val="minMax"/>
          <max val="100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292008768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 · Quality · Momentum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v>Growth</v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'REAL ESTATE'!$S$29</f>
              <strCache>
                <ptCount val="1"/>
                <pt idx="0">
                  <v>Unibail-Rodamc</v>
                </pt>
              </strCache>
            </strRef>
          </cat>
          <val>
            <numRef>
              <f>'REAL ESTATE'!$U$29</f>
              <numCache>
                <formatCode>General</formatCode>
                <ptCount val="1"/>
                <pt idx="0">
                  <v>92</v>
                </pt>
              </numCache>
            </numRef>
          </val>
        </ser>
        <ser>
          <idx val="1"/>
          <order val="1"/>
          <tx>
            <v>Quality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'REAL ESTATE'!$S$29</f>
              <strCache>
                <ptCount val="1"/>
                <pt idx="0">
                  <v>Unibail-Rodamc</v>
                </pt>
              </strCache>
            </strRef>
          </cat>
          <val>
            <numRef>
              <f>'REAL ESTATE'!$V$29</f>
              <numCache>
                <formatCode>General</formatCode>
                <ptCount val="1"/>
                <pt idx="0">
                  <v>95</v>
                </pt>
              </numCache>
            </numRef>
          </val>
        </ser>
        <ser>
          <idx val="2"/>
          <order val="2"/>
          <tx>
            <v>Momentum</v>
          </tx>
          <spPr>
            <a:solidFill xmlns:a="http://schemas.openxmlformats.org/drawingml/2006/main">
              <a:srgbClr val="E26B0A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'REAL ESTATE'!$S$29</f>
              <strCache>
                <ptCount val="1"/>
                <pt idx="0">
                  <v>Unibail-Rodamc</v>
                </pt>
              </strCache>
            </strRef>
          </cat>
          <val>
            <numRef>
              <f>'REAL ESTATE'!$W$29</f>
              <numCache>
                <formatCode>General</formatCode>
                <ptCount val="1"/>
                <pt idx="0">
                  <v>21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292002528"/>
        <axId val="1291999648"/>
      </barChart>
      <catAx>
        <axId val="12920025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291999648"/>
        <crosses val="autoZero"/>
        <auto val="1"/>
        <lblAlgn val="ctr"/>
        <lblOffset val="100"/>
        <noMultiLvlLbl val="0"/>
      </catAx>
      <valAx>
        <axId val="1291999648"/>
        <scaling>
          <orientation val="minMax"/>
          <max val="10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292002528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 Global vs Marge EBITDA — CAC 40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scatterChart>
        <scatterStyle val="lineMarker"/>
        <varyColors val="0"/>
        <ser>
          <idx val="0"/>
          <order val="0"/>
          <tx>
            <strRef>
              <f>'DONNÉES BRUTES'!$AH$1</f>
              <strCache>
                <ptCount val="1"/>
                <pt idx="0">
                  <v>Mg EBITDA</v>
                </pt>
              </strCache>
            </strRef>
          </tx>
          <spPr>
            <a:ln xmlns:a="http://schemas.openxmlformats.org/drawingml/2006/main" w="19050" cap="rnd">
              <a:solidFill>
                <a:srgbClr val="1E3A5F"/>
              </a:solidFill>
              <a:prstDash val="solid"/>
              <a:round/>
            </a:ln>
          </spPr>
          <marker>
            <symbol val="circle"/>
            <size val="8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xVal>
            <numRef>
              <f>'DONNÉES BRUTES'!$AG$2:$AG$39</f>
              <numCache>
                <formatCode>General</formatCode>
                <ptCount val="38"/>
                <pt idx="0">
                  <v>75</v>
                </pt>
                <pt idx="1">
                  <v>74</v>
                </pt>
                <pt idx="2">
                  <v>72</v>
                </pt>
                <pt idx="3">
                  <v>72</v>
                </pt>
                <pt idx="4">
                  <v>72</v>
                </pt>
                <pt idx="5">
                  <v>70</v>
                </pt>
                <pt idx="6">
                  <v>69</v>
                </pt>
                <pt idx="7">
                  <v>68</v>
                </pt>
                <pt idx="8">
                  <v>68</v>
                </pt>
                <pt idx="9">
                  <v>65</v>
                </pt>
                <pt idx="10">
                  <v>64</v>
                </pt>
                <pt idx="11">
                  <v>64</v>
                </pt>
                <pt idx="12">
                  <v>64</v>
                </pt>
                <pt idx="13">
                  <v>62</v>
                </pt>
                <pt idx="14">
                  <v>58</v>
                </pt>
                <pt idx="15">
                  <v>57</v>
                </pt>
                <pt idx="16">
                  <v>57</v>
                </pt>
                <pt idx="17">
                  <v>55</v>
                </pt>
                <pt idx="18">
                  <v>54</v>
                </pt>
                <pt idx="19">
                  <v>53</v>
                </pt>
                <pt idx="20">
                  <v>52</v>
                </pt>
                <pt idx="21">
                  <v>51</v>
                </pt>
                <pt idx="22">
                  <v>51</v>
                </pt>
                <pt idx="23">
                  <v>48</v>
                </pt>
                <pt idx="24">
                  <v>47</v>
                </pt>
                <pt idx="25">
                  <v>46</v>
                </pt>
                <pt idx="26">
                  <v>46</v>
                </pt>
                <pt idx="27">
                  <v>40</v>
                </pt>
                <pt idx="28">
                  <v>39</v>
                </pt>
                <pt idx="29">
                  <v>37</v>
                </pt>
                <pt idx="30">
                  <v>33</v>
                </pt>
                <pt idx="31">
                  <v>29</v>
                </pt>
                <pt idx="32">
                  <v>29</v>
                </pt>
                <pt idx="33">
                  <v>23</v>
                </pt>
                <pt idx="34">
                  <v>18</v>
                </pt>
                <pt idx="35">
                  <v>17</v>
                </pt>
                <pt idx="36">
                  <v>5</v>
                </pt>
                <pt idx="37">
                  <v>2</v>
                </pt>
              </numCache>
            </numRef>
          </xVal>
          <yVal>
            <numRef>
              <f>'DONNÉES BRUTES'!$AH$2:$AH$39</f>
              <numCache>
                <formatCode>General</formatCode>
                <ptCount val="38"/>
                <pt idx="0">
                  <v>46.8</v>
                </pt>
                <pt idx="1">
                  <v>27.9</v>
                </pt>
                <pt idx="2">
                  <v>30.4</v>
                </pt>
                <pt idx="3">
                  <v>21</v>
                </pt>
                <pt idx="4">
                  <v>26.7</v>
                </pt>
                <pt idx="5">
                  <v>6.8</v>
                </pt>
                <pt idx="6">
                  <v>89.09999999999999</v>
                </pt>
                <pt idx="7">
                  <v>14</v>
                </pt>
                <pt idx="8">
                  <v>39.2</v>
                </pt>
                <pt idx="9">
                  <v>192.6</v>
                </pt>
                <pt idx="10">
                  <v>23.2</v>
                </pt>
                <pt idx="11">
                  <v>24.3</v>
                </pt>
                <pt idx="12">
                  <v>23.9</v>
                </pt>
                <pt idx="13">
                  <v>108.7</v>
                </pt>
                <pt idx="14">
                  <v>5.6</v>
                </pt>
                <pt idx="15">
                  <v>12.8</v>
                </pt>
                <pt idx="16">
                  <v>20.9</v>
                </pt>
                <pt idx="17">
                  <v>25</v>
                </pt>
                <pt idx="18">
                  <v>32</v>
                </pt>
                <pt idx="19">
                  <v>13.6</v>
                </pt>
                <pt idx="20">
                  <v>16.1</v>
                </pt>
                <pt idx="21">
                  <v>29.1</v>
                </pt>
                <pt idx="22">
                  <v>54.4</v>
                </pt>
                <pt idx="23">
                  <v>15.4</v>
                </pt>
                <pt idx="24">
                  <v>18</v>
                </pt>
                <pt idx="25">
                  <v>20</v>
                </pt>
                <pt idx="26">
                  <v>19.6</v>
                </pt>
                <pt idx="27">
                  <v>17.9</v>
                </pt>
                <pt idx="28">
                  <v>17.9</v>
                </pt>
                <pt idx="29">
                  <v>16.2</v>
                </pt>
                <pt idx="30">
                  <v>11.6</v>
                </pt>
                <pt idx="31">
                  <v>98.09999999999999</v>
                </pt>
                <pt idx="32">
                  <v>14.1</v>
                </pt>
                <pt idx="33">
                  <v>21.6</v>
                </pt>
                <pt idx="34">
                  <v>-9.699999999999999</v>
                </pt>
                <pt idx="35">
                  <v>19.6</v>
                </pt>
                <pt idx="36">
                  <v>-11.8</v>
                </pt>
                <pt idx="37">
                  <v>-112.2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651301552"/>
        <axId val="651285232"/>
      </scatterChart>
      <valAx>
        <axId val="651301552"/>
        <scaling>
          <orientation val="minMax"/>
          <max val="100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Score Global /100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651285232"/>
        <crosses val="autoZero"/>
        <crossBetween val="midCat"/>
      </valAx>
      <valAx>
        <axId val="65128523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Marge EBITDA (%)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651301552"/>
        <crosses val="autoZero"/>
        <crossBetween val="midCat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/Relationships>
</file>

<file path=xl/drawings/_rels/drawing6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1.xml" Id="rId1"/><Relationship Type="http://schemas.openxmlformats.org/officeDocument/2006/relationships/chart" Target="/xl/charts/chart12.xml" Id="rId2"/></Relationships>
</file>

<file path=xl/drawings/_rels/drawing9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5.xml" Id="rId1"/><Relationship Type="http://schemas.openxmlformats.org/officeDocument/2006/relationships/chart" Target="/xl/charts/chart16.xml" Id="rId2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7.xml" Id="rId1"/><Relationship Type="http://schemas.openxmlformats.org/officeDocument/2006/relationships/chart" Target="/xl/charts/chart18.xml" Id="rId2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9.xml" Id="rId1"/><Relationship Type="http://schemas.openxmlformats.org/officeDocument/2006/relationships/chart" Target="/xl/charts/chart20.xml" Id="rId2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21.xml" Id="rId1"/><Relationship Type="http://schemas.openxmlformats.org/officeDocument/2006/relationships/chart" Target="/xl/charts/chart22.xml" Id="rId2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23.xml" Id="rId1"/><Relationship Type="http://schemas.openxmlformats.org/officeDocument/2006/relationships/chart" Target="/xl/charts/chart24.xml" Id="rId2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25.xml" Id="rId1"/></Relationships>
</file>

<file path=xl/drawings/drawing1.xml><?xml version="1.0" encoding="utf-8"?>
<wsDr xmlns="http://schemas.openxmlformats.org/drawingml/2006/spreadsheetDrawing">
  <twoCellAnchor>
    <from>
      <col>13</col>
      <colOff>43094</colOff>
      <row>0</row>
      <rowOff>273316</rowOff>
    </from>
    <to>
      <col>25</col>
      <colOff>323022</colOff>
      <row>18</row>
      <rowOff>138725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12</col>
      <colOff>37465</colOff>
      <row>1</row>
      <rowOff>157269</rowOff>
    </from>
    <to>
      <col>25</col>
      <colOff>0</colOff>
      <row>18</row>
      <rowOff>10373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13</col>
      <colOff>27456</colOff>
      <row>0</row>
      <rowOff>401084</rowOff>
    </from>
    <to>
      <col>24</col>
      <colOff>251012</colOff>
      <row>16</row>
      <rowOff>63811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11</col>
      <colOff>26458</colOff>
      <row>1</row>
      <rowOff>7830</rowOff>
    </from>
    <to>
      <col>21</col>
      <colOff>406400</colOff>
      <row>16</row>
      <rowOff>88474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12</col>
      <colOff>33022</colOff>
      <row>4</row>
      <rowOff>100752</rowOff>
    </from>
    <to>
      <col>26</col>
      <colOff>270934</colOff>
      <row>17</row>
      <rowOff>84667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12</col>
      <colOff>29211</colOff>
      <row>18</row>
      <rowOff>44660</rowOff>
    </from>
    <to>
      <col>26</col>
      <colOff>313267</colOff>
      <row>32</row>
      <rowOff>20743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</col>
      <colOff>0</colOff>
      <row>69</row>
      <rowOff>106679</rowOff>
    </from>
    <to>
      <col>9</col>
      <colOff>908685</colOff>
      <row>87</row>
      <rowOff>106679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6.xml><?xml version="1.0" encoding="utf-8"?>
<wsDr xmlns="http://schemas.openxmlformats.org/drawingml/2006/spreadsheetDrawing">
  <twoCellAnchor>
    <from>
      <col>13</col>
      <colOff>109193</colOff>
      <row>4</row>
      <rowOff>26639</rowOff>
    </from>
    <to>
      <col>22</col>
      <colOff>64851</colOff>
      <row>17</row>
      <rowOff>178510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7.xml><?xml version="1.0" encoding="utf-8"?>
<wsDr xmlns="http://schemas.openxmlformats.org/drawingml/2006/spreadsheetDrawing">
  <twoCellAnchor>
    <from>
      <col>18</col>
      <colOff>145414</colOff>
      <row>15</row>
      <rowOff>140334</rowOff>
    </from>
    <to>
      <col>25</col>
      <colOff>121284</colOff>
      <row>31</row>
      <rowOff>43814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18</col>
      <colOff>145415</colOff>
      <row>0</row>
      <rowOff>114300</rowOff>
    </from>
    <to>
      <col>23</col>
      <colOff>461010</colOff>
      <row>15</row>
      <rowOff>7620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8.xml><?xml version="1.0" encoding="utf-8"?>
<wsDr xmlns="http://schemas.openxmlformats.org/drawingml/2006/spreadsheetDrawing">
  <twoCellAnchor>
    <from>
      <col>18</col>
      <colOff>145414</colOff>
      <row>16</row>
      <rowOff>69850</rowOff>
    </from>
    <to>
      <col>25</col>
      <colOff>121284</colOff>
      <row>31</row>
      <rowOff>171450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18</col>
      <colOff>145415</colOff>
      <row>0</row>
      <rowOff>114300</rowOff>
    </from>
    <to>
      <col>23</col>
      <colOff>461010</colOff>
      <row>15</row>
      <rowOff>137160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9.xml><?xml version="1.0" encoding="utf-8"?>
<wsDr xmlns="http://schemas.openxmlformats.org/drawingml/2006/spreadsheetDrawing">
  <twoCellAnchor>
    <from>
      <col>18</col>
      <colOff>145414</colOff>
      <row>15</row>
      <rowOff>140334</rowOff>
    </from>
    <to>
      <col>25</col>
      <colOff>121284</colOff>
      <row>31</row>
      <rowOff>43814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18</col>
      <colOff>145415</colOff>
      <row>0</row>
      <rowOff>114300</rowOff>
    </from>
    <to>
      <col>23</col>
      <colOff>461010</colOff>
      <row>15</row>
      <rowOff>7620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10.xml><?xml version="1.0" encoding="utf-8"?>
<wsDr xmlns="http://schemas.openxmlformats.org/drawingml/2006/spreadsheetDrawing">
  <twoCellAnchor>
    <from>
      <col>18</col>
      <colOff>145414</colOff>
      <row>17</row>
      <rowOff>35560</rowOff>
    </from>
    <to>
      <col>25</col>
      <colOff>121284</colOff>
      <row>32</row>
      <rowOff>152400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18</col>
      <colOff>145415</colOff>
      <row>0</row>
      <rowOff>114300</rowOff>
    </from>
    <to>
      <col>23</col>
      <colOff>461010</colOff>
      <row>16</row>
      <rowOff>106680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11.xml><?xml version="1.0" encoding="utf-8"?>
<wsDr xmlns="http://schemas.openxmlformats.org/drawingml/2006/spreadsheetDrawing">
  <twoCellAnchor>
    <from>
      <col>17</col>
      <colOff>318551</colOff>
      <row>15</row>
      <rowOff>138237</rowOff>
    </from>
    <to>
      <col>24</col>
      <colOff>302648</colOff>
      <row>31</row>
      <rowOff>52760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17</col>
      <colOff>341491</colOff>
      <row>0</row>
      <rowOff>115958</rowOff>
    </from>
    <to>
      <col>23</col>
      <colOff>66260</colOff>
      <row>15</row>
      <rowOff>13998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12.xml><?xml version="1.0" encoding="utf-8"?>
<wsDr xmlns="http://schemas.openxmlformats.org/drawingml/2006/spreadsheetDrawing">
  <twoCellAnchor>
    <from>
      <col>18</col>
      <colOff>145415</colOff>
      <row>15</row>
      <rowOff>140334</rowOff>
    </from>
    <to>
      <col>25</col>
      <colOff>96520</colOff>
      <row>31</row>
      <rowOff>51434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18</col>
      <colOff>145415</colOff>
      <row>0</row>
      <rowOff>114300</rowOff>
    </from>
    <to>
      <col>23</col>
      <colOff>428625</colOff>
      <row>15</row>
      <rowOff>7620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13.xml><?xml version="1.0" encoding="utf-8"?>
<wsDr xmlns="http://schemas.openxmlformats.org/drawingml/2006/spreadsheetDrawing">
  <twoCellAnchor>
    <from>
      <col>18</col>
      <colOff>145414</colOff>
      <row>15</row>
      <rowOff>140334</rowOff>
    </from>
    <to>
      <col>25</col>
      <colOff>121284</colOff>
      <row>31</row>
      <rowOff>51434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18</col>
      <colOff>145415</colOff>
      <row>0</row>
      <rowOff>114300</rowOff>
    </from>
    <to>
      <col>23</col>
      <colOff>461010</colOff>
      <row>15</row>
      <rowOff>7620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14.xml><?xml version="1.0" encoding="utf-8"?>
<wsDr xmlns="http://schemas.openxmlformats.org/drawingml/2006/spreadsheetDrawing">
  <twoCellAnchor>
    <from>
      <col>18</col>
      <colOff>145414</colOff>
      <row>15</row>
      <rowOff>140334</rowOff>
    </from>
    <to>
      <col>25</col>
      <colOff>109854</colOff>
      <row>31</row>
      <rowOff>51434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18</col>
      <colOff>145415</colOff>
      <row>0</row>
      <rowOff>114300</rowOff>
    </from>
    <to>
      <col>23</col>
      <colOff>447675</colOff>
      <row>15</row>
      <rowOff>7620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15.xml><?xml version="1.0" encoding="utf-8"?>
<wsDr xmlns="http://schemas.openxmlformats.org/drawingml/2006/spreadsheetDrawing">
  <twoCellAnchor>
    <from>
      <col>30</col>
      <colOff>560070</colOff>
      <row>43</row>
      <rowOff>78104</rowOff>
    </from>
    <to>
      <col>40</col>
      <colOff>521970</colOff>
      <row>60</row>
      <rowOff>78104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showGridLines="0" topLeftCell="J1" zoomScaleNormal="100" workbookViewId="0">
      <selection activeCell="S1" sqref="S1"/>
    </sheetView>
  </sheetViews>
  <sheetFormatPr baseColWidth="10" defaultColWidth="8.85546875" defaultRowHeight="15"/>
  <cols>
    <col width="0.7109375" customWidth="1" min="1" max="1"/>
    <col width="17.140625" customWidth="1" min="2" max="2"/>
    <col width="9.140625" customWidth="1" min="3" max="3"/>
    <col width="24.7109375" customWidth="1" min="4" max="4"/>
    <col width="14.28515625" customWidth="1" min="5" max="5"/>
    <col width="9.140625" customWidth="1" min="6" max="6"/>
    <col width="0.7109375" customWidth="1" min="7" max="7"/>
    <col width="17.140625" customWidth="1" min="8" max="8"/>
    <col width="8.5703125" customWidth="1" min="9" max="9"/>
    <col width="9.85546875" customWidth="1" min="10" max="11"/>
    <col width="9.140625" customWidth="1" min="12" max="12"/>
    <col width="0.7109375" customWidth="1" min="13" max="13"/>
    <col width="12.42578125" customWidth="1" min="14" max="14"/>
    <col width="9.140625" customWidth="1" min="15" max="15"/>
    <col width="21" customWidth="1" min="16" max="16"/>
    <col width="9.140625" customWidth="1" min="17" max="17"/>
    <col width="10.42578125" customWidth="1" min="18" max="18"/>
    <col width="0.7109375" customWidth="1" min="19" max="19"/>
    <col width="5.28515625" customWidth="1" min="20" max="20"/>
    <col width="9.85546875" customWidth="1" min="21" max="21"/>
    <col width="24.7109375" customWidth="1" min="22" max="22"/>
    <col width="9.85546875" customWidth="1" min="23" max="24"/>
  </cols>
  <sheetData>
    <row r="1" ht="32.1" customHeight="1">
      <c r="A1" s="20" t="inlineStr">
        <is>
          <t>FinSight IA   ·   Tableau de Bord — Screening CAC 40   ·   22/03/2026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  <c r="O1" s="20" t="n"/>
      <c r="P1" s="20" t="n"/>
      <c r="Q1" s="20" t="n"/>
      <c r="R1" s="21" t="inlineStr">
        <is>
          <t>Confidentiel  ·  Usage interne</t>
        </is>
      </c>
      <c r="S1" s="21" t="n"/>
      <c r="T1" s="21" t="n"/>
      <c r="U1" s="21" t="n"/>
      <c r="V1" s="21" t="n"/>
      <c r="W1" s="21" t="n"/>
      <c r="X1" s="21" t="n"/>
    </row>
    <row r="2" ht="3" customHeight="1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</row>
    <row r="3" ht="20.1" customHeight="1">
      <c r="A3" s="24" t="n"/>
      <c r="B3" s="24" t="n"/>
      <c r="C3" s="24" t="n"/>
      <c r="D3" s="271">
        <f>COUNTA('DONNÉES BRUTES'!A:A)-2</f>
        <v/>
      </c>
      <c r="E3" s="24" t="n"/>
      <c r="F3" s="24" t="n"/>
      <c r="G3" s="25" t="n"/>
      <c r="H3" s="272" t="n"/>
      <c r="I3" s="272" t="n"/>
      <c r="J3" s="291">
        <f t="array" ref="J3">COUNTA(_xlfn.UNIQUE(_xlfn._xlws.FILTER('DONNÉES BRUTES'!C3:C42,'DONNÉES BRUTES'!C3:C42&lt;&gt;"")))</f>
        <v/>
      </c>
      <c r="K3" s="272" t="n"/>
      <c r="L3" s="272" t="n"/>
      <c r="M3" s="25" t="n"/>
      <c r="N3" s="24" t="n"/>
      <c r="O3" s="24" t="n"/>
      <c r="P3" s="26">
        <f>_xlfn.XLOOKUP(MAX('DONNÉES BRUTES'!AB3:AB42),'DONNÉES BRUTES'!AB3:AB42,'DONNÉES BRUTES'!A3:A42)&amp;" — "&amp;MAX('DONNÉES BRUTES'!AB3:AB42)&amp;"/100"</f>
        <v/>
      </c>
      <c r="Q3" s="24" t="n"/>
      <c r="R3" s="24" t="n"/>
      <c r="S3" s="25" t="n"/>
      <c r="T3" s="24" t="n"/>
      <c r="U3" s="24" t="n"/>
      <c r="V3" s="293" t="inlineStr">
        <is>
          <t>01/04/2026</t>
        </is>
      </c>
      <c r="W3" s="24" t="n"/>
      <c r="X3" s="24" t="n"/>
    </row>
    <row r="4" ht="14.1" customHeight="1">
      <c r="A4" s="27" t="n"/>
      <c r="B4" s="27" t="n"/>
      <c r="C4" s="27" t="n"/>
      <c r="D4" s="290" t="inlineStr">
        <is>
          <t>SOCIÉTÉS ANALYSÉES</t>
        </is>
      </c>
      <c r="E4" s="27" t="n"/>
      <c r="F4" s="27" t="n"/>
      <c r="G4" s="29" t="n"/>
      <c r="H4" s="27" t="n"/>
      <c r="I4" s="27" t="n"/>
      <c r="J4" s="292" t="inlineStr">
        <is>
          <t>SECTEURS COUVERTS</t>
        </is>
      </c>
      <c r="K4" s="27" t="n"/>
      <c r="L4" s="27" t="n"/>
      <c r="M4" s="29" t="n"/>
      <c r="N4" s="27" t="n"/>
      <c r="O4" s="27" t="n"/>
      <c r="P4" s="28" t="inlineStr">
        <is>
          <t>MEILLEUR SCORE GLOBAL</t>
        </is>
      </c>
      <c r="Q4" s="27" t="n"/>
      <c r="R4" s="27" t="n"/>
      <c r="S4" s="29" t="n"/>
      <c r="T4" s="27" t="n"/>
      <c r="U4" s="27" t="n"/>
      <c r="V4" s="290" t="inlineStr">
        <is>
          <t>DATE D'ANALYSE</t>
        </is>
      </c>
      <c r="W4" s="27" t="n"/>
      <c r="X4" s="27" t="n"/>
    </row>
    <row r="5" ht="8.1" customHeight="1">
      <c r="A5" s="30" t="n"/>
      <c r="B5" s="30" t="n"/>
      <c r="C5" s="30" t="n"/>
      <c r="D5" s="30" t="n"/>
      <c r="E5" s="30" t="n"/>
      <c r="F5" s="30" t="n"/>
      <c r="G5" s="30" t="n"/>
      <c r="H5" s="30" t="n"/>
      <c r="I5" s="30" t="n"/>
      <c r="J5" s="30" t="n"/>
      <c r="K5" s="30" t="n"/>
      <c r="L5" s="30" t="n"/>
      <c r="M5" s="30" t="n"/>
      <c r="N5" s="30" t="n"/>
      <c r="O5" s="30" t="n"/>
      <c r="P5" s="30" t="n"/>
      <c r="Q5" s="30" t="n"/>
      <c r="R5" s="30" t="n"/>
      <c r="S5" s="30" t="n"/>
      <c r="T5" s="30" t="n"/>
      <c r="U5" s="30" t="n"/>
      <c r="V5" s="30" t="n"/>
      <c r="W5" s="30" t="n"/>
      <c r="X5" s="30" t="n"/>
    </row>
    <row r="6" ht="20.1" customHeight="1">
      <c r="A6" s="30" t="n"/>
      <c r="B6" s="34" t="inlineStr">
        <is>
          <t>TOP 5  ·  Classements par Facteur d'Investissement</t>
        </is>
      </c>
      <c r="C6" s="30" t="n"/>
      <c r="D6" s="30" t="n"/>
      <c r="E6" s="30" t="n"/>
      <c r="F6" s="30" t="n"/>
      <c r="G6" s="31" t="n"/>
      <c r="H6" s="30" t="n"/>
      <c r="I6" s="30" t="n"/>
      <c r="J6" s="30" t="n"/>
      <c r="K6" s="30" t="n"/>
      <c r="L6" s="30" t="n"/>
      <c r="M6" s="31" t="n"/>
      <c r="N6" s="30" t="n"/>
      <c r="O6" s="30" t="n"/>
      <c r="P6" s="30" t="n"/>
      <c r="Q6" s="30" t="n"/>
      <c r="R6" s="30" t="n"/>
      <c r="S6" s="31" t="n"/>
      <c r="T6" s="30" t="n"/>
      <c r="U6" s="30" t="n"/>
      <c r="V6" s="30" t="n"/>
      <c r="W6" s="30" t="n"/>
      <c r="X6" s="30" t="n"/>
    </row>
    <row r="7" ht="18" customHeight="1">
      <c r="B7" s="35" t="inlineStr">
        <is>
          <t>#</t>
        </is>
      </c>
      <c r="C7" s="36" t="inlineStr">
        <is>
          <t>Ticker</t>
        </is>
      </c>
      <c r="D7" s="37" t="inlineStr">
        <is>
          <t>Société</t>
        </is>
      </c>
      <c r="E7" s="36" t="inlineStr">
        <is>
          <t>Score</t>
        </is>
      </c>
      <c r="F7" s="38" t="inlineStr">
        <is>
          <t>Mét.</t>
        </is>
      </c>
      <c r="H7" s="47" t="inlineStr">
        <is>
          <t>#</t>
        </is>
      </c>
      <c r="I7" s="48" t="inlineStr">
        <is>
          <t>Ticker</t>
        </is>
      </c>
      <c r="J7" s="49" t="inlineStr">
        <is>
          <t>Société</t>
        </is>
      </c>
      <c r="K7" s="48" t="inlineStr">
        <is>
          <t>Score</t>
        </is>
      </c>
      <c r="L7" s="50" t="inlineStr">
        <is>
          <t>Mét.</t>
        </is>
      </c>
      <c r="N7" s="51" t="inlineStr">
        <is>
          <t>#</t>
        </is>
      </c>
      <c r="O7" s="52" t="inlineStr">
        <is>
          <t>Ticker</t>
        </is>
      </c>
      <c r="P7" s="53" t="inlineStr">
        <is>
          <t>Société</t>
        </is>
      </c>
      <c r="Q7" s="52" t="inlineStr">
        <is>
          <t>Score</t>
        </is>
      </c>
      <c r="R7" s="54" t="inlineStr">
        <is>
          <t>Mét.</t>
        </is>
      </c>
      <c r="T7" s="55" t="inlineStr">
        <is>
          <t>#</t>
        </is>
      </c>
      <c r="U7" s="56" t="inlineStr">
        <is>
          <t>Ticker</t>
        </is>
      </c>
      <c r="V7" s="57" t="inlineStr">
        <is>
          <t>Société</t>
        </is>
      </c>
      <c r="W7" s="56" t="inlineStr">
        <is>
          <t>Score</t>
        </is>
      </c>
      <c r="X7" s="58" t="inlineStr">
        <is>
          <t>Mét.</t>
        </is>
      </c>
    </row>
    <row r="8" ht="15.95" customHeight="1">
      <c r="B8" s="39" t="n">
        <v>1</v>
      </c>
      <c r="C8" s="40">
        <f t="array" ref="C8">IFERROR(INDEX('DONNÉES BRUTES'!A$3:A$42,MATCH(_xlfn.AGGREGATE(14,6,'DONNÉES BRUTES'!AB$3:AB$42*1000+(40-ROW('DONNÉES BRUTES'!AB$3:AB$42)+ROW('DONNÉES BRUTES'!AB$3)),1),'DONNÉES BRUTES'!AB$3:AB$42*1000+(40-ROW('DONNÉES BRUTES'!AB$3:AB$42)+ROW('DONNÉES BRUTES'!AB$3)),0)),"—")</f>
        <v/>
      </c>
      <c r="D8" s="41">
        <f t="array" ref="D8">IFERROR(LEFT(INDEX('DONNÉES BRUTES'!B$3:B$42,MATCH(_xlfn.AGGREGATE(14,6,'DONNÉES BRUTES'!AB$3:AB$42*1000+(40-ROW('DONNÉES BRUTES'!AB$3:AB$42)+ROW('DONNÉES BRUTES'!AB$3)),1),'DONNÉES BRUTES'!AB$3:AB$42*1000+(40-ROW('DONNÉES BRUTES'!AB$3:AB$42)+ROW('DONNÉES BRUTES'!AB$3)),0)),18),"—")</f>
        <v/>
      </c>
      <c r="E8" s="40">
        <f t="array" ref="E8">IFERROR(INT(_xlfn.AGGREGATE(14,6,'DONNÉES BRUTES'!AB$3:AB$42*1000+(40-ROW('DONNÉES BRUTES'!AB$3:AB$42)+ROW('DONNÉES BRUTES'!AB$3)),1)/1000)&amp;"/100","—")</f>
        <v/>
      </c>
      <c r="F8" s="42">
        <f t="array" ref="F8">IFERROR(INDEX('DONNÉES BRUTES'!I$3:I$42,MATCH(_xlfn.AGGREGATE(14,6,'DONNÉES BRUTES'!AB$3:AB$42*1000+(40-ROW('DONNÉES BRUTES'!AB$3:AB$42)+ROW('DONNÉES BRUTES'!AB$3)),1),'DONNÉES BRUTES'!AB$3:AB$42*1000+(40-ROW('DONNÉES BRUTES'!AB$3:AB$42)+ROW('DONNÉES BRUTES'!AB$3)),0)),"—")</f>
        <v/>
      </c>
      <c r="H8" s="39" t="n">
        <v>1</v>
      </c>
      <c r="I8" s="40">
        <f t="array" ref="I8">IFERROR(INDEX('DONNÉES BRUTES'!A$3:A$42,MATCH(_xlfn.AGGREGATE(14,6,'DONNÉES BRUTES'!Y$3:Y$42*1000+(40-ROW('DONNÉES BRUTES'!Y$3:Y$42)+ROW('DONNÉES BRUTES'!Y$3)),1),'DONNÉES BRUTES'!Y$3:Y$42*1000+(40-ROW('DONNÉES BRUTES'!Y$3:Y$42)+ROW('DONNÉES BRUTES'!Y$3)),0)),"—")</f>
        <v/>
      </c>
      <c r="J8" s="41">
        <f t="array" ref="J8">IFERROR(LEFT(INDEX('DONNÉES BRUTES'!B$3:B$42,MATCH(_xlfn.AGGREGATE(14,6,'DONNÉES BRUTES'!Y$3:Y$42*1000+(40-ROW('DONNÉES BRUTES'!Y$3:Y$42)+ROW('DONNÉES BRUTES'!Y$3)),1),'DONNÉES BRUTES'!Y$3:Y$42*1000+(40-ROW('DONNÉES BRUTES'!Y$3:Y$42)+ROW('DONNÉES BRUTES'!Y$3)),0)),18),"—")</f>
        <v/>
      </c>
      <c r="K8" s="62">
        <f t="array" ref="K8">IFERROR(INT(_xlfn.AGGREGATE(14,6,'DONNÉES BRUTES'!Y$3:Y$42*1000+(40-ROW('DONNÉES BRUTES'!Y$3:Y$42)+ROW('DONNÉES BRUTES'!Y$3)),1)/1000)&amp;"/100","—")</f>
        <v/>
      </c>
      <c r="L8" s="63">
        <f t="array" ref="L8">IFERROR(INDEX('DONNÉES BRUTES'!P$3:P$42,MATCH(_xlfn.AGGREGATE(14,6,'DONNÉES BRUTES'!Y$3:Y$42*1000+(40-ROW('DONNÉES BRUTES'!Y$3:Y$42)+ROW('DONNÉES BRUTES'!Y$3)),1),'DONNÉES BRUTES'!Y$3:Y$42*1000+(40-ROW('DONNÉES BRUTES'!Y$3:Y$42)+ROW('DONNÉES BRUTES'!Y$3)),0)),"—")</f>
        <v/>
      </c>
      <c r="N8" s="39" t="n">
        <v>1</v>
      </c>
      <c r="O8" s="40">
        <f t="array" ref="O8">IFERROR(INDEX('DONNÉES BRUTES'!A$3:A$42,MATCH(_xlfn.AGGREGATE(14,6,'DONNÉES BRUTES'!Z$3:Z$42*1000+(40-ROW('DONNÉES BRUTES'!Z$3:Z$42)+ROW('DONNÉES BRUTES'!Z$3)),1),'DONNÉES BRUTES'!Z$3:Z$42*1000+(40-ROW('DONNÉES BRUTES'!Z$3:Z$42)+ROW('DONNÉES BRUTES'!Z$3)),0)),"—")</f>
        <v/>
      </c>
      <c r="P8" s="41">
        <f t="array" ref="P8">IFERROR(LEFT(INDEX('DONNÉES BRUTES'!B$3:B$42,MATCH(_xlfn.AGGREGATE(14,6,'DONNÉES BRUTES'!Z$3:Z$42*1000+(40-ROW('DONNÉES BRUTES'!Z$3:Z$42)+ROW('DONNÉES BRUTES'!Z$3)),1),'DONNÉES BRUTES'!Z$3:Z$42*1000+(40-ROW('DONNÉES BRUTES'!Z$3:Z$42)+ROW('DONNÉES BRUTES'!Z$3)),0)),18),"—")</f>
        <v/>
      </c>
      <c r="Q8" s="67">
        <f t="array" ref="Q8">IFERROR(INT(_xlfn.AGGREGATE(14,6,'DONNÉES BRUTES'!Z$3:Z$42*1000+(40-ROW('DONNÉES BRUTES'!Z$3:Z$42)+ROW('DONNÉES BRUTES'!Z$3)),1)/1000)&amp;"/100","—")</f>
        <v/>
      </c>
      <c r="R8" s="42">
        <f t="array" ref="R8">IFERROR(INDEX('DONNÉES BRUTES'!U$3:U$42,MATCH(_xlfn.AGGREGATE(14,6,'DONNÉES BRUTES'!Z$3:Z$42*1000+(40-ROW('DONNÉES BRUTES'!Z$3:Z$42)+ROW('DONNÉES BRUTES'!Z$3)),1),'DONNÉES BRUTES'!Z$3:Z$42*1000+(40-ROW('DONNÉES BRUTES'!Z$3:Z$42)+ROW('DONNÉES BRUTES'!Z$3)),0)),"—")</f>
        <v/>
      </c>
      <c r="T8" s="39" t="n">
        <v>1</v>
      </c>
      <c r="U8" s="40">
        <f t="array" ref="U8">IFERROR(INDEX('DONNÉES BRUTES'!A$3:A$42,MATCH(_xlfn.AGGREGATE(14,6,'DONNÉES BRUTES'!AA$3:AA$42*1000+(40-ROW('DONNÉES BRUTES'!AA$3:AA$42)+ROW('DONNÉES BRUTES'!AA$3)),1),'DONNÉES BRUTES'!AA$3:AA$42*1000+(40-ROW('DONNÉES BRUTES'!AA$3:AA$42)+ROW('DONNÉES BRUTES'!AA$3)),0)),"—")</f>
        <v/>
      </c>
      <c r="V8" s="41">
        <f t="array" ref="V8">IFERROR(LEFT(INDEX('DONNÉES BRUTES'!B$3:B$42,MATCH(_xlfn.AGGREGATE(14,6,'DONNÉES BRUTES'!AA$3:AA$42*1000+(40-ROW('DONNÉES BRUTES'!AA$3:AA$42)+ROW('DONNÉES BRUTES'!AA$3)),1),'DONNÉES BRUTES'!AA$3:AA$42*1000+(40-ROW('DONNÉES BRUTES'!AA$3:AA$42)+ROW('DONNÉES BRUTES'!AA$3)),0)),18),"—")</f>
        <v/>
      </c>
      <c r="W8" s="69">
        <f t="array" ref="W8">IFERROR(INT(_xlfn.AGGREGATE(14,6,'DONNÉES BRUTES'!AA$3:AA$42*1000+(40-ROW('DONNÉES BRUTES'!AA$3:AA$42)+ROW('DONNÉES BRUTES'!AA$3)),1)/1000)&amp;"/100","—")</f>
        <v/>
      </c>
      <c r="X8" s="42">
        <f t="array" ref="X8">IFERROR(INDEX('DONNÉES BRUTES'!P$3:P$42,MATCH(_xlfn.AGGREGATE(14,6,'DONNÉES BRUTES'!AA$3:AA$42*1000+(40-ROW('DONNÉES BRUTES'!AA$3:AA$42)+ROW('DONNÉES BRUTES'!AA$3)),1),'DONNÉES BRUTES'!AA$3:AA$42*1000+(40-ROW('DONNÉES BRUTES'!AA$3:AA$42)+ROW('DONNÉES BRUTES'!AA$3)),0)),"—")</f>
        <v/>
      </c>
    </row>
    <row r="9" ht="15.95" customHeight="1">
      <c r="B9" s="43" t="n">
        <v>2</v>
      </c>
      <c r="C9" s="44">
        <f t="array" ref="C9">IFERROR(INDEX('DONNÉES BRUTES'!A$3:A$42,MATCH(_xlfn.AGGREGATE(14,6,'DONNÉES BRUTES'!AB$3:AB$42*1000+(40-ROW('DONNÉES BRUTES'!AB$3:AB$42)+ROW('DONNÉES BRUTES'!AB$3)),2),'DONNÉES BRUTES'!AB$3:AB$42*1000+(40-ROW('DONNÉES BRUTES'!AB$3:AB$42)+ROW('DONNÉES BRUTES'!AB$3)),0)),"—")</f>
        <v/>
      </c>
      <c r="D9" s="45">
        <f t="array" ref="D9">IFERROR(LEFT(INDEX('DONNÉES BRUTES'!B$3:B$42,MATCH(_xlfn.AGGREGATE(14,6,'DONNÉES BRUTES'!AB$3:AB$42*1000+(40-ROW('DONNÉES BRUTES'!AB$3:AB$42)+ROW('DONNÉES BRUTES'!AB$3)),2),'DONNÉES BRUTES'!AB$3:AB$42*1000+(40-ROW('DONNÉES BRUTES'!AB$3:AB$42)+ROW('DONNÉES BRUTES'!AB$3)),0)),18),"—")</f>
        <v/>
      </c>
      <c r="E9" s="44">
        <f t="array" ref="E9">IFERROR(INT(_xlfn.AGGREGATE(14,6,'DONNÉES BRUTES'!AB$3:AB$42*1000+(40-ROW('DONNÉES BRUTES'!AB$3:AB$42)+ROW('DONNÉES BRUTES'!AB$3)),2)/1000)&amp;"/100","—")</f>
        <v/>
      </c>
      <c r="F9" s="46">
        <f t="array" ref="F9">IFERROR(INDEX('DONNÉES BRUTES'!I$3:I$42,MATCH(_xlfn.AGGREGATE(14,6,'DONNÉES BRUTES'!AB$3:AB$42*1000+(40-ROW('DONNÉES BRUTES'!AB$3:AB$42)+ROW('DONNÉES BRUTES'!AB$3)),2),'DONNÉES BRUTES'!AB$3:AB$42*1000+(40-ROW('DONNÉES BRUTES'!AB$3:AB$42)+ROW('DONNÉES BRUTES'!AB$3)),0)),"—")</f>
        <v/>
      </c>
      <c r="H9" s="43" t="n">
        <v>2</v>
      </c>
      <c r="I9" s="44">
        <f t="array" ref="I9">IFERROR(INDEX('DONNÉES BRUTES'!A$3:A$42,MATCH(_xlfn.AGGREGATE(14,6,'DONNÉES BRUTES'!Y$3:Y$42*1000+(40-ROW('DONNÉES BRUTES'!Y$3:Y$42)+ROW('DONNÉES BRUTES'!Y$3)),2),'DONNÉES BRUTES'!Y$3:Y$42*1000+(40-ROW('DONNÉES BRUTES'!Y$3:Y$42)+ROW('DONNÉES BRUTES'!Y$3)),0)),"—")</f>
        <v/>
      </c>
      <c r="J9" s="45">
        <f t="array" ref="J9">IFERROR(LEFT(INDEX('DONNÉES BRUTES'!B$3:B$42,MATCH(_xlfn.AGGREGATE(14,6,'DONNÉES BRUTES'!Y$3:Y$42*1000+(40-ROW('DONNÉES BRUTES'!Y$3:Y$42)+ROW('DONNÉES BRUTES'!Y$3)),2),'DONNÉES BRUTES'!Y$3:Y$42*1000+(40-ROW('DONNÉES BRUTES'!Y$3:Y$42)+ROW('DONNÉES BRUTES'!Y$3)),0)),18),"—")</f>
        <v/>
      </c>
      <c r="K9" s="64">
        <f t="array" ref="K9">IFERROR(INT(_xlfn.AGGREGATE(14,6,'DONNÉES BRUTES'!Y$3:Y$42*1000+(40-ROW('DONNÉES BRUTES'!Y$3:Y$42)+ROW('DONNÉES BRUTES'!Y$3)),2)/1000)&amp;"/100","—")</f>
        <v/>
      </c>
      <c r="L9" s="65">
        <f t="array" ref="L9">IFERROR(INDEX('DONNÉES BRUTES'!P$3:P$42,MATCH(_xlfn.AGGREGATE(14,6,'DONNÉES BRUTES'!Y$3:Y$42*1000+(40-ROW('DONNÉES BRUTES'!Y$3:Y$42)+ROW('DONNÉES BRUTES'!Y$3)),2),'DONNÉES BRUTES'!Y$3:Y$42*1000+(40-ROW('DONNÉES BRUTES'!Y$3:Y$42)+ROW('DONNÉES BRUTES'!Y$3)),0)),"—")</f>
        <v/>
      </c>
      <c r="N9" s="43" t="n">
        <v>2</v>
      </c>
      <c r="O9" s="44">
        <f t="array" ref="O9">IFERROR(INDEX('DONNÉES BRUTES'!A$3:A$42,MATCH(_xlfn.AGGREGATE(14,6,'DONNÉES BRUTES'!Z$3:Z$42*1000+(40-ROW('DONNÉES BRUTES'!Z$3:Z$42)+ROW('DONNÉES BRUTES'!Z$3)),2),'DONNÉES BRUTES'!Z$3:Z$42*1000+(40-ROW('DONNÉES BRUTES'!Z$3:Z$42)+ROW('DONNÉES BRUTES'!Z$3)),0)),"—")</f>
        <v/>
      </c>
      <c r="P9" s="45">
        <f t="array" ref="P9">IFERROR(LEFT(INDEX('DONNÉES BRUTES'!B$3:B$42,MATCH(_xlfn.AGGREGATE(14,6,'DONNÉES BRUTES'!Z$3:Z$42*1000+(40-ROW('DONNÉES BRUTES'!Z$3:Z$42)+ROW('DONNÉES BRUTES'!Z$3)),2),'DONNÉES BRUTES'!Z$3:Z$42*1000+(40-ROW('DONNÉES BRUTES'!Z$3:Z$42)+ROW('DONNÉES BRUTES'!Z$3)),0)),18),"—")</f>
        <v/>
      </c>
      <c r="Q9" s="68">
        <f t="array" ref="Q9">IFERROR(INT(_xlfn.AGGREGATE(14,6,'DONNÉES BRUTES'!Z$3:Z$42*1000+(40-ROW('DONNÉES BRUTES'!Z$3:Z$42)+ROW('DONNÉES BRUTES'!Z$3)),2)/1000)&amp;"/100","—")</f>
        <v/>
      </c>
      <c r="R9" s="46">
        <f t="array" ref="R9">IFERROR(INDEX('DONNÉES BRUTES'!U$3:U$42,MATCH(_xlfn.AGGREGATE(14,6,'DONNÉES BRUTES'!Z$3:Z$42*1000+(40-ROW('DONNÉES BRUTES'!Z$3:Z$42)+ROW('DONNÉES BRUTES'!Z$3)),2),'DONNÉES BRUTES'!Z$3:Z$42*1000+(40-ROW('DONNÉES BRUTES'!Z$3:Z$42)+ROW('DONNÉES BRUTES'!Z$3)),0)),"—")</f>
        <v/>
      </c>
      <c r="T9" s="43" t="n">
        <v>2</v>
      </c>
      <c r="U9" s="44">
        <f t="array" ref="U9">IFERROR(INDEX('DONNÉES BRUTES'!A$3:A$42,MATCH(_xlfn.AGGREGATE(14,6,'DONNÉES BRUTES'!AA$3:AA$42*1000+(40-ROW('DONNÉES BRUTES'!AA$3:AA$42)+ROW('DONNÉES BRUTES'!AA$3)),2),'DONNÉES BRUTES'!AA$3:AA$42*1000+(40-ROW('DONNÉES BRUTES'!AA$3:AA$42)+ROW('DONNÉES BRUTES'!AA$3)),0)),"—")</f>
        <v/>
      </c>
      <c r="V9" s="45">
        <f t="array" ref="V9">IFERROR(LEFT(INDEX('DONNÉES BRUTES'!B$3:B$42,MATCH(_xlfn.AGGREGATE(14,6,'DONNÉES BRUTES'!AA$3:AA$42*1000+(40-ROW('DONNÉES BRUTES'!AA$3:AA$42)+ROW('DONNÉES BRUTES'!AA$3)),2),'DONNÉES BRUTES'!AA$3:AA$42*1000+(40-ROW('DONNÉES BRUTES'!AA$3:AA$42)+ROW('DONNÉES BRUTES'!AA$3)),0)),18),"—")</f>
        <v/>
      </c>
      <c r="W9" s="70">
        <f t="array" ref="W9">IFERROR(INT(_xlfn.AGGREGATE(14,6,'DONNÉES BRUTES'!AA$3:AA$42*1000+(40-ROW('DONNÉES BRUTES'!AA$3:AA$42)+ROW('DONNÉES BRUTES'!AA$3)),2)/1000)&amp;"/100","—")</f>
        <v/>
      </c>
      <c r="X9" s="46">
        <f t="array" ref="X9">IFERROR(INDEX('DONNÉES BRUTES'!P$3:P$42,MATCH(_xlfn.AGGREGATE(14,6,'DONNÉES BRUTES'!AA$3:AA$42*1000+(40-ROW('DONNÉES BRUTES'!AA$3:AA$42)+ROW('DONNÉES BRUTES'!AA$3)),2),'DONNÉES BRUTES'!AA$3:AA$42*1000+(40-ROW('DONNÉES BRUTES'!AA$3:AA$42)+ROW('DONNÉES BRUTES'!AA$3)),0)),"—")</f>
        <v/>
      </c>
    </row>
    <row r="10" ht="15.95" customHeight="1">
      <c r="B10" s="39" t="n">
        <v>3</v>
      </c>
      <c r="C10" s="40">
        <f t="array" ref="C10">IFERROR(INDEX('DONNÉES BRUTES'!A$3:A$42,MATCH(_xlfn.AGGREGATE(14,6,'DONNÉES BRUTES'!AB$3:AB$42*1000+(40-ROW('DONNÉES BRUTES'!AB$3:AB$42)+ROW('DONNÉES BRUTES'!AB$3)),3),'DONNÉES BRUTES'!AB$3:AB$42*1000+(40-ROW('DONNÉES BRUTES'!AB$3:AB$42)+ROW('DONNÉES BRUTES'!AB$3)),0)),"—")</f>
        <v/>
      </c>
      <c r="D10" s="41">
        <f t="array" ref="D10">IFERROR(LEFT(INDEX('DONNÉES BRUTES'!B$3:B$42,MATCH(_xlfn.AGGREGATE(14,6,'DONNÉES BRUTES'!AB$3:AB$42*1000+(40-ROW('DONNÉES BRUTES'!AB$3:AB$42)+ROW('DONNÉES BRUTES'!AB$3)),3),'DONNÉES BRUTES'!AB$3:AB$42*1000+(40-ROW('DONNÉES BRUTES'!AB$3:AB$42)+ROW('DONNÉES BRUTES'!AB$3)),0)),18),"—")</f>
        <v/>
      </c>
      <c r="E10" s="40">
        <f t="array" ref="E10">IFERROR(INT(_xlfn.AGGREGATE(14,6,'DONNÉES BRUTES'!AB$3:AB$42*1000+(40-ROW('DONNÉES BRUTES'!AB$3:AB$42)+ROW('DONNÉES BRUTES'!AB$3)),3)/1000)&amp;"/100","—")</f>
        <v/>
      </c>
      <c r="F10" s="42">
        <f t="array" ref="F10">IFERROR(INDEX('DONNÉES BRUTES'!I$3:I$42,MATCH(_xlfn.AGGREGATE(14,6,'DONNÉES BRUTES'!AB$3:AB$42*1000+(40-ROW('DONNÉES BRUTES'!AB$3:AB$42)+ROW('DONNÉES BRUTES'!AB$3)),3),'DONNÉES BRUTES'!AB$3:AB$42*1000+(40-ROW('DONNÉES BRUTES'!AB$3:AB$42)+ROW('DONNÉES BRUTES'!AB$3)),0)),"—")</f>
        <v/>
      </c>
      <c r="H10" s="39" t="n">
        <v>3</v>
      </c>
      <c r="I10" s="40">
        <f t="array" ref="I10">IFERROR(INDEX('DONNÉES BRUTES'!A$3:A$42,MATCH(_xlfn.AGGREGATE(14,6,'DONNÉES BRUTES'!Y$3:Y$42*1000+(40-ROW('DONNÉES BRUTES'!Y$3:Y$42)+ROW('DONNÉES BRUTES'!Y$3)),3),'DONNÉES BRUTES'!Y$3:Y$42*1000+(40-ROW('DONNÉES BRUTES'!Y$3:Y$42)+ROW('DONNÉES BRUTES'!Y$3)),0)),"—")</f>
        <v/>
      </c>
      <c r="J10" s="41">
        <f t="array" ref="J10">IFERROR(LEFT(INDEX('DONNÉES BRUTES'!B$3:B$42,MATCH(_xlfn.AGGREGATE(14,6,'DONNÉES BRUTES'!Y$3:Y$42*1000+(40-ROW('DONNÉES BRUTES'!Y$3:Y$42)+ROW('DONNÉES BRUTES'!Y$3)),3),'DONNÉES BRUTES'!Y$3:Y$42*1000+(40-ROW('DONNÉES BRUTES'!Y$3:Y$42)+ROW('DONNÉES BRUTES'!Y$3)),0)),18),"—")</f>
        <v/>
      </c>
      <c r="K10" s="62">
        <f t="array" ref="K10">IFERROR(INT(_xlfn.AGGREGATE(14,6,'DONNÉES BRUTES'!Y$3:Y$42*1000+(40-ROW('DONNÉES BRUTES'!Y$3:Y$42)+ROW('DONNÉES BRUTES'!Y$3)),3)/1000)&amp;"/100","—")</f>
        <v/>
      </c>
      <c r="L10" s="63">
        <f t="array" ref="L10">IFERROR(INDEX('DONNÉES BRUTES'!P$3:P$42,MATCH(_xlfn.AGGREGATE(14,6,'DONNÉES BRUTES'!Y$3:Y$42*1000+(40-ROW('DONNÉES BRUTES'!Y$3:Y$42)+ROW('DONNÉES BRUTES'!Y$3)),3),'DONNÉES BRUTES'!Y$3:Y$42*1000+(40-ROW('DONNÉES BRUTES'!Y$3:Y$42)+ROW('DONNÉES BRUTES'!Y$3)),0)),"—")</f>
        <v/>
      </c>
      <c r="N10" s="39" t="n">
        <v>3</v>
      </c>
      <c r="O10" s="40">
        <f t="array" ref="O10">IFERROR(INDEX('DONNÉES BRUTES'!A$3:A$42,MATCH(_xlfn.AGGREGATE(14,6,'DONNÉES BRUTES'!Z$3:Z$42*1000+(40-ROW('DONNÉES BRUTES'!Z$3:Z$42)+ROW('DONNÉES BRUTES'!Z$3)),3),'DONNÉES BRUTES'!Z$3:Z$42*1000+(40-ROW('DONNÉES BRUTES'!Z$3:Z$42)+ROW('DONNÉES BRUTES'!Z$3)),0)),"—")</f>
        <v/>
      </c>
      <c r="P10" s="41">
        <f t="array" ref="P10">IFERROR(LEFT(INDEX('DONNÉES BRUTES'!B$3:B$42,MATCH(_xlfn.AGGREGATE(14,6,'DONNÉES BRUTES'!Z$3:Z$42*1000+(40-ROW('DONNÉES BRUTES'!Z$3:Z$42)+ROW('DONNÉES BRUTES'!Z$3)),3),'DONNÉES BRUTES'!Z$3:Z$42*1000+(40-ROW('DONNÉES BRUTES'!Z$3:Z$42)+ROW('DONNÉES BRUTES'!Z$3)),0)),18),"—")</f>
        <v/>
      </c>
      <c r="Q10" s="67">
        <f t="array" ref="Q10">IFERROR(INT(_xlfn.AGGREGATE(14,6,'DONNÉES BRUTES'!Z$3:Z$42*1000+(40-ROW('DONNÉES BRUTES'!Z$3:Z$42)+ROW('DONNÉES BRUTES'!Z$3)),3)/1000)&amp;"/100","—")</f>
        <v/>
      </c>
      <c r="R10" s="42">
        <f t="array" ref="R10">IFERROR(INDEX('DONNÉES BRUTES'!U$3:U$42,MATCH(_xlfn.AGGREGATE(14,6,'DONNÉES BRUTES'!Z$3:Z$42*1000+(40-ROW('DONNÉES BRUTES'!Z$3:Z$42)+ROW('DONNÉES BRUTES'!Z$3)),3),'DONNÉES BRUTES'!Z$3:Z$42*1000+(40-ROW('DONNÉES BRUTES'!Z$3:Z$42)+ROW('DONNÉES BRUTES'!Z$3)),0)),"—")</f>
        <v/>
      </c>
      <c r="T10" s="39" t="n">
        <v>3</v>
      </c>
      <c r="U10" s="40">
        <f t="array" ref="U10">IFERROR(INDEX('DONNÉES BRUTES'!A$3:A$42,MATCH(_xlfn.AGGREGATE(14,6,'DONNÉES BRUTES'!AA$3:AA$42*1000+(40-ROW('DONNÉES BRUTES'!AA$3:AA$42)+ROW('DONNÉES BRUTES'!AA$3)),3),'DONNÉES BRUTES'!AA$3:AA$42*1000+(40-ROW('DONNÉES BRUTES'!AA$3:AA$42)+ROW('DONNÉES BRUTES'!AA$3)),0)),"—")</f>
        <v/>
      </c>
      <c r="V10" s="41">
        <f t="array" ref="V10">IFERROR(LEFT(INDEX('DONNÉES BRUTES'!B$3:B$42,MATCH(_xlfn.AGGREGATE(14,6,'DONNÉES BRUTES'!AA$3:AA$42*1000+(40-ROW('DONNÉES BRUTES'!AA$3:AA$42)+ROW('DONNÉES BRUTES'!AA$3)),3),'DONNÉES BRUTES'!AA$3:AA$42*1000+(40-ROW('DONNÉES BRUTES'!AA$3:AA$42)+ROW('DONNÉES BRUTES'!AA$3)),0)),18),"—")</f>
        <v/>
      </c>
      <c r="W10" s="69">
        <f t="array" ref="W10">IFERROR(INT(_xlfn.AGGREGATE(14,6,'DONNÉES BRUTES'!AA$3:AA$42*1000+(40-ROW('DONNÉES BRUTES'!AA$3:AA$42)+ROW('DONNÉES BRUTES'!AA$3)),3)/1000)&amp;"/100","—")</f>
        <v/>
      </c>
      <c r="X10" s="42">
        <f t="array" ref="X10">IFERROR(INDEX('DONNÉES BRUTES'!P$3:P$42,MATCH(_xlfn.AGGREGATE(14,6,'DONNÉES BRUTES'!AA$3:AA$42*1000+(40-ROW('DONNÉES BRUTES'!AA$3:AA$42)+ROW('DONNÉES BRUTES'!AA$3)),3),'DONNÉES BRUTES'!AA$3:AA$42*1000+(40-ROW('DONNÉES BRUTES'!AA$3:AA$42)+ROW('DONNÉES BRUTES'!AA$3)),0)),"—")</f>
        <v/>
      </c>
    </row>
    <row r="11" ht="15.95" customHeight="1">
      <c r="B11" s="43" t="n">
        <v>4</v>
      </c>
      <c r="C11" s="44">
        <f t="array" ref="C11">IFERROR(INDEX('DONNÉES BRUTES'!A$3:A$42,MATCH(_xlfn.AGGREGATE(14,6,'DONNÉES BRUTES'!AB$3:AB$42*1000+(40-ROW('DONNÉES BRUTES'!AB$3:AB$42)+ROW('DONNÉES BRUTES'!AB$3)),4),'DONNÉES BRUTES'!AB$3:AB$42*1000+(40-ROW('DONNÉES BRUTES'!AB$3:AB$42)+ROW('DONNÉES BRUTES'!AB$3)),0)),"—")</f>
        <v/>
      </c>
      <c r="D11" s="45">
        <f t="array" ref="D11">IFERROR(LEFT(INDEX('DONNÉES BRUTES'!B$3:B$42,MATCH(_xlfn.AGGREGATE(14,6,'DONNÉES BRUTES'!AB$3:AB$42*1000+(40-ROW('DONNÉES BRUTES'!AB$3:AB$42)+ROW('DONNÉES BRUTES'!AB$3)),4),'DONNÉES BRUTES'!AB$3:AB$42*1000+(40-ROW('DONNÉES BRUTES'!AB$3:AB$42)+ROW('DONNÉES BRUTES'!AB$3)),0)),18),"—")</f>
        <v/>
      </c>
      <c r="E11" s="44">
        <f t="array" ref="E11">IFERROR(INT(_xlfn.AGGREGATE(14,6,'DONNÉES BRUTES'!AB$3:AB$42*1000+(40-ROW('DONNÉES BRUTES'!AB$3:AB$42)+ROW('DONNÉES BRUTES'!AB$3)),4)/1000)&amp;"/100","—")</f>
        <v/>
      </c>
      <c r="F11" s="46">
        <f t="array" ref="F11">IFERROR(INDEX('DONNÉES BRUTES'!I$3:I$42,MATCH(_xlfn.AGGREGATE(14,6,'DONNÉES BRUTES'!AB$3:AB$42*1000+(40-ROW('DONNÉES BRUTES'!AB$3:AB$42)+ROW('DONNÉES BRUTES'!AB$3)),4),'DONNÉES BRUTES'!AB$3:AB$42*1000+(40-ROW('DONNÉES BRUTES'!AB$3:AB$42)+ROW('DONNÉES BRUTES'!AB$3)),0)),"—")</f>
        <v/>
      </c>
      <c r="H11" s="43" t="n">
        <v>4</v>
      </c>
      <c r="I11" s="44">
        <f t="array" ref="I11">IFERROR(INDEX('DONNÉES BRUTES'!A$3:A$42,MATCH(_xlfn.AGGREGATE(14,6,'DONNÉES BRUTES'!Y$3:Y$42*1000+(40-ROW('DONNÉES BRUTES'!Y$3:Y$42)+ROW('DONNÉES BRUTES'!Y$3)),4),'DONNÉES BRUTES'!Y$3:Y$42*1000+(40-ROW('DONNÉES BRUTES'!Y$3:Y$42)+ROW('DONNÉES BRUTES'!Y$3)),0)),"—")</f>
        <v/>
      </c>
      <c r="J11" s="45">
        <f t="array" ref="J11">IFERROR(LEFT(INDEX('DONNÉES BRUTES'!B$3:B$42,MATCH(_xlfn.AGGREGATE(14,6,'DONNÉES BRUTES'!Y$3:Y$42*1000+(40-ROW('DONNÉES BRUTES'!Y$3:Y$42)+ROW('DONNÉES BRUTES'!Y$3)),4),'DONNÉES BRUTES'!Y$3:Y$42*1000+(40-ROW('DONNÉES BRUTES'!Y$3:Y$42)+ROW('DONNÉES BRUTES'!Y$3)),0)),18),"—")</f>
        <v/>
      </c>
      <c r="K11" s="64">
        <f t="array" ref="K11">IFERROR(INT(_xlfn.AGGREGATE(14,6,'DONNÉES BRUTES'!Y$3:Y$42*1000+(40-ROW('DONNÉES BRUTES'!Y$3:Y$42)+ROW('DONNÉES BRUTES'!Y$3)),4)/1000)&amp;"/100","—")</f>
        <v/>
      </c>
      <c r="L11" s="66">
        <f t="array" ref="L11">IFERROR(INDEX('DONNÉES BRUTES'!P$3:P$42,MATCH(_xlfn.AGGREGATE(14,6,'DONNÉES BRUTES'!Y$3:Y$42*1000+(40-ROW('DONNÉES BRUTES'!Y$3:Y$42)+ROW('DONNÉES BRUTES'!Y$3)),4),'DONNÉES BRUTES'!Y$3:Y$42*1000+(40-ROW('DONNÉES BRUTES'!Y$3:Y$42)+ROW('DONNÉES BRUTES'!Y$3)),0)),"—")</f>
        <v/>
      </c>
      <c r="N11" s="43" t="n">
        <v>4</v>
      </c>
      <c r="O11" s="44">
        <f t="array" ref="O11">IFERROR(INDEX('DONNÉES BRUTES'!A$3:A$42,MATCH(_xlfn.AGGREGATE(14,6,'DONNÉES BRUTES'!Z$3:Z$42*1000+(40-ROW('DONNÉES BRUTES'!Z$3:Z$42)+ROW('DONNÉES BRUTES'!Z$3)),4),'DONNÉES BRUTES'!Z$3:Z$42*1000+(40-ROW('DONNÉES BRUTES'!Z$3:Z$42)+ROW('DONNÉES BRUTES'!Z$3)),0)),"—")</f>
        <v/>
      </c>
      <c r="P11" s="45">
        <f t="array" ref="P11">IFERROR(LEFT(INDEX('DONNÉES BRUTES'!B$3:B$42,MATCH(_xlfn.AGGREGATE(14,6,'DONNÉES BRUTES'!Z$3:Z$42*1000+(40-ROW('DONNÉES BRUTES'!Z$3:Z$42)+ROW('DONNÉES BRUTES'!Z$3)),4),'DONNÉES BRUTES'!Z$3:Z$42*1000+(40-ROW('DONNÉES BRUTES'!Z$3:Z$42)+ROW('DONNÉES BRUTES'!Z$3)),0)),18),"—")</f>
        <v/>
      </c>
      <c r="Q11" s="68">
        <f t="array" ref="Q11">IFERROR(INT(_xlfn.AGGREGATE(14,6,'DONNÉES BRUTES'!Z$3:Z$42*1000+(40-ROW('DONNÉES BRUTES'!Z$3:Z$42)+ROW('DONNÉES BRUTES'!Z$3)),4)/1000)&amp;"/100","—")</f>
        <v/>
      </c>
      <c r="R11" s="46">
        <f t="array" ref="R11">IFERROR(INDEX('DONNÉES BRUTES'!U$3:U$42,MATCH(_xlfn.AGGREGATE(14,6,'DONNÉES BRUTES'!Z$3:Z$42*1000+(40-ROW('DONNÉES BRUTES'!Z$3:Z$42)+ROW('DONNÉES BRUTES'!Z$3)),4),'DONNÉES BRUTES'!Z$3:Z$42*1000+(40-ROW('DONNÉES BRUTES'!Z$3:Z$42)+ROW('DONNÉES BRUTES'!Z$3)),0)),"—")</f>
        <v/>
      </c>
      <c r="T11" s="43" t="n">
        <v>4</v>
      </c>
      <c r="U11" s="44">
        <f t="array" ref="U11">IFERROR(INDEX('DONNÉES BRUTES'!A$3:A$42,MATCH(_xlfn.AGGREGATE(14,6,'DONNÉES BRUTES'!AA$3:AA$42*1000+(40-ROW('DONNÉES BRUTES'!AA$3:AA$42)+ROW('DONNÉES BRUTES'!AA$3)),4),'DONNÉES BRUTES'!AA$3:AA$42*1000+(40-ROW('DONNÉES BRUTES'!AA$3:AA$42)+ROW('DONNÉES BRUTES'!AA$3)),0)),"—")</f>
        <v/>
      </c>
      <c r="V11" s="45">
        <f t="array" ref="V11">IFERROR(LEFT(INDEX('DONNÉES BRUTES'!B$3:B$42,MATCH(_xlfn.AGGREGATE(14,6,'DONNÉES BRUTES'!AA$3:AA$42*1000+(40-ROW('DONNÉES BRUTES'!AA$3:AA$42)+ROW('DONNÉES BRUTES'!AA$3)),4),'DONNÉES BRUTES'!AA$3:AA$42*1000+(40-ROW('DONNÉES BRUTES'!AA$3:AA$42)+ROW('DONNÉES BRUTES'!AA$3)),0)),18),"—")</f>
        <v/>
      </c>
      <c r="W11" s="70">
        <f t="array" ref="W11">IFERROR(INT(_xlfn.AGGREGATE(14,6,'DONNÉES BRUTES'!AA$3:AA$42*1000+(40-ROW('DONNÉES BRUTES'!AA$3:AA$42)+ROW('DONNÉES BRUTES'!AA$3)),4)/1000)&amp;"/100","—")</f>
        <v/>
      </c>
      <c r="X11" s="46">
        <f t="array" ref="X11">IFERROR(INDEX('DONNÉES BRUTES'!P$3:P$42,MATCH(_xlfn.AGGREGATE(14,6,'DONNÉES BRUTES'!AA$3:AA$42*1000+(40-ROW('DONNÉES BRUTES'!AA$3:AA$42)+ROW('DONNÉES BRUTES'!AA$3)),4),'DONNÉES BRUTES'!AA$3:AA$42*1000+(40-ROW('DONNÉES BRUTES'!AA$3:AA$42)+ROW('DONNÉES BRUTES'!AA$3)),0)),"—")</f>
        <v/>
      </c>
    </row>
    <row r="12" ht="15.95" customHeight="1">
      <c r="B12" s="39" t="n">
        <v>5</v>
      </c>
      <c r="C12" s="40">
        <f t="array" ref="C12">IFERROR(INDEX('DONNÉES BRUTES'!A$3:A$42,MATCH(_xlfn.AGGREGATE(14,6,'DONNÉES BRUTES'!AB$3:AB$42*1000+(40-ROW('DONNÉES BRUTES'!AB$3:AB$42)+ROW('DONNÉES BRUTES'!AB$3)),5),'DONNÉES BRUTES'!AB$3:AB$42*1000+(40-ROW('DONNÉES BRUTES'!AB$3:AB$42)+ROW('DONNÉES BRUTES'!AB$3)),0)),"—")</f>
        <v/>
      </c>
      <c r="D12" s="41">
        <f t="array" ref="D12">IFERROR(LEFT(INDEX('DONNÉES BRUTES'!B$3:B$42,MATCH(_xlfn.AGGREGATE(14,6,'DONNÉES BRUTES'!AB$3:AB$42*1000+(40-ROW('DONNÉES BRUTES'!AB$3:AB$42)+ROW('DONNÉES BRUTES'!AB$3)),5),'DONNÉES BRUTES'!AB$3:AB$42*1000+(40-ROW('DONNÉES BRUTES'!AB$3:AB$42)+ROW('DONNÉES BRUTES'!AB$3)),0)),18),"—")</f>
        <v/>
      </c>
      <c r="E12" s="40">
        <f t="array" ref="E12">IFERROR(INT(_xlfn.AGGREGATE(14,6,'DONNÉES BRUTES'!AB$3:AB$42*1000+(40-ROW('DONNÉES BRUTES'!AB$3:AB$42)+ROW('DONNÉES BRUTES'!AB$3)),5)/1000)&amp;"/100","—")</f>
        <v/>
      </c>
      <c r="F12" s="42">
        <f t="array" ref="F12">IFERROR(INDEX('DONNÉES BRUTES'!I$3:I$42,MATCH(_xlfn.AGGREGATE(14,6,'DONNÉES BRUTES'!AB$3:AB$42*1000+(40-ROW('DONNÉES BRUTES'!AB$3:AB$42)+ROW('DONNÉES BRUTES'!AB$3)),5),'DONNÉES BRUTES'!AB$3:AB$42*1000+(40-ROW('DONNÉES BRUTES'!AB$3:AB$42)+ROW('DONNÉES BRUTES'!AB$3)),0)),"—")</f>
        <v/>
      </c>
      <c r="H12" s="39" t="n">
        <v>5</v>
      </c>
      <c r="I12" s="40">
        <f t="array" ref="I12">IFERROR(INDEX('DONNÉES BRUTES'!A$3:A$42,MATCH(_xlfn.AGGREGATE(14,6,'DONNÉES BRUTES'!Y$3:Y$42*1000+(40-ROW('DONNÉES BRUTES'!Y$3:Y$42)+ROW('DONNÉES BRUTES'!Y$3)),5),'DONNÉES BRUTES'!Y$3:Y$42*1000+(40-ROW('DONNÉES BRUTES'!Y$3:Y$42)+ROW('DONNÉES BRUTES'!Y$3)),0)),"—")</f>
        <v/>
      </c>
      <c r="J12" s="41">
        <f t="array" ref="J12">IFERROR(LEFT(INDEX('DONNÉES BRUTES'!B$3:B$42,MATCH(_xlfn.AGGREGATE(14,6,'DONNÉES BRUTES'!Y$3:Y$42*1000+(40-ROW('DONNÉES BRUTES'!Y$3:Y$42)+ROW('DONNÉES BRUTES'!Y$3)),5),'DONNÉES BRUTES'!Y$3:Y$42*1000+(40-ROW('DONNÉES BRUTES'!Y$3:Y$42)+ROW('DONNÉES BRUTES'!Y$3)),0)),18),"—")</f>
        <v/>
      </c>
      <c r="K12" s="62">
        <f t="array" ref="K12">IFERROR(INT(_xlfn.AGGREGATE(14,6,'DONNÉES BRUTES'!Y$3:Y$42*1000+(40-ROW('DONNÉES BRUTES'!Y$3:Y$42)+ROW('DONNÉES BRUTES'!Y$3)),5)/1000)&amp;"/100","—")</f>
        <v/>
      </c>
      <c r="L12" s="63">
        <f t="array" ref="L12">IFERROR(INDEX('DONNÉES BRUTES'!P$3:P$42,MATCH(_xlfn.AGGREGATE(14,6,'DONNÉES BRUTES'!Y$3:Y$42*1000+(40-ROW('DONNÉES BRUTES'!Y$3:Y$42)+ROW('DONNÉES BRUTES'!Y$3)),5),'DONNÉES BRUTES'!Y$3:Y$42*1000+(40-ROW('DONNÉES BRUTES'!Y$3:Y$42)+ROW('DONNÉES BRUTES'!Y$3)),0)),"—")</f>
        <v/>
      </c>
      <c r="N12" s="39" t="n">
        <v>5</v>
      </c>
      <c r="O12" s="40">
        <f t="array" ref="O12">IFERROR(INDEX('DONNÉES BRUTES'!A$3:A$42,MATCH(_xlfn.AGGREGATE(14,6,'DONNÉES BRUTES'!Z$3:Z$42*1000+(40-ROW('DONNÉES BRUTES'!Z$3:Z$42)+ROW('DONNÉES BRUTES'!Z$3)),5),'DONNÉES BRUTES'!Z$3:Z$42*1000+(40-ROW('DONNÉES BRUTES'!Z$3:Z$42)+ROW('DONNÉES BRUTES'!Z$3)),0)),"—")</f>
        <v/>
      </c>
      <c r="P12" s="41">
        <f t="array" ref="P12">IFERROR(LEFT(INDEX('DONNÉES BRUTES'!B$3:B$42,MATCH(_xlfn.AGGREGATE(14,6,'DONNÉES BRUTES'!Z$3:Z$42*1000+(40-ROW('DONNÉES BRUTES'!Z$3:Z$42)+ROW('DONNÉES BRUTES'!Z$3)),5),'DONNÉES BRUTES'!Z$3:Z$42*1000+(40-ROW('DONNÉES BRUTES'!Z$3:Z$42)+ROW('DONNÉES BRUTES'!Z$3)),0)),18),"—")</f>
        <v/>
      </c>
      <c r="Q12" s="67">
        <f t="array" ref="Q12">IFERROR(INT(_xlfn.AGGREGATE(14,6,'DONNÉES BRUTES'!Z$3:Z$42*1000+(40-ROW('DONNÉES BRUTES'!Z$3:Z$42)+ROW('DONNÉES BRUTES'!Z$3)),5)/1000)&amp;"/100","—")</f>
        <v/>
      </c>
      <c r="R12" s="42">
        <f t="array" ref="R12">IFERROR(INDEX('DONNÉES BRUTES'!U$3:U$42,MATCH(_xlfn.AGGREGATE(14,6,'DONNÉES BRUTES'!Z$3:Z$42*1000+(40-ROW('DONNÉES BRUTES'!Z$3:Z$42)+ROW('DONNÉES BRUTES'!Z$3)),5),'DONNÉES BRUTES'!Z$3:Z$42*1000+(40-ROW('DONNÉES BRUTES'!Z$3:Z$42)+ROW('DONNÉES BRUTES'!Z$3)),0)),"—")</f>
        <v/>
      </c>
      <c r="T12" s="39" t="n">
        <v>5</v>
      </c>
      <c r="U12" s="40">
        <f t="array" ref="U12">IFERROR(INDEX('DONNÉES BRUTES'!A$3:A$42,MATCH(_xlfn.AGGREGATE(14,6,'DONNÉES BRUTES'!AA$3:AA$42*1000+(40-ROW('DONNÉES BRUTES'!AA$3:AA$42)+ROW('DONNÉES BRUTES'!AA$3)),5),'DONNÉES BRUTES'!AA$3:AA$42*1000+(40-ROW('DONNÉES BRUTES'!AA$3:AA$42)+ROW('DONNÉES BRUTES'!AA$3)),0)),"—")</f>
        <v/>
      </c>
      <c r="V12" s="41">
        <f t="array" ref="V12">IFERROR(LEFT(INDEX('DONNÉES BRUTES'!B$3:B$42,MATCH(_xlfn.AGGREGATE(14,6,'DONNÉES BRUTES'!AA$3:AA$42*1000+(40-ROW('DONNÉES BRUTES'!AA$3:AA$42)+ROW('DONNÉES BRUTES'!AA$3)),5),'DONNÉES BRUTES'!AA$3:AA$42*1000+(40-ROW('DONNÉES BRUTES'!AA$3:AA$42)+ROW('DONNÉES BRUTES'!AA$3)),0)),18),"—")</f>
        <v/>
      </c>
      <c r="W12" s="69">
        <f t="array" ref="W12">IFERROR(INT(_xlfn.AGGREGATE(14,6,'DONNÉES BRUTES'!AA$3:AA$42*1000+(40-ROW('DONNÉES BRUTES'!AA$3:AA$42)+ROW('DONNÉES BRUTES'!AA$3)),5)/1000)&amp;"/100","—")</f>
        <v/>
      </c>
      <c r="X12" s="42">
        <f t="array" ref="X12">IFERROR(INDEX('DONNÉES BRUTES'!P$3:P$42,MATCH(_xlfn.AGGREGATE(14,6,'DONNÉES BRUTES'!AA$3:AA$42*1000+(40-ROW('DONNÉES BRUTES'!AA$3:AA$42)+ROW('DONNÉES BRUTES'!AA$3)),5),'DONNÉES BRUTES'!AA$3:AA$42*1000+(40-ROW('DONNÉES BRUTES'!AA$3:AA$42)+ROW('DONNÉES BRUTES'!AA$3)),0)),"—")</f>
        <v/>
      </c>
    </row>
    <row r="13" ht="8.1" customHeight="1">
      <c r="A13" s="30" t="n"/>
      <c r="B13" s="30" t="n"/>
      <c r="C13" s="30" t="n"/>
      <c r="D13" s="30" t="n"/>
      <c r="E13" s="30" t="n"/>
      <c r="F13" s="30" t="n"/>
      <c r="G13" s="30" t="n"/>
      <c r="H13" s="30" t="n"/>
      <c r="I13" s="30" t="n"/>
      <c r="J13" s="30" t="n"/>
      <c r="K13" s="30" t="n"/>
      <c r="L13" s="30" t="n"/>
      <c r="M13" s="30" t="n"/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</row>
    <row r="14" ht="20.1" customHeight="1">
      <c r="A14" s="59" t="n"/>
      <c r="B14" s="59" t="inlineStr">
        <is>
          <t>TOP 10  GLOBAL  ·  Score Composite  ·  Value / Growth / Quality / Momentum</t>
        </is>
      </c>
      <c r="C14" s="59" t="n"/>
      <c r="D14" s="59" t="n"/>
      <c r="E14" s="59" t="n"/>
      <c r="F14" s="59" t="n"/>
      <c r="G14" s="59" t="n"/>
      <c r="H14" s="59" t="n"/>
      <c r="I14" s="59" t="n"/>
      <c r="J14" s="59" t="n"/>
      <c r="K14" s="59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  <c r="U14" s="59" t="n"/>
      <c r="V14" s="59" t="n"/>
      <c r="W14" s="59" t="n"/>
      <c r="X14" s="59" t="n"/>
    </row>
    <row r="15" ht="18" customHeight="1" thickBot="1">
      <c r="A15" s="71" t="n"/>
      <c r="B15" s="72" t="inlineStr">
        <is>
          <t>#</t>
        </is>
      </c>
      <c r="C15" s="73" t="inlineStr">
        <is>
          <t>Ticker</t>
        </is>
      </c>
      <c r="D15" s="74" t="inlineStr">
        <is>
          <t>Société</t>
        </is>
      </c>
      <c r="E15" s="74" t="inlineStr">
        <is>
          <t>Secteur</t>
        </is>
      </c>
      <c r="F15" s="73" t="inlineStr">
        <is>
          <t>Score</t>
        </is>
      </c>
      <c r="G15" s="75" t="n"/>
      <c r="H15" s="73" t="inlineStr">
        <is>
          <t>Growth</t>
        </is>
      </c>
      <c r="I15" s="73" t="inlineStr">
        <is>
          <t>Quality</t>
        </is>
      </c>
      <c r="J15" s="73" t="inlineStr">
        <is>
          <t>Momentum</t>
        </is>
      </c>
      <c r="K15" s="73" t="inlineStr">
        <is>
          <t>Mg.EBITDA</t>
        </is>
      </c>
      <c r="L15" s="73" t="inlineStr">
        <is>
          <t>Croiss.</t>
        </is>
      </c>
      <c r="M15" s="75" t="n"/>
      <c r="N15" s="73" t="inlineStr">
        <is>
          <t>Next Earn.</t>
        </is>
      </c>
      <c r="O15" s="75" t="n"/>
      <c r="P15" s="75" t="n"/>
      <c r="Q15" s="75" t="n"/>
      <c r="R15" s="76" t="inlineStr">
        <is>
          <t>Signal</t>
        </is>
      </c>
      <c r="S15" s="71" t="n"/>
      <c r="T15" s="71" t="n"/>
      <c r="U15" s="71" t="n"/>
      <c r="V15" s="71" t="n"/>
      <c r="W15" s="71" t="n"/>
      <c r="X15" s="71" t="n"/>
    </row>
    <row r="16" ht="15.95" customHeight="1" thickBot="1">
      <c r="A16" s="32" t="n"/>
      <c r="B16" s="77" t="n">
        <v>1</v>
      </c>
      <c r="C16" s="78">
        <f t="array" ref="C16">IFERROR(INDEX('DONNÉES BRUTES'!A$3:A$42,MATCH(_xlfn.AGGREGATE(14,6,'DONNÉES BRUTES'!AB$3:AB$42*1000+(40-ROW('DONNÉES BRUTES'!AB$3:AB$42)+ROW('DONNÉES BRUTES'!AB$3)),1),'DONNÉES BRUTES'!AB$3:AB$42*1000+(40-ROW('DONNÉES BRUTES'!AB$3:AB$42)+ROW('DONNÉES BRUTES'!AB$3)),0)),"—")</f>
        <v/>
      </c>
      <c r="D16" s="79">
        <f t="array" ref="D16">IFERROR(LEFT(IFERROR(INDEX('DONNÉES BRUTES'!B$3:B$42,MATCH(_xlfn.AGGREGATE(14,6,'DONNÉES BRUTES'!AB$3:AB$42*1000+(40-ROW('DONNÉES BRUTES'!AB$3:AB$42)+ROW('DONNÉES BRUTES'!AB$3)),1),'DONNÉES BRUTES'!AB$3:AB$42*1000+(40-ROW('DONNÉES BRUTES'!AB$3:AB$42)+ROW('DONNÉES BRUTES'!AB$3)),0)),"—"),18),"—")</f>
        <v/>
      </c>
      <c r="E16" s="79">
        <f t="array" ref="E16">IFERROR(INDEX('DONNÉES BRUTES'!C$3:C$42,MATCH(_xlfn.AGGREGATE(14,6,'DONNÉES BRUTES'!AB$3:AB$42*1000+(40-ROW('DONNÉES BRUTES'!AB$3:AB$42)+ROW('DONNÉES BRUTES'!AB$3)),1),'DONNÉES BRUTES'!AB$3:AB$42*1000+(40-ROW('DONNÉES BRUTES'!AB$3:AB$42)+ROW('DONNÉES BRUTES'!AB$3)),0)),"—")</f>
        <v/>
      </c>
      <c r="F16" s="80">
        <f t="array" ref="F16">IFERROR(INT(_xlfn.AGGREGATE(14,6,'DONNÉES BRUTES'!AB$3:AB$42*1000+(40-ROW('DONNÉES BRUTES'!AB$3:AB$42)+ROW('DONNÉES BRUTES'!AB$3)),1)/1000)&amp;"/100","—")</f>
        <v/>
      </c>
      <c r="G16" s="78" t="n"/>
      <c r="H16" s="78">
        <f t="array" ref="H16">IFERROR(INDEX('DONNÉES BRUTES'!Y$3:Y$42,MATCH(_xlfn.AGGREGATE(14,6,'DONNÉES BRUTES'!AB$3:AB$42*1000+(40-ROW('DONNÉES BRUTES'!AB$3:AB$42)+ROW('DONNÉES BRUTES'!AB$3)),1),'DONNÉES BRUTES'!AB$3:AB$42*1000+(40-ROW('DONNÉES BRUTES'!AB$3:AB$42)+ROW('DONNÉES BRUTES'!AB$3)),0)),"—")</f>
        <v/>
      </c>
      <c r="I16" s="78">
        <f t="array" ref="I16">IFERROR(INDEX('DONNÉES BRUTES'!Z$3:Z$42,MATCH(_xlfn.AGGREGATE(14,6,'DONNÉES BRUTES'!AB$3:AB$42*1000+(40-ROW('DONNÉES BRUTES'!AB$3:AB$42)+ROW('DONNÉES BRUTES'!AB$3)),1),'DONNÉES BRUTES'!AB$3:AB$42*1000+(40-ROW('DONNÉES BRUTES'!AB$3:AB$42)+ROW('DONNÉES BRUTES'!AB$3)),0)),"—")</f>
        <v/>
      </c>
      <c r="J16" s="78">
        <f t="array" ref="J16">IFERROR(INDEX('DONNÉES BRUTES'!AA$3:AA$42,MATCH(_xlfn.AGGREGATE(14,6,'DONNÉES BRUTES'!AB$3:AB$42*1000+(40-ROW('DONNÉES BRUTES'!AB$3:AB$42)+ROW('DONNÉES BRUTES'!AB$3)),1),'DONNÉES BRUTES'!AB$3:AB$42*1000+(40-ROW('DONNÉES BRUTES'!AB$3:AB$42)+ROW('DONNÉES BRUTES'!AB$3)),0)),"—")</f>
        <v/>
      </c>
      <c r="K16" s="81">
        <f t="array" ref="K16">IFERROR(INDEX('DONNÉES BRUTES'!N$3:N$42,MATCH(_xlfn.AGGREGATE(14,6,'DONNÉES BRUTES'!AB$3:AB$42*1000+(40-ROW('DONNÉES BRUTES'!AB$3:AB$42)+ROW('DONNÉES BRUTES'!AB$3)),1),'DONNÉES BRUTES'!AB$3:AB$42*1000+(40-ROW('DONNÉES BRUTES'!AB$3:AB$42)+ROW('DONNÉES BRUTES'!AB$3)),0)),"—")</f>
        <v/>
      </c>
      <c r="L16" s="82">
        <f t="array" ref="L16">IFERROR(INDEX('DONNÉES BRUTES'!P$3:P$42,MATCH(_xlfn.AGGREGATE(14,6,'DONNÉES BRUTES'!AB$3:AB$42*1000+(40-ROW('DONNÉES BRUTES'!AB$3:AB$42)+ROW('DONNÉES BRUTES'!AB$3)),1),'DONNÉES BRUTES'!AB$3:AB$42*1000+(40-ROW('DONNÉES BRUTES'!AB$3:AB$42)+ROW('DONNÉES BRUTES'!AB$3)),0)),"—")</f>
        <v/>
      </c>
      <c r="M16" s="78" t="n"/>
      <c r="N16" s="78">
        <f t="array" ref="N16">IFERROR(INDEX('DONNÉES BRUTES'!AC$3:AC$42,MATCH(_xlfn.AGGREGATE(14,6,'DONNÉES BRUTES'!AB$3:AB$42*1000+(40-ROW('DONNÉES BRUTES'!AB$3:AB$42)+ROW('DONNÉES BRUTES'!AB$3)),1),'DONNÉES BRUTES'!AB$3:AB$42*1000+(40-ROW('DONNÉES BRUTES'!AB$3:AB$42)+ROW('DONNÉES BRUTES'!AB$3)),0)),"—")</f>
        <v/>
      </c>
      <c r="O16" s="78" t="n"/>
      <c r="P16" s="78" t="n"/>
      <c r="Q16" s="78" t="n"/>
      <c r="R16" s="83">
        <f t="array" ref="R16">IFERROR(INDEX('DONNÉES BRUTES'!AD$3:AD$42,MATCH(_xlfn.AGGREGATE(14,6,'DONNÉES BRUTES'!AB$3:AB$42*1000+(40-ROW('DONNÉES BRUTES'!AB$3:AB$42)+ROW('DONNÉES BRUTES'!AB$3)),1),'DONNÉES BRUTES'!AB$3:AB$42*1000+(40-ROW('DONNÉES BRUTES'!AB$3:AB$42)+ROW('DONNÉES BRUTES'!AB$3)),0)),"—")</f>
        <v/>
      </c>
      <c r="S16" s="32" t="n"/>
      <c r="T16" s="32" t="n"/>
      <c r="U16" s="32" t="n"/>
      <c r="V16" s="32" t="n"/>
      <c r="W16" s="32" t="n"/>
      <c r="X16" s="32" t="n"/>
    </row>
    <row r="17" ht="15.95" customHeight="1" thickBot="1">
      <c r="A17" s="33" t="n"/>
      <c r="B17" s="84" t="n">
        <v>2</v>
      </c>
      <c r="C17" s="85">
        <f t="array" ref="C17">IFERROR(INDEX('DONNÉES BRUTES'!A$3:A$42,MATCH(_xlfn.AGGREGATE(14,6,'DONNÉES BRUTES'!AB$3:AB$42*1000+(40-ROW('DONNÉES BRUTES'!AB$3:AB$42)+ROW('DONNÉES BRUTES'!AB$3)),2),'DONNÉES BRUTES'!AB$3:AB$42*1000+(40-ROW('DONNÉES BRUTES'!AB$3:AB$42)+ROW('DONNÉES BRUTES'!AB$3)),0)),"—")</f>
        <v/>
      </c>
      <c r="D17" s="86">
        <f t="array" ref="D17">IFERROR(LEFT(IFERROR(INDEX('DONNÉES BRUTES'!B$3:B$42,MATCH(_xlfn.AGGREGATE(14,6,'DONNÉES BRUTES'!AB$3:AB$42*1000+(40-ROW('DONNÉES BRUTES'!AB$3:AB$42)+ROW('DONNÉES BRUTES'!AB$3)),2),'DONNÉES BRUTES'!AB$3:AB$42*1000+(40-ROW('DONNÉES BRUTES'!AB$3:AB$42)+ROW('DONNÉES BRUTES'!AB$3)),0)),"—"),18),"—")</f>
        <v/>
      </c>
      <c r="E17" s="86">
        <f t="array" ref="E17">IFERROR(INDEX('DONNÉES BRUTES'!C$3:C$42,MATCH(_xlfn.AGGREGATE(14,6,'DONNÉES BRUTES'!AB$3:AB$42*1000+(40-ROW('DONNÉES BRUTES'!AB$3:AB$42)+ROW('DONNÉES BRUTES'!AB$3)),2),'DONNÉES BRUTES'!AB$3:AB$42*1000+(40-ROW('DONNÉES BRUTES'!AB$3:AB$42)+ROW('DONNÉES BRUTES'!AB$3)),0)),"—")</f>
        <v/>
      </c>
      <c r="F17" s="87">
        <f t="array" ref="F17">IFERROR(INT(_xlfn.AGGREGATE(14,6,'DONNÉES BRUTES'!AB$3:AB$42*1000+(40-ROW('DONNÉES BRUTES'!AB$3:AB$42)+ROW('DONNÉES BRUTES'!AB$3)),2)/1000)&amp;"/100","—")</f>
        <v/>
      </c>
      <c r="G17" s="85" t="n"/>
      <c r="H17" s="85">
        <f t="array" ref="H17">IFERROR(INDEX('DONNÉES BRUTES'!Y$3:Y$42,MATCH(_xlfn.AGGREGATE(14,6,'DONNÉES BRUTES'!AB$3:AB$42*1000+(40-ROW('DONNÉES BRUTES'!AB$3:AB$42)+ROW('DONNÉES BRUTES'!AB$3)),2),'DONNÉES BRUTES'!AB$3:AB$42*1000+(40-ROW('DONNÉES BRUTES'!AB$3:AB$42)+ROW('DONNÉES BRUTES'!AB$3)),0)),"—")</f>
        <v/>
      </c>
      <c r="I17" s="85">
        <f t="array" ref="I17">IFERROR(INDEX('DONNÉES BRUTES'!Z$3:Z$42,MATCH(_xlfn.AGGREGATE(14,6,'DONNÉES BRUTES'!AB$3:AB$42*1000+(40-ROW('DONNÉES BRUTES'!AB$3:AB$42)+ROW('DONNÉES BRUTES'!AB$3)),2),'DONNÉES BRUTES'!AB$3:AB$42*1000+(40-ROW('DONNÉES BRUTES'!AB$3:AB$42)+ROW('DONNÉES BRUTES'!AB$3)),0)),"—")</f>
        <v/>
      </c>
      <c r="J17" s="85">
        <f t="array" ref="J17">IFERROR(INDEX('DONNÉES BRUTES'!AA$3:AA$42,MATCH(_xlfn.AGGREGATE(14,6,'DONNÉES BRUTES'!AB$3:AB$42*1000+(40-ROW('DONNÉES BRUTES'!AB$3:AB$42)+ROW('DONNÉES BRUTES'!AB$3)),2),'DONNÉES BRUTES'!AB$3:AB$42*1000+(40-ROW('DONNÉES BRUTES'!AB$3:AB$42)+ROW('DONNÉES BRUTES'!AB$3)),0)),"—")</f>
        <v/>
      </c>
      <c r="K17" s="88">
        <f t="array" ref="K17">IFERROR(INDEX('DONNÉES BRUTES'!N$3:N$42,MATCH(_xlfn.AGGREGATE(14,6,'DONNÉES BRUTES'!AB$3:AB$42*1000+(40-ROW('DONNÉES BRUTES'!AB$3:AB$42)+ROW('DONNÉES BRUTES'!AB$3)),2),'DONNÉES BRUTES'!AB$3:AB$42*1000+(40-ROW('DONNÉES BRUTES'!AB$3:AB$42)+ROW('DONNÉES BRUTES'!AB$3)),0)),"—")</f>
        <v/>
      </c>
      <c r="L17" s="89">
        <f t="array" ref="L17">IFERROR(INDEX('DONNÉES BRUTES'!P$3:P$42,MATCH(_xlfn.AGGREGATE(14,6,'DONNÉES BRUTES'!AB$3:AB$42*1000+(40-ROW('DONNÉES BRUTES'!AB$3:AB$42)+ROW('DONNÉES BRUTES'!AB$3)),2),'DONNÉES BRUTES'!AB$3:AB$42*1000+(40-ROW('DONNÉES BRUTES'!AB$3:AB$42)+ROW('DONNÉES BRUTES'!AB$3)),0)),"—")</f>
        <v/>
      </c>
      <c r="M17" s="85" t="n"/>
      <c r="N17" s="85">
        <f t="array" ref="N17">IFERROR(INDEX('DONNÉES BRUTES'!AC$3:AC$42,MATCH(_xlfn.AGGREGATE(14,6,'DONNÉES BRUTES'!AB$3:AB$42*1000+(40-ROW('DONNÉES BRUTES'!AB$3:AB$42)+ROW('DONNÉES BRUTES'!AB$3)),2),'DONNÉES BRUTES'!AB$3:AB$42*1000+(40-ROW('DONNÉES BRUTES'!AB$3:AB$42)+ROW('DONNÉES BRUTES'!AB$3)),0)),"—")</f>
        <v/>
      </c>
      <c r="O17" s="85" t="n"/>
      <c r="P17" s="85" t="n"/>
      <c r="Q17" s="85" t="n"/>
      <c r="R17" s="90">
        <f t="array" ref="R17">IFERROR(INDEX('DONNÉES BRUTES'!AD$3:AD$42,MATCH(_xlfn.AGGREGATE(14,6,'DONNÉES BRUTES'!AB$3:AB$42*1000+(40-ROW('DONNÉES BRUTES'!AB$3:AB$42)+ROW('DONNÉES BRUTES'!AB$3)),2),'DONNÉES BRUTES'!AB$3:AB$42*1000+(40-ROW('DONNÉES BRUTES'!AB$3:AB$42)+ROW('DONNÉES BRUTES'!AB$3)),0)),"—")</f>
        <v/>
      </c>
      <c r="S17" s="33" t="n"/>
      <c r="T17" s="33" t="n"/>
      <c r="U17" s="33" t="n"/>
      <c r="V17" s="33" t="n"/>
      <c r="W17" s="33" t="n"/>
      <c r="X17" s="33" t="n"/>
    </row>
    <row r="18" ht="15.95" customHeight="1" thickBot="1">
      <c r="A18" s="32" t="n"/>
      <c r="B18" s="77" t="n">
        <v>3</v>
      </c>
      <c r="C18" s="78">
        <f t="array" ref="C18">IFERROR(INDEX('DONNÉES BRUTES'!A$3:A$42,MATCH(_xlfn.AGGREGATE(14,6,'DONNÉES BRUTES'!AB$3:AB$42*1000+(40-ROW('DONNÉES BRUTES'!AB$3:AB$42)+ROW('DONNÉES BRUTES'!AB$3)),3),'DONNÉES BRUTES'!AB$3:AB$42*1000+(40-ROW('DONNÉES BRUTES'!AB$3:AB$42)+ROW('DONNÉES BRUTES'!AB$3)),0)),"—")</f>
        <v/>
      </c>
      <c r="D18" s="79">
        <f t="array" ref="D18">IFERROR(LEFT(IFERROR(INDEX('DONNÉES BRUTES'!B$3:B$42,MATCH(_xlfn.AGGREGATE(14,6,'DONNÉES BRUTES'!AB$3:AB$42*1000+(40-ROW('DONNÉES BRUTES'!AB$3:AB$42)+ROW('DONNÉES BRUTES'!AB$3)),3),'DONNÉES BRUTES'!AB$3:AB$42*1000+(40-ROW('DONNÉES BRUTES'!AB$3:AB$42)+ROW('DONNÉES BRUTES'!AB$3)),0)),"—"),18),"—")</f>
        <v/>
      </c>
      <c r="E18" s="79">
        <f t="array" ref="E18">IFERROR(INDEX('DONNÉES BRUTES'!C$3:C$42,MATCH(_xlfn.AGGREGATE(14,6,'DONNÉES BRUTES'!AB$3:AB$42*1000+(40-ROW('DONNÉES BRUTES'!AB$3:AB$42)+ROW('DONNÉES BRUTES'!AB$3)),3),'DONNÉES BRUTES'!AB$3:AB$42*1000+(40-ROW('DONNÉES BRUTES'!AB$3:AB$42)+ROW('DONNÉES BRUTES'!AB$3)),0)),"—")</f>
        <v/>
      </c>
      <c r="F18" s="80">
        <f t="array" ref="F18">IFERROR(INT(_xlfn.AGGREGATE(14,6,'DONNÉES BRUTES'!AB$3:AB$42*1000+(40-ROW('DONNÉES BRUTES'!AB$3:AB$42)+ROW('DONNÉES BRUTES'!AB$3)),3)/1000)&amp;"/100","—")</f>
        <v/>
      </c>
      <c r="G18" s="78" t="n"/>
      <c r="H18" s="78">
        <f t="array" ref="H18">IFERROR(INDEX('DONNÉES BRUTES'!Y$3:Y$42,MATCH(_xlfn.AGGREGATE(14,6,'DONNÉES BRUTES'!AB$3:AB$42*1000+(40-ROW('DONNÉES BRUTES'!AB$3:AB$42)+ROW('DONNÉES BRUTES'!AB$3)),3),'DONNÉES BRUTES'!AB$3:AB$42*1000+(40-ROW('DONNÉES BRUTES'!AB$3:AB$42)+ROW('DONNÉES BRUTES'!AB$3)),0)),"—")</f>
        <v/>
      </c>
      <c r="I18" s="78">
        <f t="array" ref="I18">IFERROR(INDEX('DONNÉES BRUTES'!Z$3:Z$42,MATCH(_xlfn.AGGREGATE(14,6,'DONNÉES BRUTES'!AB$3:AB$42*1000+(40-ROW('DONNÉES BRUTES'!AB$3:AB$42)+ROW('DONNÉES BRUTES'!AB$3)),3),'DONNÉES BRUTES'!AB$3:AB$42*1000+(40-ROW('DONNÉES BRUTES'!AB$3:AB$42)+ROW('DONNÉES BRUTES'!AB$3)),0)),"—")</f>
        <v/>
      </c>
      <c r="J18" s="78">
        <f t="array" ref="J18">IFERROR(INDEX('DONNÉES BRUTES'!AA$3:AA$42,MATCH(_xlfn.AGGREGATE(14,6,'DONNÉES BRUTES'!AB$3:AB$42*1000+(40-ROW('DONNÉES BRUTES'!AB$3:AB$42)+ROW('DONNÉES BRUTES'!AB$3)),3),'DONNÉES BRUTES'!AB$3:AB$42*1000+(40-ROW('DONNÉES BRUTES'!AB$3:AB$42)+ROW('DONNÉES BRUTES'!AB$3)),0)),"—")</f>
        <v/>
      </c>
      <c r="K18" s="81">
        <f t="array" ref="K18">IFERROR(INDEX('DONNÉES BRUTES'!N$3:N$42,MATCH(_xlfn.AGGREGATE(14,6,'DONNÉES BRUTES'!AB$3:AB$42*1000+(40-ROW('DONNÉES BRUTES'!AB$3:AB$42)+ROW('DONNÉES BRUTES'!AB$3)),3),'DONNÉES BRUTES'!AB$3:AB$42*1000+(40-ROW('DONNÉES BRUTES'!AB$3:AB$42)+ROW('DONNÉES BRUTES'!AB$3)),0)),"—")</f>
        <v/>
      </c>
      <c r="L18" s="82">
        <f t="array" ref="L18">IFERROR(INDEX('DONNÉES BRUTES'!P$3:P$42,MATCH(_xlfn.AGGREGATE(14,6,'DONNÉES BRUTES'!AB$3:AB$42*1000+(40-ROW('DONNÉES BRUTES'!AB$3:AB$42)+ROW('DONNÉES BRUTES'!AB$3)),3),'DONNÉES BRUTES'!AB$3:AB$42*1000+(40-ROW('DONNÉES BRUTES'!AB$3:AB$42)+ROW('DONNÉES BRUTES'!AB$3)),0)),"—")</f>
        <v/>
      </c>
      <c r="M18" s="78" t="n"/>
      <c r="N18" s="91">
        <f t="array" ref="N18">IFERROR(INDEX('DONNÉES BRUTES'!AC$3:AC$42,MATCH(_xlfn.AGGREGATE(14,6,'DONNÉES BRUTES'!AB$3:AB$42*1000+(40-ROW('DONNÉES BRUTES'!AB$3:AB$42)+ROW('DONNÉES BRUTES'!AB$3)),3),'DONNÉES BRUTES'!AB$3:AB$42*1000+(40-ROW('DONNÉES BRUTES'!AB$3:AB$42)+ROW('DONNÉES BRUTES'!AB$3)),0)),"—")</f>
        <v/>
      </c>
      <c r="O18" s="78" t="n"/>
      <c r="P18" s="78" t="n"/>
      <c r="Q18" s="78" t="n"/>
      <c r="R18" s="92">
        <f t="array" ref="R18">IFERROR(INDEX('DONNÉES BRUTES'!AD$3:AD$42,MATCH(_xlfn.AGGREGATE(14,6,'DONNÉES BRUTES'!AB$3:AB$42*1000+(40-ROW('DONNÉES BRUTES'!AB$3:AB$42)+ROW('DONNÉES BRUTES'!AB$3)),3),'DONNÉES BRUTES'!AB$3:AB$42*1000+(40-ROW('DONNÉES BRUTES'!AB$3:AB$42)+ROW('DONNÉES BRUTES'!AB$3)),0)),"—")</f>
        <v/>
      </c>
      <c r="S18" s="32" t="n"/>
      <c r="T18" s="32" t="n"/>
      <c r="U18" s="32" t="n"/>
      <c r="V18" s="32" t="n"/>
      <c r="W18" s="32" t="n"/>
      <c r="X18" s="32" t="n"/>
    </row>
    <row r="19" ht="15.95" customHeight="1" thickBot="1">
      <c r="A19" s="33" t="n"/>
      <c r="B19" s="84" t="n">
        <v>4</v>
      </c>
      <c r="C19" s="85">
        <f t="array" ref="C19">IFERROR(INDEX('DONNÉES BRUTES'!A$3:A$42,MATCH(_xlfn.AGGREGATE(14,6,'DONNÉES BRUTES'!AB$3:AB$42*1000+(40-ROW('DONNÉES BRUTES'!AB$3:AB$42)+ROW('DONNÉES BRUTES'!AB$3)),4),'DONNÉES BRUTES'!AB$3:AB$42*1000+(40-ROW('DONNÉES BRUTES'!AB$3:AB$42)+ROW('DONNÉES BRUTES'!AB$3)),0)),"—")</f>
        <v/>
      </c>
      <c r="D19" s="86">
        <f t="array" ref="D19">IFERROR(LEFT(IFERROR(INDEX('DONNÉES BRUTES'!B$3:B$42,MATCH(_xlfn.AGGREGATE(14,6,'DONNÉES BRUTES'!AB$3:AB$42*1000+(40-ROW('DONNÉES BRUTES'!AB$3:AB$42)+ROW('DONNÉES BRUTES'!AB$3)),4),'DONNÉES BRUTES'!AB$3:AB$42*1000+(40-ROW('DONNÉES BRUTES'!AB$3:AB$42)+ROW('DONNÉES BRUTES'!AB$3)),0)),"—"),18),"—")</f>
        <v/>
      </c>
      <c r="E19" s="86">
        <f t="array" ref="E19">IFERROR(INDEX('DONNÉES BRUTES'!C$3:C$42,MATCH(_xlfn.AGGREGATE(14,6,'DONNÉES BRUTES'!AB$3:AB$42*1000+(40-ROW('DONNÉES BRUTES'!AB$3:AB$42)+ROW('DONNÉES BRUTES'!AB$3)),4),'DONNÉES BRUTES'!AB$3:AB$42*1000+(40-ROW('DONNÉES BRUTES'!AB$3:AB$42)+ROW('DONNÉES BRUTES'!AB$3)),0)),"—")</f>
        <v/>
      </c>
      <c r="F19" s="87">
        <f t="array" ref="F19">IFERROR(INT(_xlfn.AGGREGATE(14,6,'DONNÉES BRUTES'!AB$3:AB$42*1000+(40-ROW('DONNÉES BRUTES'!AB$3:AB$42)+ROW('DONNÉES BRUTES'!AB$3)),4)/1000)&amp;"/100","—")</f>
        <v/>
      </c>
      <c r="G19" s="85" t="n"/>
      <c r="H19" s="85">
        <f t="array" ref="H19">IFERROR(INDEX('DONNÉES BRUTES'!Y$3:Y$42,MATCH(_xlfn.AGGREGATE(14,6,'DONNÉES BRUTES'!AB$3:AB$42*1000+(40-ROW('DONNÉES BRUTES'!AB$3:AB$42)+ROW('DONNÉES BRUTES'!AB$3)),4),'DONNÉES BRUTES'!AB$3:AB$42*1000+(40-ROW('DONNÉES BRUTES'!AB$3:AB$42)+ROW('DONNÉES BRUTES'!AB$3)),0)),"—")</f>
        <v/>
      </c>
      <c r="I19" s="85">
        <f t="array" ref="I19">IFERROR(INDEX('DONNÉES BRUTES'!Z$3:Z$42,MATCH(_xlfn.AGGREGATE(14,6,'DONNÉES BRUTES'!AB$3:AB$42*1000+(40-ROW('DONNÉES BRUTES'!AB$3:AB$42)+ROW('DONNÉES BRUTES'!AB$3)),4),'DONNÉES BRUTES'!AB$3:AB$42*1000+(40-ROW('DONNÉES BRUTES'!AB$3:AB$42)+ROW('DONNÉES BRUTES'!AB$3)),0)),"—")</f>
        <v/>
      </c>
      <c r="J19" s="85">
        <f t="array" ref="J19">IFERROR(INDEX('DONNÉES BRUTES'!AA$3:AA$42,MATCH(_xlfn.AGGREGATE(14,6,'DONNÉES BRUTES'!AB$3:AB$42*1000+(40-ROW('DONNÉES BRUTES'!AB$3:AB$42)+ROW('DONNÉES BRUTES'!AB$3)),4),'DONNÉES BRUTES'!AB$3:AB$42*1000+(40-ROW('DONNÉES BRUTES'!AB$3:AB$42)+ROW('DONNÉES BRUTES'!AB$3)),0)),"—")</f>
        <v/>
      </c>
      <c r="K19" s="88">
        <f t="array" ref="K19">IFERROR(INDEX('DONNÉES BRUTES'!N$3:N$42,MATCH(_xlfn.AGGREGATE(14,6,'DONNÉES BRUTES'!AB$3:AB$42*1000+(40-ROW('DONNÉES BRUTES'!AB$3:AB$42)+ROW('DONNÉES BRUTES'!AB$3)),4),'DONNÉES BRUTES'!AB$3:AB$42*1000+(40-ROW('DONNÉES BRUTES'!AB$3:AB$42)+ROW('DONNÉES BRUTES'!AB$3)),0)),"—")</f>
        <v/>
      </c>
      <c r="L19" s="93">
        <f t="array" ref="L19">IFERROR(INDEX('DONNÉES BRUTES'!P$3:P$42,MATCH(_xlfn.AGGREGATE(14,6,'DONNÉES BRUTES'!AB$3:AB$42*1000+(40-ROW('DONNÉES BRUTES'!AB$3:AB$42)+ROW('DONNÉES BRUTES'!AB$3)),4),'DONNÉES BRUTES'!AB$3:AB$42*1000+(40-ROW('DONNÉES BRUTES'!AB$3:AB$42)+ROW('DONNÉES BRUTES'!AB$3)),0)),"—")</f>
        <v/>
      </c>
      <c r="M19" s="85" t="n"/>
      <c r="N19" s="85">
        <f t="array" ref="N19">IFERROR(INDEX('DONNÉES BRUTES'!AC$3:AC$42,MATCH(_xlfn.AGGREGATE(14,6,'DONNÉES BRUTES'!AB$3:AB$42*1000+(40-ROW('DONNÉES BRUTES'!AB$3:AB$42)+ROW('DONNÉES BRUTES'!AB$3)),4),'DONNÉES BRUTES'!AB$3:AB$42*1000+(40-ROW('DONNÉES BRUTES'!AB$3:AB$42)+ROW('DONNÉES BRUTES'!AB$3)),0)),"—")</f>
        <v/>
      </c>
      <c r="O19" s="85" t="n"/>
      <c r="P19" s="85" t="n"/>
      <c r="Q19" s="85" t="n"/>
      <c r="R19" s="90">
        <f t="array" ref="R19">IFERROR(INDEX('DONNÉES BRUTES'!AD$3:AD$42,MATCH(_xlfn.AGGREGATE(14,6,'DONNÉES BRUTES'!AB$3:AB$42*1000+(40-ROW('DONNÉES BRUTES'!AB$3:AB$42)+ROW('DONNÉES BRUTES'!AB$3)),4),'DONNÉES BRUTES'!AB$3:AB$42*1000+(40-ROW('DONNÉES BRUTES'!AB$3:AB$42)+ROW('DONNÉES BRUTES'!AB$3)),0)),"—")</f>
        <v/>
      </c>
      <c r="S19" s="33" t="n"/>
      <c r="T19" s="33" t="n"/>
      <c r="U19" s="33" t="n"/>
      <c r="V19" s="33" t="n"/>
      <c r="W19" s="33" t="n"/>
      <c r="X19" s="33" t="n"/>
    </row>
    <row r="20" ht="15.95" customHeight="1" thickBot="1">
      <c r="A20" s="32" t="n"/>
      <c r="B20" s="77" t="n">
        <v>5</v>
      </c>
      <c r="C20" s="78">
        <f t="array" ref="C20">IFERROR(INDEX('DONNÉES BRUTES'!A$3:A$42,MATCH(_xlfn.AGGREGATE(14,6,'DONNÉES BRUTES'!AB$3:AB$42*1000+(40-ROW('DONNÉES BRUTES'!AB$3:AB$42)+ROW('DONNÉES BRUTES'!AB$3)),5),'DONNÉES BRUTES'!AB$3:AB$42*1000+(40-ROW('DONNÉES BRUTES'!AB$3:AB$42)+ROW('DONNÉES BRUTES'!AB$3)),0)),"—")</f>
        <v/>
      </c>
      <c r="D20" s="79">
        <f t="array" ref="D20">IFERROR(LEFT(IFERROR(INDEX('DONNÉES BRUTES'!B$3:B$42,MATCH(_xlfn.AGGREGATE(14,6,'DONNÉES BRUTES'!AB$3:AB$42*1000+(40-ROW('DONNÉES BRUTES'!AB$3:AB$42)+ROW('DONNÉES BRUTES'!AB$3)),5),'DONNÉES BRUTES'!AB$3:AB$42*1000+(40-ROW('DONNÉES BRUTES'!AB$3:AB$42)+ROW('DONNÉES BRUTES'!AB$3)),0)),"—"),18),"—")</f>
        <v/>
      </c>
      <c r="E20" s="79">
        <f t="array" ref="E20">IFERROR(INDEX('DONNÉES BRUTES'!C$3:C$42,MATCH(_xlfn.AGGREGATE(14,6,'DONNÉES BRUTES'!AB$3:AB$42*1000+(40-ROW('DONNÉES BRUTES'!AB$3:AB$42)+ROW('DONNÉES BRUTES'!AB$3)),5),'DONNÉES BRUTES'!AB$3:AB$42*1000+(40-ROW('DONNÉES BRUTES'!AB$3:AB$42)+ROW('DONNÉES BRUTES'!AB$3)),0)),"—")</f>
        <v/>
      </c>
      <c r="F20" s="80">
        <f t="array" ref="F20">IFERROR(INT(_xlfn.AGGREGATE(14,6,'DONNÉES BRUTES'!AB$3:AB$42*1000+(40-ROW('DONNÉES BRUTES'!AB$3:AB$42)+ROW('DONNÉES BRUTES'!AB$3)),5)/1000)&amp;"/100","—")</f>
        <v/>
      </c>
      <c r="G20" s="78" t="n"/>
      <c r="H20" s="78">
        <f t="array" ref="H20">IFERROR(INDEX('DONNÉES BRUTES'!Y$3:Y$42,MATCH(_xlfn.AGGREGATE(14,6,'DONNÉES BRUTES'!AB$3:AB$42*1000+(40-ROW('DONNÉES BRUTES'!AB$3:AB$42)+ROW('DONNÉES BRUTES'!AB$3)),5),'DONNÉES BRUTES'!AB$3:AB$42*1000+(40-ROW('DONNÉES BRUTES'!AB$3:AB$42)+ROW('DONNÉES BRUTES'!AB$3)),0)),"—")</f>
        <v/>
      </c>
      <c r="I20" s="78">
        <f t="array" ref="I20">IFERROR(INDEX('DONNÉES BRUTES'!Z$3:Z$42,MATCH(_xlfn.AGGREGATE(14,6,'DONNÉES BRUTES'!AB$3:AB$42*1000+(40-ROW('DONNÉES BRUTES'!AB$3:AB$42)+ROW('DONNÉES BRUTES'!AB$3)),5),'DONNÉES BRUTES'!AB$3:AB$42*1000+(40-ROW('DONNÉES BRUTES'!AB$3:AB$42)+ROW('DONNÉES BRUTES'!AB$3)),0)),"—")</f>
        <v/>
      </c>
      <c r="J20" s="78">
        <f t="array" ref="J20">IFERROR(INDEX('DONNÉES BRUTES'!AA$3:AA$42,MATCH(_xlfn.AGGREGATE(14,6,'DONNÉES BRUTES'!AB$3:AB$42*1000+(40-ROW('DONNÉES BRUTES'!AB$3:AB$42)+ROW('DONNÉES BRUTES'!AB$3)),5),'DONNÉES BRUTES'!AB$3:AB$42*1000+(40-ROW('DONNÉES BRUTES'!AB$3:AB$42)+ROW('DONNÉES BRUTES'!AB$3)),0)),"—")</f>
        <v/>
      </c>
      <c r="K20" s="81">
        <f t="array" ref="K20">IFERROR(INDEX('DONNÉES BRUTES'!N$3:N$42,MATCH(_xlfn.AGGREGATE(14,6,'DONNÉES BRUTES'!AB$3:AB$42*1000+(40-ROW('DONNÉES BRUTES'!AB$3:AB$42)+ROW('DONNÉES BRUTES'!AB$3)),5),'DONNÉES BRUTES'!AB$3:AB$42*1000+(40-ROW('DONNÉES BRUTES'!AB$3:AB$42)+ROW('DONNÉES BRUTES'!AB$3)),0)),"—")</f>
        <v/>
      </c>
      <c r="L20" s="82">
        <f t="array" ref="L20">IFERROR(INDEX('DONNÉES BRUTES'!P$3:P$42,MATCH(_xlfn.AGGREGATE(14,6,'DONNÉES BRUTES'!AB$3:AB$42*1000+(40-ROW('DONNÉES BRUTES'!AB$3:AB$42)+ROW('DONNÉES BRUTES'!AB$3)),5),'DONNÉES BRUTES'!AB$3:AB$42*1000+(40-ROW('DONNÉES BRUTES'!AB$3:AB$42)+ROW('DONNÉES BRUTES'!AB$3)),0)),"—")</f>
        <v/>
      </c>
      <c r="M20" s="78" t="n"/>
      <c r="N20" s="91">
        <f t="array" ref="N20">IFERROR(INDEX('DONNÉES BRUTES'!AC$3:AC$42,MATCH(_xlfn.AGGREGATE(14,6,'DONNÉES BRUTES'!AB$3:AB$42*1000+(40-ROW('DONNÉES BRUTES'!AB$3:AB$42)+ROW('DONNÉES BRUTES'!AB$3)),5),'DONNÉES BRUTES'!AB$3:AB$42*1000+(40-ROW('DONNÉES BRUTES'!AB$3:AB$42)+ROW('DONNÉES BRUTES'!AB$3)),0)),"—")</f>
        <v/>
      </c>
      <c r="O20" s="78" t="n"/>
      <c r="P20" s="78" t="n"/>
      <c r="Q20" s="78" t="n"/>
      <c r="R20" s="92">
        <f t="array" ref="R20">IFERROR(INDEX('DONNÉES BRUTES'!AD$3:AD$42,MATCH(_xlfn.AGGREGATE(14,6,'DONNÉES BRUTES'!AB$3:AB$42*1000+(40-ROW('DONNÉES BRUTES'!AB$3:AB$42)+ROW('DONNÉES BRUTES'!AB$3)),5),'DONNÉES BRUTES'!AB$3:AB$42*1000+(40-ROW('DONNÉES BRUTES'!AB$3:AB$42)+ROW('DONNÉES BRUTES'!AB$3)),0)),"—")</f>
        <v/>
      </c>
      <c r="S20" s="32" t="n"/>
      <c r="T20" s="32" t="n"/>
      <c r="U20" s="32" t="n"/>
      <c r="V20" s="32" t="n"/>
      <c r="W20" s="32" t="n"/>
      <c r="X20" s="32" t="n"/>
    </row>
    <row r="21" ht="15.95" customHeight="1" thickBot="1">
      <c r="A21" s="33" t="n"/>
      <c r="B21" s="84" t="n">
        <v>6</v>
      </c>
      <c r="C21" s="85">
        <f t="array" ref="C21">IFERROR(INDEX('DONNÉES BRUTES'!A$3:A$42,MATCH(_xlfn.AGGREGATE(14,6,'DONNÉES BRUTES'!AB$3:AB$42*1000+(40-ROW('DONNÉES BRUTES'!AB$3:AB$42)+ROW('DONNÉES BRUTES'!AB$3)),6),'DONNÉES BRUTES'!AB$3:AB$42*1000+(40-ROW('DONNÉES BRUTES'!AB$3:AB$42)+ROW('DONNÉES BRUTES'!AB$3)),0)),"—")</f>
        <v/>
      </c>
      <c r="D21" s="86">
        <f t="array" ref="D21">IFERROR(LEFT(IFERROR(INDEX('DONNÉES BRUTES'!B$3:B$42,MATCH(_xlfn.AGGREGATE(14,6,'DONNÉES BRUTES'!AB$3:AB$42*1000+(40-ROW('DONNÉES BRUTES'!AB$3:AB$42)+ROW('DONNÉES BRUTES'!AB$3)),6),'DONNÉES BRUTES'!AB$3:AB$42*1000+(40-ROW('DONNÉES BRUTES'!AB$3:AB$42)+ROW('DONNÉES BRUTES'!AB$3)),0)),"—"),18),"—")</f>
        <v/>
      </c>
      <c r="E21" s="86">
        <f t="array" ref="E21">IFERROR(INDEX('DONNÉES BRUTES'!C$3:C$42,MATCH(_xlfn.AGGREGATE(14,6,'DONNÉES BRUTES'!AB$3:AB$42*1000+(40-ROW('DONNÉES BRUTES'!AB$3:AB$42)+ROW('DONNÉES BRUTES'!AB$3)),6),'DONNÉES BRUTES'!AB$3:AB$42*1000+(40-ROW('DONNÉES BRUTES'!AB$3:AB$42)+ROW('DONNÉES BRUTES'!AB$3)),0)),"—")</f>
        <v/>
      </c>
      <c r="F21" s="87">
        <f t="array" ref="F21">IFERROR(INT(_xlfn.AGGREGATE(14,6,'DONNÉES BRUTES'!AB$3:AB$42*1000+(40-ROW('DONNÉES BRUTES'!AB$3:AB$42)+ROW('DONNÉES BRUTES'!AB$3)),6)/1000)&amp;"/100","—")</f>
        <v/>
      </c>
      <c r="G21" s="85" t="n"/>
      <c r="H21" s="85">
        <f t="array" ref="H21">IFERROR(INDEX('DONNÉES BRUTES'!Y$3:Y$42,MATCH(_xlfn.AGGREGATE(14,6,'DONNÉES BRUTES'!AB$3:AB$42*1000+(40-ROW('DONNÉES BRUTES'!AB$3:AB$42)+ROW('DONNÉES BRUTES'!AB$3)),6),'DONNÉES BRUTES'!AB$3:AB$42*1000+(40-ROW('DONNÉES BRUTES'!AB$3:AB$42)+ROW('DONNÉES BRUTES'!AB$3)),0)),"—")</f>
        <v/>
      </c>
      <c r="I21" s="85">
        <f t="array" ref="I21">IFERROR(INDEX('DONNÉES BRUTES'!Z$3:Z$42,MATCH(_xlfn.AGGREGATE(14,6,'DONNÉES BRUTES'!AB$3:AB$42*1000+(40-ROW('DONNÉES BRUTES'!AB$3:AB$42)+ROW('DONNÉES BRUTES'!AB$3)),6),'DONNÉES BRUTES'!AB$3:AB$42*1000+(40-ROW('DONNÉES BRUTES'!AB$3:AB$42)+ROW('DONNÉES BRUTES'!AB$3)),0)),"—")</f>
        <v/>
      </c>
      <c r="J21" s="85">
        <f t="array" ref="J21">IFERROR(INDEX('DONNÉES BRUTES'!AA$3:AA$42,MATCH(_xlfn.AGGREGATE(14,6,'DONNÉES BRUTES'!AB$3:AB$42*1000+(40-ROW('DONNÉES BRUTES'!AB$3:AB$42)+ROW('DONNÉES BRUTES'!AB$3)),6),'DONNÉES BRUTES'!AB$3:AB$42*1000+(40-ROW('DONNÉES BRUTES'!AB$3:AB$42)+ROW('DONNÉES BRUTES'!AB$3)),0)),"—")</f>
        <v/>
      </c>
      <c r="K21" s="88">
        <f t="array" ref="K21">IFERROR(INDEX('DONNÉES BRUTES'!N$3:N$42,MATCH(_xlfn.AGGREGATE(14,6,'DONNÉES BRUTES'!AB$3:AB$42*1000+(40-ROW('DONNÉES BRUTES'!AB$3:AB$42)+ROW('DONNÉES BRUTES'!AB$3)),6),'DONNÉES BRUTES'!AB$3:AB$42*1000+(40-ROW('DONNÉES BRUTES'!AB$3:AB$42)+ROW('DONNÉES BRUTES'!AB$3)),0)),"—")</f>
        <v/>
      </c>
      <c r="L21" s="93">
        <f t="array" ref="L21">IFERROR(INDEX('DONNÉES BRUTES'!P$3:P$42,MATCH(_xlfn.AGGREGATE(14,6,'DONNÉES BRUTES'!AB$3:AB$42*1000+(40-ROW('DONNÉES BRUTES'!AB$3:AB$42)+ROW('DONNÉES BRUTES'!AB$3)),6),'DONNÉES BRUTES'!AB$3:AB$42*1000+(40-ROW('DONNÉES BRUTES'!AB$3:AB$42)+ROW('DONNÉES BRUTES'!AB$3)),0)),"—")</f>
        <v/>
      </c>
      <c r="M21" s="85" t="n"/>
      <c r="N21" s="94">
        <f t="array" ref="N21">IFERROR(INDEX('DONNÉES BRUTES'!AC$3:AC$42,MATCH(_xlfn.AGGREGATE(14,6,'DONNÉES BRUTES'!AB$3:AB$42*1000+(40-ROW('DONNÉES BRUTES'!AB$3:AB$42)+ROW('DONNÉES BRUTES'!AB$3)),6),'DONNÉES BRUTES'!AB$3:AB$42*1000+(40-ROW('DONNÉES BRUTES'!AB$3:AB$42)+ROW('DONNÉES BRUTES'!AB$3)),0)),"—")</f>
        <v/>
      </c>
      <c r="O21" s="85" t="n"/>
      <c r="P21" s="85" t="n"/>
      <c r="Q21" s="85" t="n"/>
      <c r="R21" s="90">
        <f t="array" ref="R21">IFERROR(INDEX('DONNÉES BRUTES'!AD$3:AD$42,MATCH(_xlfn.AGGREGATE(14,6,'DONNÉES BRUTES'!AB$3:AB$42*1000+(40-ROW('DONNÉES BRUTES'!AB$3:AB$42)+ROW('DONNÉES BRUTES'!AB$3)),6),'DONNÉES BRUTES'!AB$3:AB$42*1000+(40-ROW('DONNÉES BRUTES'!AB$3:AB$42)+ROW('DONNÉES BRUTES'!AB$3)),0)),"—")</f>
        <v/>
      </c>
      <c r="S21" s="33" t="n"/>
      <c r="T21" s="33" t="n"/>
      <c r="U21" s="33" t="n"/>
      <c r="V21" s="33" t="n"/>
      <c r="W21" s="33" t="n"/>
      <c r="X21" s="33" t="n"/>
    </row>
    <row r="22" ht="15.95" customHeight="1" thickBot="1">
      <c r="A22" s="32" t="n"/>
      <c r="B22" s="77" t="n">
        <v>7</v>
      </c>
      <c r="C22" s="78">
        <f t="array" ref="C22">IFERROR(INDEX('DONNÉES BRUTES'!A$3:A$42,MATCH(_xlfn.AGGREGATE(14,6,'DONNÉES BRUTES'!AB$3:AB$42*1000+(40-ROW('DONNÉES BRUTES'!AB$3:AB$42)+ROW('DONNÉES BRUTES'!AB$3)),7),'DONNÉES BRUTES'!AB$3:AB$42*1000+(40-ROW('DONNÉES BRUTES'!AB$3:AB$42)+ROW('DONNÉES BRUTES'!AB$3)),0)),"—")</f>
        <v/>
      </c>
      <c r="D22" s="79">
        <f t="array" ref="D22">IFERROR(LEFT(IFERROR(INDEX('DONNÉES BRUTES'!B$3:B$42,MATCH(_xlfn.AGGREGATE(14,6,'DONNÉES BRUTES'!AB$3:AB$42*1000+(40-ROW('DONNÉES BRUTES'!AB$3:AB$42)+ROW('DONNÉES BRUTES'!AB$3)),7),'DONNÉES BRUTES'!AB$3:AB$42*1000+(40-ROW('DONNÉES BRUTES'!AB$3:AB$42)+ROW('DONNÉES BRUTES'!AB$3)),0)),"—"),18),"—")</f>
        <v/>
      </c>
      <c r="E22" s="79">
        <f t="array" ref="E22">IFERROR(INDEX('DONNÉES BRUTES'!C$3:C$42,MATCH(_xlfn.AGGREGATE(14,6,'DONNÉES BRUTES'!AB$3:AB$42*1000+(40-ROW('DONNÉES BRUTES'!AB$3:AB$42)+ROW('DONNÉES BRUTES'!AB$3)),7),'DONNÉES BRUTES'!AB$3:AB$42*1000+(40-ROW('DONNÉES BRUTES'!AB$3:AB$42)+ROW('DONNÉES BRUTES'!AB$3)),0)),"—")</f>
        <v/>
      </c>
      <c r="F22" s="80">
        <f t="array" ref="F22">IFERROR(INT(_xlfn.AGGREGATE(14,6,'DONNÉES BRUTES'!AB$3:AB$42*1000+(40-ROW('DONNÉES BRUTES'!AB$3:AB$42)+ROW('DONNÉES BRUTES'!AB$3)),7)/1000)&amp;"/100","—")</f>
        <v/>
      </c>
      <c r="G22" s="78" t="n"/>
      <c r="H22" s="78">
        <f t="array" ref="H22">IFERROR(INDEX('DONNÉES BRUTES'!Y$3:Y$42,MATCH(_xlfn.AGGREGATE(14,6,'DONNÉES BRUTES'!AB$3:AB$42*1000+(40-ROW('DONNÉES BRUTES'!AB$3:AB$42)+ROW('DONNÉES BRUTES'!AB$3)),7),'DONNÉES BRUTES'!AB$3:AB$42*1000+(40-ROW('DONNÉES BRUTES'!AB$3:AB$42)+ROW('DONNÉES BRUTES'!AB$3)),0)),"—")</f>
        <v/>
      </c>
      <c r="I22" s="78">
        <f t="array" ref="I22">IFERROR(INDEX('DONNÉES BRUTES'!Z$3:Z$42,MATCH(_xlfn.AGGREGATE(14,6,'DONNÉES BRUTES'!AB$3:AB$42*1000+(40-ROW('DONNÉES BRUTES'!AB$3:AB$42)+ROW('DONNÉES BRUTES'!AB$3)),7),'DONNÉES BRUTES'!AB$3:AB$42*1000+(40-ROW('DONNÉES BRUTES'!AB$3:AB$42)+ROW('DONNÉES BRUTES'!AB$3)),0)),"—")</f>
        <v/>
      </c>
      <c r="J22" s="78">
        <f t="array" ref="J22">IFERROR(INDEX('DONNÉES BRUTES'!AA$3:AA$42,MATCH(_xlfn.AGGREGATE(14,6,'DONNÉES BRUTES'!AB$3:AB$42*1000+(40-ROW('DONNÉES BRUTES'!AB$3:AB$42)+ROW('DONNÉES BRUTES'!AB$3)),7),'DONNÉES BRUTES'!AB$3:AB$42*1000+(40-ROW('DONNÉES BRUTES'!AB$3:AB$42)+ROW('DONNÉES BRUTES'!AB$3)),0)),"—")</f>
        <v/>
      </c>
      <c r="K22" s="81">
        <f t="array" ref="K22">IFERROR(INDEX('DONNÉES BRUTES'!N$3:N$42,MATCH(_xlfn.AGGREGATE(14,6,'DONNÉES BRUTES'!AB$3:AB$42*1000+(40-ROW('DONNÉES BRUTES'!AB$3:AB$42)+ROW('DONNÉES BRUTES'!AB$3)),7),'DONNÉES BRUTES'!AB$3:AB$42*1000+(40-ROW('DONNÉES BRUTES'!AB$3:AB$42)+ROW('DONNÉES BRUTES'!AB$3)),0)),"—")</f>
        <v/>
      </c>
      <c r="L22" s="81">
        <f t="array" ref="L22">IFERROR(INDEX('DONNÉES BRUTES'!P$3:P$42,MATCH(_xlfn.AGGREGATE(14,6,'DONNÉES BRUTES'!AB$3:AB$42*1000+(40-ROW('DONNÉES BRUTES'!AB$3:AB$42)+ROW('DONNÉES BRUTES'!AB$3)),7),'DONNÉES BRUTES'!AB$3:AB$42*1000+(40-ROW('DONNÉES BRUTES'!AB$3:AB$42)+ROW('DONNÉES BRUTES'!AB$3)),0)),"—")</f>
        <v/>
      </c>
      <c r="M22" s="78" t="n"/>
      <c r="N22" s="78">
        <f t="array" ref="N22">IFERROR(INDEX('DONNÉES BRUTES'!AC$3:AC$42,MATCH(_xlfn.AGGREGATE(14,6,'DONNÉES BRUTES'!AB$3:AB$42*1000+(40-ROW('DONNÉES BRUTES'!AB$3:AB$42)+ROW('DONNÉES BRUTES'!AB$3)),7),'DONNÉES BRUTES'!AB$3:AB$42*1000+(40-ROW('DONNÉES BRUTES'!AB$3:AB$42)+ROW('DONNÉES BRUTES'!AB$3)),0)),"—")</f>
        <v/>
      </c>
      <c r="O22" s="78" t="n"/>
      <c r="P22" s="78" t="n"/>
      <c r="Q22" s="78" t="n"/>
      <c r="R22" s="92">
        <f t="array" ref="R22">IFERROR(INDEX('DONNÉES BRUTES'!AD$3:AD$42,MATCH(_xlfn.AGGREGATE(14,6,'DONNÉES BRUTES'!AB$3:AB$42*1000+(40-ROW('DONNÉES BRUTES'!AB$3:AB$42)+ROW('DONNÉES BRUTES'!AB$3)),7),'DONNÉES BRUTES'!AB$3:AB$42*1000+(40-ROW('DONNÉES BRUTES'!AB$3:AB$42)+ROW('DONNÉES BRUTES'!AB$3)),0)),"—")</f>
        <v/>
      </c>
      <c r="S22" s="32" t="n"/>
      <c r="T22" s="32" t="n"/>
      <c r="U22" s="32" t="n"/>
      <c r="V22" s="32" t="n"/>
      <c r="W22" s="32" t="n"/>
      <c r="X22" s="32" t="n"/>
    </row>
    <row r="23" ht="15.95" customHeight="1" thickBot="1">
      <c r="A23" s="33" t="n"/>
      <c r="B23" s="84" t="n">
        <v>8</v>
      </c>
      <c r="C23" s="85">
        <f t="array" ref="C23">IFERROR(INDEX('DONNÉES BRUTES'!A$3:A$42,MATCH(_xlfn.AGGREGATE(14,6,'DONNÉES BRUTES'!AB$3:AB$42*1000+(40-ROW('DONNÉES BRUTES'!AB$3:AB$42)+ROW('DONNÉES BRUTES'!AB$3)),8),'DONNÉES BRUTES'!AB$3:AB$42*1000+(40-ROW('DONNÉES BRUTES'!AB$3:AB$42)+ROW('DONNÉES BRUTES'!AB$3)),0)),"—")</f>
        <v/>
      </c>
      <c r="D23" s="86">
        <f t="array" ref="D23">IFERROR(LEFT(IFERROR(INDEX('DONNÉES BRUTES'!B$3:B$42,MATCH(_xlfn.AGGREGATE(14,6,'DONNÉES BRUTES'!AB$3:AB$42*1000+(40-ROW('DONNÉES BRUTES'!AB$3:AB$42)+ROW('DONNÉES BRUTES'!AB$3)),8),'DONNÉES BRUTES'!AB$3:AB$42*1000+(40-ROW('DONNÉES BRUTES'!AB$3:AB$42)+ROW('DONNÉES BRUTES'!AB$3)),0)),"—"),18),"—")</f>
        <v/>
      </c>
      <c r="E23" s="86">
        <f t="array" ref="E23">IFERROR(INDEX('DONNÉES BRUTES'!C$3:C$42,MATCH(_xlfn.AGGREGATE(14,6,'DONNÉES BRUTES'!AB$3:AB$42*1000+(40-ROW('DONNÉES BRUTES'!AB$3:AB$42)+ROW('DONNÉES BRUTES'!AB$3)),8),'DONNÉES BRUTES'!AB$3:AB$42*1000+(40-ROW('DONNÉES BRUTES'!AB$3:AB$42)+ROW('DONNÉES BRUTES'!AB$3)),0)),"—")</f>
        <v/>
      </c>
      <c r="F23" s="87">
        <f t="array" ref="F23">IFERROR(INT(_xlfn.AGGREGATE(14,6,'DONNÉES BRUTES'!AB$3:AB$42*1000+(40-ROW('DONNÉES BRUTES'!AB$3:AB$42)+ROW('DONNÉES BRUTES'!AB$3)),8)/1000)&amp;"/100","—")</f>
        <v/>
      </c>
      <c r="G23" s="85" t="n"/>
      <c r="H23" s="85">
        <f t="array" ref="H23">IFERROR(INDEX('DONNÉES BRUTES'!Y$3:Y$42,MATCH(_xlfn.AGGREGATE(14,6,'DONNÉES BRUTES'!AB$3:AB$42*1000+(40-ROW('DONNÉES BRUTES'!AB$3:AB$42)+ROW('DONNÉES BRUTES'!AB$3)),8),'DONNÉES BRUTES'!AB$3:AB$42*1000+(40-ROW('DONNÉES BRUTES'!AB$3:AB$42)+ROW('DONNÉES BRUTES'!AB$3)),0)),"—")</f>
        <v/>
      </c>
      <c r="I23" s="85">
        <f t="array" ref="I23">IFERROR(INDEX('DONNÉES BRUTES'!Z$3:Z$42,MATCH(_xlfn.AGGREGATE(14,6,'DONNÉES BRUTES'!AB$3:AB$42*1000+(40-ROW('DONNÉES BRUTES'!AB$3:AB$42)+ROW('DONNÉES BRUTES'!AB$3)),8),'DONNÉES BRUTES'!AB$3:AB$42*1000+(40-ROW('DONNÉES BRUTES'!AB$3:AB$42)+ROW('DONNÉES BRUTES'!AB$3)),0)),"—")</f>
        <v/>
      </c>
      <c r="J23" s="85">
        <f t="array" ref="J23">IFERROR(INDEX('DONNÉES BRUTES'!AA$3:AA$42,MATCH(_xlfn.AGGREGATE(14,6,'DONNÉES BRUTES'!AB$3:AB$42*1000+(40-ROW('DONNÉES BRUTES'!AB$3:AB$42)+ROW('DONNÉES BRUTES'!AB$3)),8),'DONNÉES BRUTES'!AB$3:AB$42*1000+(40-ROW('DONNÉES BRUTES'!AB$3:AB$42)+ROW('DONNÉES BRUTES'!AB$3)),0)),"—")</f>
        <v/>
      </c>
      <c r="K23" s="88">
        <f t="array" ref="K23">IFERROR(INDEX('DONNÉES BRUTES'!N$3:N$42,MATCH(_xlfn.AGGREGATE(14,6,'DONNÉES BRUTES'!AB$3:AB$42*1000+(40-ROW('DONNÉES BRUTES'!AB$3:AB$42)+ROW('DONNÉES BRUTES'!AB$3)),8),'DONNÉES BRUTES'!AB$3:AB$42*1000+(40-ROW('DONNÉES BRUTES'!AB$3:AB$42)+ROW('DONNÉES BRUTES'!AB$3)),0)),"—")</f>
        <v/>
      </c>
      <c r="L23" s="93">
        <f t="array" ref="L23">IFERROR(INDEX('DONNÉES BRUTES'!P$3:P$42,MATCH(_xlfn.AGGREGATE(14,6,'DONNÉES BRUTES'!AB$3:AB$42*1000+(40-ROW('DONNÉES BRUTES'!AB$3:AB$42)+ROW('DONNÉES BRUTES'!AB$3)),8),'DONNÉES BRUTES'!AB$3:AB$42*1000+(40-ROW('DONNÉES BRUTES'!AB$3:AB$42)+ROW('DONNÉES BRUTES'!AB$3)),0)),"—")</f>
        <v/>
      </c>
      <c r="M23" s="85" t="n"/>
      <c r="N23" s="94">
        <f t="array" ref="N23">IFERROR(INDEX('DONNÉES BRUTES'!AC$3:AC$42,MATCH(_xlfn.AGGREGATE(14,6,'DONNÉES BRUTES'!AB$3:AB$42*1000+(40-ROW('DONNÉES BRUTES'!AB$3:AB$42)+ROW('DONNÉES BRUTES'!AB$3)),8),'DONNÉES BRUTES'!AB$3:AB$42*1000+(40-ROW('DONNÉES BRUTES'!AB$3:AB$42)+ROW('DONNÉES BRUTES'!AB$3)),0)),"—")</f>
        <v/>
      </c>
      <c r="O23" s="85" t="n"/>
      <c r="P23" s="85" t="n"/>
      <c r="Q23" s="85" t="n"/>
      <c r="R23" s="90">
        <f t="array" ref="R23">IFERROR(INDEX('DONNÉES BRUTES'!AD$3:AD$42,MATCH(_xlfn.AGGREGATE(14,6,'DONNÉES BRUTES'!AB$3:AB$42*1000+(40-ROW('DONNÉES BRUTES'!AB$3:AB$42)+ROW('DONNÉES BRUTES'!AB$3)),8),'DONNÉES BRUTES'!AB$3:AB$42*1000+(40-ROW('DONNÉES BRUTES'!AB$3:AB$42)+ROW('DONNÉES BRUTES'!AB$3)),0)),"—")</f>
        <v/>
      </c>
      <c r="S23" s="33" t="n"/>
      <c r="T23" s="33" t="n"/>
      <c r="U23" s="33" t="n"/>
      <c r="V23" s="33" t="n"/>
      <c r="W23" s="33" t="n"/>
      <c r="X23" s="33" t="n"/>
    </row>
    <row r="24" ht="15.95" customHeight="1" thickBot="1">
      <c r="A24" s="32" t="n"/>
      <c r="B24" s="77" t="n">
        <v>9</v>
      </c>
      <c r="C24" s="78">
        <f t="array" ref="C24">IFERROR(INDEX('DONNÉES BRUTES'!A$3:A$42,MATCH(_xlfn.AGGREGATE(14,6,'DONNÉES BRUTES'!AB$3:AB$42*1000+(40-ROW('DONNÉES BRUTES'!AB$3:AB$42)+ROW('DONNÉES BRUTES'!AB$3)),9),'DONNÉES BRUTES'!AB$3:AB$42*1000+(40-ROW('DONNÉES BRUTES'!AB$3:AB$42)+ROW('DONNÉES BRUTES'!AB$3)),0)),"—")</f>
        <v/>
      </c>
      <c r="D24" s="79">
        <f t="array" ref="D24">IFERROR(LEFT(IFERROR(INDEX('DONNÉES BRUTES'!B$3:B$42,MATCH(_xlfn.AGGREGATE(14,6,'DONNÉES BRUTES'!AB$3:AB$42*1000+(40-ROW('DONNÉES BRUTES'!AB$3:AB$42)+ROW('DONNÉES BRUTES'!AB$3)),9),'DONNÉES BRUTES'!AB$3:AB$42*1000+(40-ROW('DONNÉES BRUTES'!AB$3:AB$42)+ROW('DONNÉES BRUTES'!AB$3)),0)),"—"),18),"—")</f>
        <v/>
      </c>
      <c r="E24" s="79">
        <f t="array" ref="E24">IFERROR(INDEX('DONNÉES BRUTES'!C$3:C$42,MATCH(_xlfn.AGGREGATE(14,6,'DONNÉES BRUTES'!AB$3:AB$42*1000+(40-ROW('DONNÉES BRUTES'!AB$3:AB$42)+ROW('DONNÉES BRUTES'!AB$3)),9),'DONNÉES BRUTES'!AB$3:AB$42*1000+(40-ROW('DONNÉES BRUTES'!AB$3:AB$42)+ROW('DONNÉES BRUTES'!AB$3)),0)),"—")</f>
        <v/>
      </c>
      <c r="F24" s="80">
        <f t="array" ref="F24">IFERROR(INT(_xlfn.AGGREGATE(14,6,'DONNÉES BRUTES'!AB$3:AB$42*1000+(40-ROW('DONNÉES BRUTES'!AB$3:AB$42)+ROW('DONNÉES BRUTES'!AB$3)),9)/1000)&amp;"/100","—")</f>
        <v/>
      </c>
      <c r="G24" s="78" t="n"/>
      <c r="H24" s="78">
        <f t="array" ref="H24">IFERROR(INDEX('DONNÉES BRUTES'!Y$3:Y$42,MATCH(_xlfn.AGGREGATE(14,6,'DONNÉES BRUTES'!AB$3:AB$42*1000+(40-ROW('DONNÉES BRUTES'!AB$3:AB$42)+ROW('DONNÉES BRUTES'!AB$3)),9),'DONNÉES BRUTES'!AB$3:AB$42*1000+(40-ROW('DONNÉES BRUTES'!AB$3:AB$42)+ROW('DONNÉES BRUTES'!AB$3)),0)),"—")</f>
        <v/>
      </c>
      <c r="I24" s="78">
        <f t="array" ref="I24">IFERROR(INDEX('DONNÉES BRUTES'!Z$3:Z$42,MATCH(_xlfn.AGGREGATE(14,6,'DONNÉES BRUTES'!AB$3:AB$42*1000+(40-ROW('DONNÉES BRUTES'!AB$3:AB$42)+ROW('DONNÉES BRUTES'!AB$3)),9),'DONNÉES BRUTES'!AB$3:AB$42*1000+(40-ROW('DONNÉES BRUTES'!AB$3:AB$42)+ROW('DONNÉES BRUTES'!AB$3)),0)),"—")</f>
        <v/>
      </c>
      <c r="J24" s="78">
        <f t="array" ref="J24">IFERROR(INDEX('DONNÉES BRUTES'!AA$3:AA$42,MATCH(_xlfn.AGGREGATE(14,6,'DONNÉES BRUTES'!AB$3:AB$42*1000+(40-ROW('DONNÉES BRUTES'!AB$3:AB$42)+ROW('DONNÉES BRUTES'!AB$3)),9),'DONNÉES BRUTES'!AB$3:AB$42*1000+(40-ROW('DONNÉES BRUTES'!AB$3:AB$42)+ROW('DONNÉES BRUTES'!AB$3)),0)),"—")</f>
        <v/>
      </c>
      <c r="K24" s="81">
        <f t="array" ref="K24">IFERROR(INDEX('DONNÉES BRUTES'!N$3:N$42,MATCH(_xlfn.AGGREGATE(14,6,'DONNÉES BRUTES'!AB$3:AB$42*1000+(40-ROW('DONNÉES BRUTES'!AB$3:AB$42)+ROW('DONNÉES BRUTES'!AB$3)),9),'DONNÉES BRUTES'!AB$3:AB$42*1000+(40-ROW('DONNÉES BRUTES'!AB$3:AB$42)+ROW('DONNÉES BRUTES'!AB$3)),0)),"—")</f>
        <v/>
      </c>
      <c r="L24" s="82">
        <f t="array" ref="L24">IFERROR(INDEX('DONNÉES BRUTES'!P$3:P$42,MATCH(_xlfn.AGGREGATE(14,6,'DONNÉES BRUTES'!AB$3:AB$42*1000+(40-ROW('DONNÉES BRUTES'!AB$3:AB$42)+ROW('DONNÉES BRUTES'!AB$3)),9),'DONNÉES BRUTES'!AB$3:AB$42*1000+(40-ROW('DONNÉES BRUTES'!AB$3:AB$42)+ROW('DONNÉES BRUTES'!AB$3)),0)),"—")</f>
        <v/>
      </c>
      <c r="M24" s="78" t="n"/>
      <c r="N24" s="78">
        <f t="array" ref="N24">IFERROR(INDEX('DONNÉES BRUTES'!AC$3:AC$42,MATCH(_xlfn.AGGREGATE(14,6,'DONNÉES BRUTES'!AB$3:AB$42*1000+(40-ROW('DONNÉES BRUTES'!AB$3:AB$42)+ROW('DONNÉES BRUTES'!AB$3)),9),'DONNÉES BRUTES'!AB$3:AB$42*1000+(40-ROW('DONNÉES BRUTES'!AB$3:AB$42)+ROW('DONNÉES BRUTES'!AB$3)),0)),"—")</f>
        <v/>
      </c>
      <c r="O24" s="78" t="n"/>
      <c r="P24" s="78" t="n"/>
      <c r="Q24" s="78" t="n"/>
      <c r="R24" s="92">
        <f t="array" ref="R24">IFERROR(INDEX('DONNÉES BRUTES'!AD$3:AD$42,MATCH(_xlfn.AGGREGATE(14,6,'DONNÉES BRUTES'!AB$3:AB$42*1000+(40-ROW('DONNÉES BRUTES'!AB$3:AB$42)+ROW('DONNÉES BRUTES'!AB$3)),9),'DONNÉES BRUTES'!AB$3:AB$42*1000+(40-ROW('DONNÉES BRUTES'!AB$3:AB$42)+ROW('DONNÉES BRUTES'!AB$3)),0)),"—")</f>
        <v/>
      </c>
      <c r="S24" s="32" t="n"/>
      <c r="T24" s="32" t="n"/>
      <c r="U24" s="32" t="n"/>
      <c r="V24" s="32" t="n"/>
      <c r="W24" s="32" t="n"/>
      <c r="X24" s="32" t="n"/>
    </row>
    <row r="25" ht="15.95" customHeight="1">
      <c r="A25" s="33" t="n"/>
      <c r="B25" s="95" t="n">
        <v>10</v>
      </c>
      <c r="C25" s="96">
        <f t="array" ref="C25">IFERROR(INDEX('DONNÉES BRUTES'!A$3:A$42,MATCH(_xlfn.AGGREGATE(14,6,'DONNÉES BRUTES'!AB$3:AB$42*1000+(40-ROW('DONNÉES BRUTES'!AB$3:AB$42)+ROW('DONNÉES BRUTES'!AB$3)),10),'DONNÉES BRUTES'!AB$3:AB$42*1000+(40-ROW('DONNÉES BRUTES'!AB$3:AB$42)+ROW('DONNÉES BRUTES'!AB$3)),0)),"—")</f>
        <v/>
      </c>
      <c r="D25" s="97">
        <f t="array" ref="D25">IFERROR(LEFT(IFERROR(INDEX('DONNÉES BRUTES'!B$3:B$42,MATCH(_xlfn.AGGREGATE(14,6,'DONNÉES BRUTES'!AB$3:AB$42*1000+(40-ROW('DONNÉES BRUTES'!AB$3:AB$42)+ROW('DONNÉES BRUTES'!AB$3)),10),'DONNÉES BRUTES'!AB$3:AB$42*1000+(40-ROW('DONNÉES BRUTES'!AB$3:AB$42)+ROW('DONNÉES BRUTES'!AB$3)),0)),"—"),18),"—")</f>
        <v/>
      </c>
      <c r="E25" s="97">
        <f t="array" ref="E25">IFERROR(INDEX('DONNÉES BRUTES'!C$3:C$42,MATCH(_xlfn.AGGREGATE(14,6,'DONNÉES BRUTES'!AB$3:AB$42*1000+(40-ROW('DONNÉES BRUTES'!AB$3:AB$42)+ROW('DONNÉES BRUTES'!AB$3)),10),'DONNÉES BRUTES'!AB$3:AB$42*1000+(40-ROW('DONNÉES BRUTES'!AB$3:AB$42)+ROW('DONNÉES BRUTES'!AB$3)),0)),"—")</f>
        <v/>
      </c>
      <c r="F25" s="98">
        <f t="array" ref="F25">IFERROR(INT(_xlfn.AGGREGATE(14,6,'DONNÉES BRUTES'!AB$3:AB$42*1000+(40-ROW('DONNÉES BRUTES'!AB$3:AB$42)+ROW('DONNÉES BRUTES'!AB$3)),10)/1000)&amp;"/100","—")</f>
        <v/>
      </c>
      <c r="G25" s="96" t="n"/>
      <c r="H25" s="96">
        <f t="array" ref="H25">IFERROR(INDEX('DONNÉES BRUTES'!Y$3:Y$42,MATCH(_xlfn.AGGREGATE(14,6,'DONNÉES BRUTES'!AB$3:AB$42*1000+(40-ROW('DONNÉES BRUTES'!AB$3:AB$42)+ROW('DONNÉES BRUTES'!AB$3)),10),'DONNÉES BRUTES'!AB$3:AB$42*1000+(40-ROW('DONNÉES BRUTES'!AB$3:AB$42)+ROW('DONNÉES BRUTES'!AB$3)),0)),"—")</f>
        <v/>
      </c>
      <c r="I25" s="96">
        <f t="array" ref="I25">IFERROR(INDEX('DONNÉES BRUTES'!Z$3:Z$42,MATCH(_xlfn.AGGREGATE(14,6,'DONNÉES BRUTES'!AB$3:AB$42*1000+(40-ROW('DONNÉES BRUTES'!AB$3:AB$42)+ROW('DONNÉES BRUTES'!AB$3)),10),'DONNÉES BRUTES'!AB$3:AB$42*1000+(40-ROW('DONNÉES BRUTES'!AB$3:AB$42)+ROW('DONNÉES BRUTES'!AB$3)),0)),"—")</f>
        <v/>
      </c>
      <c r="J25" s="96">
        <f t="array" ref="J25">IFERROR(INDEX('DONNÉES BRUTES'!AA$3:AA$42,MATCH(_xlfn.AGGREGATE(14,6,'DONNÉES BRUTES'!AB$3:AB$42*1000+(40-ROW('DONNÉES BRUTES'!AB$3:AB$42)+ROW('DONNÉES BRUTES'!AB$3)),10),'DONNÉES BRUTES'!AB$3:AB$42*1000+(40-ROW('DONNÉES BRUTES'!AB$3:AB$42)+ROW('DONNÉES BRUTES'!AB$3)),0)),"—")</f>
        <v/>
      </c>
      <c r="K25" s="96">
        <f t="array" ref="K25">IFERROR(INDEX('DONNÉES BRUTES'!N$3:N$42,MATCH(_xlfn.AGGREGATE(14,6,'DONNÉES BRUTES'!AB$3:AB$42*1000+(40-ROW('DONNÉES BRUTES'!AB$3:AB$42)+ROW('DONNÉES BRUTES'!AB$3)),10),'DONNÉES BRUTES'!AB$3:AB$42*1000+(40-ROW('DONNÉES BRUTES'!AB$3:AB$42)+ROW('DONNÉES BRUTES'!AB$3)),0)),"—")</f>
        <v/>
      </c>
      <c r="L25" s="99">
        <f t="array" ref="L25">IFERROR(INDEX('DONNÉES BRUTES'!P$3:P$42,MATCH(_xlfn.AGGREGATE(14,6,'DONNÉES BRUTES'!AB$3:AB$42*1000+(40-ROW('DONNÉES BRUTES'!AB$3:AB$42)+ROW('DONNÉES BRUTES'!AB$3)),10),'DONNÉES BRUTES'!AB$3:AB$42*1000+(40-ROW('DONNÉES BRUTES'!AB$3:AB$42)+ROW('DONNÉES BRUTES'!AB$3)),0)),"—")</f>
        <v/>
      </c>
      <c r="M25" s="96" t="n"/>
      <c r="N25" s="100">
        <f t="array" ref="N25">IFERROR(INDEX('DONNÉES BRUTES'!AC$3:AC$42,MATCH(_xlfn.AGGREGATE(14,6,'DONNÉES BRUTES'!AB$3:AB$42*1000+(40-ROW('DONNÉES BRUTES'!AB$3:AB$42)+ROW('DONNÉES BRUTES'!AB$3)),10),'DONNÉES BRUTES'!AB$3:AB$42*1000+(40-ROW('DONNÉES BRUTES'!AB$3:AB$42)+ROW('DONNÉES BRUTES'!AB$3)),0)),"—")</f>
        <v/>
      </c>
      <c r="O25" s="96" t="n"/>
      <c r="P25" s="96" t="n"/>
      <c r="Q25" s="96" t="n"/>
      <c r="R25" s="101">
        <f t="array" ref="R25">IFERROR(INDEX('DONNÉES BRUTES'!AD$3:AD$42,MATCH(_xlfn.AGGREGATE(14,6,'DONNÉES BRUTES'!AB$3:AB$42*1000+(40-ROW('DONNÉES BRUTES'!AB$3:AB$42)+ROW('DONNÉES BRUTES'!AB$3)),10),'DONNÉES BRUTES'!AB$3:AB$42*1000+(40-ROW('DONNÉES BRUTES'!AB$3:AB$42)+ROW('DONNÉES BRUTES'!AB$3)),0)),"—")</f>
        <v/>
      </c>
      <c r="S25" s="33" t="n"/>
      <c r="T25" s="33" t="n"/>
      <c r="U25" s="33" t="n"/>
      <c r="V25" s="33" t="n"/>
      <c r="W25" s="33" t="n"/>
      <c r="X25" s="33" t="n"/>
    </row>
    <row r="26" ht="14.1" customHeight="1">
      <c r="A26" s="61" t="n"/>
      <c r="B26" s="61" t="inlineStr">
        <is>
          <t>FinSight IA  ·  Données issues de Supabase/Python  ·  Scores calculés sur métriques Value, Growth, Quality, Momentum  ·  Usage confidentiel</t>
        </is>
      </c>
      <c r="C26" s="61" t="n"/>
      <c r="D26" s="61" t="n"/>
      <c r="E26" s="61" t="n"/>
      <c r="F26" s="61" t="n"/>
      <c r="G26" s="61" t="n"/>
      <c r="H26" s="61" t="n"/>
      <c r="I26" s="61" t="n"/>
      <c r="J26" s="61" t="n"/>
      <c r="K26" s="61" t="n"/>
      <c r="L26" s="61" t="n"/>
      <c r="M26" s="61" t="n"/>
      <c r="N26" s="61" t="n"/>
      <c r="O26" s="61" t="n"/>
      <c r="P26" s="61" t="n"/>
      <c r="Q26" s="61" t="n"/>
      <c r="R26" s="61" t="n"/>
      <c r="S26" s="61" t="n"/>
      <c r="T26" s="61" t="n"/>
      <c r="U26" s="61" t="n"/>
      <c r="V26" s="61" t="n"/>
      <c r="W26" s="61" t="n"/>
      <c r="X26" s="61" t="n"/>
    </row>
    <row r="27" ht="18" customHeight="1"/>
    <row r="28" ht="18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showGridLines="0" tabSelected="1" zoomScale="92" zoomScaleNormal="100" workbookViewId="0">
      <selection activeCell="A1" sqref="A1"/>
    </sheetView>
  </sheetViews>
  <sheetFormatPr baseColWidth="10" defaultColWidth="8.85546875" defaultRowHeight="15"/>
  <cols>
    <col width="5.28515625" customWidth="1" min="1" max="1"/>
    <col width="9.140625" customWidth="1" min="2" max="2"/>
    <col width="26.7109375" customWidth="1" min="3" max="3"/>
    <col width="15.28515625" customWidth="1" min="4" max="4"/>
    <col width="9.140625" customWidth="1" min="5" max="5"/>
    <col width="10.42578125" customWidth="1" min="6" max="6"/>
    <col width="12.42578125" customWidth="1" min="7" max="7"/>
    <col width="10.42578125" customWidth="1" min="8" max="8"/>
    <col width="12.42578125" customWidth="1" min="9" max="10"/>
    <col width="10.42578125" customWidth="1" min="11" max="11"/>
    <col width="12.42578125" customWidth="1" min="12" max="12"/>
    <col width="18.7109375" bestFit="1" customWidth="1" min="13" max="13"/>
    <col width="8.85546875" customWidth="1" style="235" min="14" max="18"/>
  </cols>
  <sheetData>
    <row r="1" ht="32.1" customHeight="1" thickBot="1">
      <c r="A1" s="102" t="inlineStr">
        <is>
          <t>FinSight IA  ·  Analyse VALUE  ·  CAC 40  ·  22/03/2026</t>
        </is>
      </c>
      <c r="B1" s="102" t="n"/>
      <c r="C1" s="102" t="n"/>
      <c r="D1" s="102" t="n"/>
      <c r="E1" s="102" t="n"/>
      <c r="F1" s="102" t="n"/>
      <c r="G1" s="102" t="n"/>
      <c r="H1" s="102" t="n"/>
      <c r="I1" s="102" t="n"/>
      <c r="J1" s="102" t="n"/>
      <c r="K1" s="102" t="n"/>
      <c r="L1" s="102" t="n"/>
      <c r="M1" s="102" t="n"/>
      <c r="O1" s="235" t="inlineStr">
        <is>
          <t>Société</t>
        </is>
      </c>
      <c r="P1" s="235" t="inlineStr">
        <is>
          <t>Score Global</t>
        </is>
      </c>
      <c r="Q1" s="235" t="inlineStr">
        <is>
          <t>Signal</t>
        </is>
      </c>
    </row>
    <row r="2" ht="14.25" customHeight="1">
      <c r="A2" s="22" t="inlineStr">
        <is>
          <t>Usage confidentiel  ·  Calculs Python/NumPy depuis cache Supabase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O2" s="235">
        <f>IF(B4&lt;&gt;"—",LEFT(C4,20),"—")</f>
        <v/>
      </c>
      <c r="P2" s="235">
        <f>IF(E4&lt;&gt;"—",VALUE(LEFT(E4,FIND("/",E4)-1)),"")</f>
        <v/>
      </c>
    </row>
    <row r="3" ht="18" customHeight="1" thickBot="1">
      <c r="A3" s="124" t="inlineStr">
        <is>
          <t>Rang</t>
        </is>
      </c>
      <c r="B3" s="120" t="inlineStr">
        <is>
          <t>Ticker</t>
        </is>
      </c>
      <c r="C3" s="106" t="inlineStr">
        <is>
          <t>Société</t>
        </is>
      </c>
      <c r="D3" s="106" t="inlineStr">
        <is>
          <t>Secteur</t>
        </is>
      </c>
      <c r="E3" s="105" t="inlineStr">
        <is>
          <t>Score</t>
        </is>
      </c>
      <c r="F3" s="105" t="inlineStr">
        <is>
          <t>EV/EBITDA</t>
        </is>
      </c>
      <c r="G3" s="105" t="inlineStr">
        <is>
          <t>EV/Revenue</t>
        </is>
      </c>
      <c r="H3" s="105" t="inlineStr">
        <is>
          <t>P/E</t>
        </is>
      </c>
      <c r="I3" s="105" t="inlineStr">
        <is>
          <t>Marge Brute</t>
        </is>
      </c>
      <c r="J3" s="105" t="inlineStr">
        <is>
          <t>Marge EBITDA</t>
        </is>
      </c>
      <c r="K3" s="105" t="inlineStr">
        <is>
          <t>Altman Z</t>
        </is>
      </c>
      <c r="L3" s="105" t="inlineStr">
        <is>
          <t>FCF Yield</t>
        </is>
      </c>
      <c r="M3" s="120" t="inlineStr">
        <is>
          <t>Décote DCF estimée</t>
        </is>
      </c>
      <c r="O3" s="235">
        <f>IF(B5&lt;&gt;"—",LEFT(C5,20),"—")</f>
        <v/>
      </c>
      <c r="P3" s="235">
        <f>IF(E5&lt;&gt;"—",VALUE(LEFT(E5,FIND("/",E5)-1)),"")</f>
        <v/>
      </c>
    </row>
    <row r="4" ht="15.95" customHeight="1" thickBot="1">
      <c r="A4" s="125" t="n">
        <v>1</v>
      </c>
      <c r="B4" s="121">
        <f t="array" ref="B4">IFERROR(INDEX('DONNÉES BRUTES'!A$3:A$42,MATCH(_xlfn.AGGREGATE(14,6,'DONNÉES BRUTES'!AB$3:AB$42+ROW('DONNÉES BRUTES'!AB$3:AB$42)/1000,1),'DONNÉES BRUTES'!AB$3:AB$42+ROW('DONNÉES BRUTES'!AB$3:AB$42)/1000,0)),"—")</f>
        <v/>
      </c>
      <c r="C4" s="109">
        <f t="array" ref="C4">IFERROR(INDEX('DONNÉES BRUTES'!B$3:B$42,MATCH(_xlfn.AGGREGATE(14,6,'DONNÉES BRUTES'!AB$3:AB$42+ROW('DONNÉES BRUTES'!AB$3:AB$42)/1000,1),'DONNÉES BRUTES'!AB$3:AB$42+ROW('DONNÉES BRUTES'!AB$3:AB$42)/1000,0)),"—")</f>
        <v/>
      </c>
      <c r="D4" s="109">
        <f t="array" ref="D4">IFERROR(INDEX('DONNÉES BRUTES'!C$3:C$42,MATCH(_xlfn.AGGREGATE(14,6,'DONNÉES BRUTES'!AB$3:AB$42+ROW('DONNÉES BRUTES'!AB$3:AB$42)/1000,1),'DONNÉES BRUTES'!AB$3:AB$42+ROW('DONNÉES BRUTES'!AB$3:AB$42)/1000,0)),"—")</f>
        <v/>
      </c>
      <c r="E4" s="110">
        <f t="array" ref="E4">IFERROR(INDEX('DONNÉES BRUTES'!AB$3:AB$42,MATCH(_xlfn.AGGREGATE(14,6,'DONNÉES BRUTES'!AB$3:AB$42+ROW('DONNÉES BRUTES'!AB$3:AB$42)/1000,1),'DONNÉES BRUTES'!AB$3:AB$42+ROW('DONNÉES BRUTES'!AB$3:AB$42)/1000,0))&amp;"/100","—")</f>
        <v/>
      </c>
      <c r="F4" s="108">
        <f t="array" ref="F4">IFERROR(INDEX('DONNÉES BRUTES'!I$3:I$42,MATCH(_xlfn.AGGREGATE(14,6,'DONNÉES BRUTES'!AB$3:AB$42+ROW('DONNÉES BRUTES'!AB$3:AB$42)/1000,1),'DONNÉES BRUTES'!AB$3:AB$42+ROW('DONNÉES BRUTES'!AB$3:AB$42)/1000,0)),"—")</f>
        <v/>
      </c>
      <c r="G4" s="108">
        <f t="array" ref="G4">IFERROR(INDEX('DONNÉES BRUTES'!J$3:J$42,MATCH(_xlfn.AGGREGATE(14,6,'DONNÉES BRUTES'!AB$3:AB$42+ROW('DONNÉES BRUTES'!AB$3:AB$42)/1000,1),'DONNÉES BRUTES'!AB$3:AB$42+ROW('DONNÉES BRUTES'!AB$3:AB$42)/1000,0)),"—")</f>
        <v/>
      </c>
      <c r="H4" s="108">
        <f t="array" ref="H4">IFERROR(INDEX('DONNÉES BRUTES'!K$3:K$42,MATCH(_xlfn.AGGREGATE(14,6,'DONNÉES BRUTES'!AB$3:AB$42+ROW('DONNÉES BRUTES'!AB$3:AB$42)/1000,1),'DONNÉES BRUTES'!AB$3:AB$42+ROW('DONNÉES BRUTES'!AB$3:AB$42)/1000,0)),"—")</f>
        <v/>
      </c>
      <c r="I4" s="108">
        <f t="array" ref="I4">IFERROR(INDEX('DONNÉES BRUTES'!M$3:M$42,MATCH(_xlfn.AGGREGATE(14,6,'DONNÉES BRUTES'!AB$3:AB$42+ROW('DONNÉES BRUTES'!AB$3:AB$42)/1000,1),'DONNÉES BRUTES'!AB$3:AB$42+ROW('DONNÉES BRUTES'!AB$3:AB$42)/1000,0)),"—")</f>
        <v/>
      </c>
      <c r="J4" s="108">
        <f t="array" ref="J4">IFERROR(INDEX('DONNÉES BRUTES'!N$3:N$42,MATCH(_xlfn.AGGREGATE(14,6,'DONNÉES BRUTES'!AB$3:AB$42+ROW('DONNÉES BRUTES'!AB$3:AB$42)/1000,1),'DONNÉES BRUTES'!AB$3:AB$42+ROW('DONNÉES BRUTES'!AB$3:AB$42)/1000,0)),"—")</f>
        <v/>
      </c>
      <c r="K4" s="108">
        <f t="array" ref="K4">IFERROR(INDEX('DONNÉES BRUTES'!U$3:U$42,MATCH(_xlfn.AGGREGATE(14,6,'DONNÉES BRUTES'!AB$3:AB$42+ROW('DONNÉES BRUTES'!AB$3:AB$42)/1000,1),'DONNÉES BRUTES'!AB$3:AB$42+ROW('DONNÉES BRUTES'!AB$3:AB$42)/1000,0)),"—")</f>
        <v/>
      </c>
      <c r="L4" s="111" t="inlineStr">
        <is>
          <t>—</t>
        </is>
      </c>
      <c r="M4" s="111">
        <f t="array" ref="M4">IFERROR(INDEX('DONNÉES BRUTES'!AD$3:AD$42,MATCH(_xlfn.AGGREGATE(14,6,'DONNÉES BRUTES'!AB$3:AB$42+ROW('DONNÉES BRUTES'!AB$3:AB$42)/1000,1),'DONNÉES BRUTES'!AB$3:AB$42+ROW('DONNÉES BRUTES'!AB$3:AB$42)/1000,0)),"—")</f>
        <v/>
      </c>
      <c r="O4" s="235">
        <f>IF(B6&lt;&gt;"—",LEFT(C6,20),"—")</f>
        <v/>
      </c>
      <c r="P4" s="235">
        <f>IF(E6&lt;&gt;"—",VALUE(LEFT(E6,FIND("/",E6)-1)),"")</f>
        <v/>
      </c>
    </row>
    <row r="5" ht="15.95" customHeight="1" thickBot="1">
      <c r="A5" s="126" t="n">
        <v>2</v>
      </c>
      <c r="B5" s="122">
        <f t="array" ref="B5">IFERROR(INDEX('DONNÉES BRUTES'!A$3:A$42,MATCH(_xlfn.AGGREGATE(14,6,'DONNÉES BRUTES'!AB$3:AB$42+ROW('DONNÉES BRUTES'!AB$3:AB$42)/1000,2),'DONNÉES BRUTES'!AB$3:AB$42+ROW('DONNÉES BRUTES'!AB$3:AB$42)/1000,0)),"—")</f>
        <v/>
      </c>
      <c r="C5" s="113">
        <f t="array" ref="C5">IFERROR(INDEX('DONNÉES BRUTES'!B$3:B$42,MATCH(_xlfn.AGGREGATE(14,6,'DONNÉES BRUTES'!AB$3:AB$42+ROW('DONNÉES BRUTES'!AB$3:AB$42)/1000,2),'DONNÉES BRUTES'!AB$3:AB$42+ROW('DONNÉES BRUTES'!AB$3:AB$42)/1000,0)),"—")</f>
        <v/>
      </c>
      <c r="D5" s="113">
        <f t="array" ref="D5">IFERROR(INDEX('DONNÉES BRUTES'!C$3:C$42,MATCH(_xlfn.AGGREGATE(14,6,'DONNÉES BRUTES'!AB$3:AB$42+ROW('DONNÉES BRUTES'!AB$3:AB$42)/1000,2),'DONNÉES BRUTES'!AB$3:AB$42+ROW('DONNÉES BRUTES'!AB$3:AB$42)/1000,0)),"—")</f>
        <v/>
      </c>
      <c r="E5" s="114">
        <f t="array" ref="E5">IFERROR(INDEX('DONNÉES BRUTES'!AB$3:AB$42,MATCH(_xlfn.AGGREGATE(14,6,'DONNÉES BRUTES'!AB$3:AB$42+ROW('DONNÉES BRUTES'!AB$3:AB$42)/1000,2),'DONNÉES BRUTES'!AB$3:AB$42+ROW('DONNÉES BRUTES'!AB$3:AB$42)/1000,0))&amp;"/100","—")</f>
        <v/>
      </c>
      <c r="F5" s="112">
        <f t="array" ref="F5">IFERROR(INDEX('DONNÉES BRUTES'!I$3:I$42,MATCH(_xlfn.AGGREGATE(14,6,'DONNÉES BRUTES'!AB$3:AB$42+ROW('DONNÉES BRUTES'!AB$3:AB$42)/1000,2),'DONNÉES BRUTES'!AB$3:AB$42+ROW('DONNÉES BRUTES'!AB$3:AB$42)/1000,0)),"—")</f>
        <v/>
      </c>
      <c r="G5" s="112">
        <f t="array" ref="G5">IFERROR(INDEX('DONNÉES BRUTES'!J$3:J$42,MATCH(_xlfn.AGGREGATE(14,6,'DONNÉES BRUTES'!AB$3:AB$42+ROW('DONNÉES BRUTES'!AB$3:AB$42)/1000,2),'DONNÉES BRUTES'!AB$3:AB$42+ROW('DONNÉES BRUTES'!AB$3:AB$42)/1000,0)),"—")</f>
        <v/>
      </c>
      <c r="H5" s="112">
        <f t="array" ref="H5">IFERROR(INDEX('DONNÉES BRUTES'!K$3:K$42,MATCH(_xlfn.AGGREGATE(14,6,'DONNÉES BRUTES'!AB$3:AB$42+ROW('DONNÉES BRUTES'!AB$3:AB$42)/1000,2),'DONNÉES BRUTES'!AB$3:AB$42+ROW('DONNÉES BRUTES'!AB$3:AB$42)/1000,0)),"—")</f>
        <v/>
      </c>
      <c r="I5" s="112">
        <f t="array" ref="I5">IFERROR(INDEX('DONNÉES BRUTES'!M$3:M$42,MATCH(_xlfn.AGGREGATE(14,6,'DONNÉES BRUTES'!AB$3:AB$42+ROW('DONNÉES BRUTES'!AB$3:AB$42)/1000,2),'DONNÉES BRUTES'!AB$3:AB$42+ROW('DONNÉES BRUTES'!AB$3:AB$42)/1000,0)),"—")</f>
        <v/>
      </c>
      <c r="J5" s="112">
        <f t="array" ref="J5">IFERROR(INDEX('DONNÉES BRUTES'!N$3:N$42,MATCH(_xlfn.AGGREGATE(14,6,'DONNÉES BRUTES'!AB$3:AB$42+ROW('DONNÉES BRUTES'!AB$3:AB$42)/1000,2),'DONNÉES BRUTES'!AB$3:AB$42+ROW('DONNÉES BRUTES'!AB$3:AB$42)/1000,0)),"—")</f>
        <v/>
      </c>
      <c r="K5" s="112">
        <f t="array" ref="K5">IFERROR(INDEX('DONNÉES BRUTES'!U$3:U$42,MATCH(_xlfn.AGGREGATE(14,6,'DONNÉES BRUTES'!AB$3:AB$42+ROW('DONNÉES BRUTES'!AB$3:AB$42)/1000,2),'DONNÉES BRUTES'!AB$3:AB$42+ROW('DONNÉES BRUTES'!AB$3:AB$42)/1000,0)),"—")</f>
        <v/>
      </c>
      <c r="L5" s="115" t="inlineStr">
        <is>
          <t>—</t>
        </is>
      </c>
      <c r="M5" s="115">
        <f t="array" ref="M5">IFERROR(INDEX('DONNÉES BRUTES'!AD$3:AD$42,MATCH(_xlfn.AGGREGATE(14,6,'DONNÉES BRUTES'!AB$3:AB$42+ROW('DONNÉES BRUTES'!AB$3:AB$42)/1000,2),'DONNÉES BRUTES'!AB$3:AB$42+ROW('DONNÉES BRUTES'!AB$3:AB$42)/1000,0)),"—")</f>
        <v/>
      </c>
      <c r="O5" s="235">
        <f>IF(B7&lt;&gt;"—",LEFT(C7,20),"—")</f>
        <v/>
      </c>
      <c r="P5" s="235">
        <f>IF(E7&lt;&gt;"—",VALUE(LEFT(E7,FIND("/",E7)-1)),"")</f>
        <v/>
      </c>
    </row>
    <row r="6" ht="15.95" customHeight="1" thickBot="1">
      <c r="A6" s="125" t="n">
        <v>3</v>
      </c>
      <c r="B6" s="121">
        <f t="array" ref="B6">IFERROR(INDEX('DONNÉES BRUTES'!A$3:A$42,MATCH(_xlfn.AGGREGATE(14,6,'DONNÉES BRUTES'!AB$3:AB$42+ROW('DONNÉES BRUTES'!AB$3:AB$42)/1000,3),'DONNÉES BRUTES'!AB$3:AB$42+ROW('DONNÉES BRUTES'!AB$3:AB$42)/1000,0)),"—")</f>
        <v/>
      </c>
      <c r="C6" s="109">
        <f t="array" ref="C6">IFERROR(INDEX('DONNÉES BRUTES'!B$3:B$42,MATCH(_xlfn.AGGREGATE(14,6,'DONNÉES BRUTES'!AB$3:AB$42+ROW('DONNÉES BRUTES'!AB$3:AB$42)/1000,3),'DONNÉES BRUTES'!AB$3:AB$42+ROW('DONNÉES BRUTES'!AB$3:AB$42)/1000,0)),"—")</f>
        <v/>
      </c>
      <c r="D6" s="109">
        <f t="array" ref="D6">IFERROR(INDEX('DONNÉES BRUTES'!C$3:C$42,MATCH(_xlfn.AGGREGATE(14,6,'DONNÉES BRUTES'!AB$3:AB$42+ROW('DONNÉES BRUTES'!AB$3:AB$42)/1000,3),'DONNÉES BRUTES'!AB$3:AB$42+ROW('DONNÉES BRUTES'!AB$3:AB$42)/1000,0)),"—")</f>
        <v/>
      </c>
      <c r="E6" s="110">
        <f t="array" ref="E6">IFERROR(INDEX('DONNÉES BRUTES'!AB$3:AB$42,MATCH(_xlfn.AGGREGATE(14,6,'DONNÉES BRUTES'!AB$3:AB$42+ROW('DONNÉES BRUTES'!AB$3:AB$42)/1000,3),'DONNÉES BRUTES'!AB$3:AB$42+ROW('DONNÉES BRUTES'!AB$3:AB$42)/1000,0))&amp;"/100","—")</f>
        <v/>
      </c>
      <c r="F6" s="108">
        <f t="array" ref="F6">IFERROR(INDEX('DONNÉES BRUTES'!I$3:I$42,MATCH(_xlfn.AGGREGATE(14,6,'DONNÉES BRUTES'!AB$3:AB$42+ROW('DONNÉES BRUTES'!AB$3:AB$42)/1000,3),'DONNÉES BRUTES'!AB$3:AB$42+ROW('DONNÉES BRUTES'!AB$3:AB$42)/1000,0)),"—")</f>
        <v/>
      </c>
      <c r="G6" s="108">
        <f t="array" ref="G6">IFERROR(INDEX('DONNÉES BRUTES'!J$3:J$42,MATCH(_xlfn.AGGREGATE(14,6,'DONNÉES BRUTES'!AB$3:AB$42+ROW('DONNÉES BRUTES'!AB$3:AB$42)/1000,3),'DONNÉES BRUTES'!AB$3:AB$42+ROW('DONNÉES BRUTES'!AB$3:AB$42)/1000,0)),"—")</f>
        <v/>
      </c>
      <c r="H6" s="108">
        <f t="array" ref="H6">IFERROR(INDEX('DONNÉES BRUTES'!K$3:K$42,MATCH(_xlfn.AGGREGATE(14,6,'DONNÉES BRUTES'!AB$3:AB$42+ROW('DONNÉES BRUTES'!AB$3:AB$42)/1000,3),'DONNÉES BRUTES'!AB$3:AB$42+ROW('DONNÉES BRUTES'!AB$3:AB$42)/1000,0)),"—")</f>
        <v/>
      </c>
      <c r="I6" s="108">
        <f t="array" ref="I6">IFERROR(INDEX('DONNÉES BRUTES'!M$3:M$42,MATCH(_xlfn.AGGREGATE(14,6,'DONNÉES BRUTES'!AB$3:AB$42+ROW('DONNÉES BRUTES'!AB$3:AB$42)/1000,3),'DONNÉES BRUTES'!AB$3:AB$42+ROW('DONNÉES BRUTES'!AB$3:AB$42)/1000,0)),"—")</f>
        <v/>
      </c>
      <c r="J6" s="108">
        <f t="array" ref="J6">IFERROR(INDEX('DONNÉES BRUTES'!N$3:N$42,MATCH(_xlfn.AGGREGATE(14,6,'DONNÉES BRUTES'!AB$3:AB$42+ROW('DONNÉES BRUTES'!AB$3:AB$42)/1000,3),'DONNÉES BRUTES'!AB$3:AB$42+ROW('DONNÉES BRUTES'!AB$3:AB$42)/1000,0)),"—")</f>
        <v/>
      </c>
      <c r="K6" s="108">
        <f t="array" ref="K6">IFERROR(INDEX('DONNÉES BRUTES'!U$3:U$42,MATCH(_xlfn.AGGREGATE(14,6,'DONNÉES BRUTES'!AB$3:AB$42+ROW('DONNÉES BRUTES'!AB$3:AB$42)/1000,3),'DONNÉES BRUTES'!AB$3:AB$42+ROW('DONNÉES BRUTES'!AB$3:AB$42)/1000,0)),"—")</f>
        <v/>
      </c>
      <c r="L6" s="111" t="inlineStr">
        <is>
          <t>—</t>
        </is>
      </c>
      <c r="M6" s="111">
        <f t="array" ref="M6">IFERROR(INDEX('DONNÉES BRUTES'!AD$3:AD$42,MATCH(_xlfn.AGGREGATE(14,6,'DONNÉES BRUTES'!AB$3:AB$42+ROW('DONNÉES BRUTES'!AB$3:AB$42)/1000,3),'DONNÉES BRUTES'!AB$3:AB$42+ROW('DONNÉES BRUTES'!AB$3:AB$42)/1000,0)),"—")</f>
        <v/>
      </c>
      <c r="O6" s="235">
        <f>IF(B8&lt;&gt;"—",LEFT(C8,20),"—")</f>
        <v/>
      </c>
      <c r="P6" s="235">
        <f>IF(E8&lt;&gt;"—",VALUE(LEFT(E8,FIND("/",E8)-1)),"")</f>
        <v/>
      </c>
    </row>
    <row r="7" ht="15.95" customHeight="1" thickBot="1">
      <c r="A7" s="126" t="n">
        <v>4</v>
      </c>
      <c r="B7" s="122">
        <f t="array" ref="B7">IFERROR(INDEX('DONNÉES BRUTES'!A$3:A$42,MATCH(_xlfn.AGGREGATE(14,6,'DONNÉES BRUTES'!AB$3:AB$42+ROW('DONNÉES BRUTES'!AB$3:AB$42)/1000,4),'DONNÉES BRUTES'!AB$3:AB$42+ROW('DONNÉES BRUTES'!AB$3:AB$42)/1000,0)),"—")</f>
        <v/>
      </c>
      <c r="C7" s="113">
        <f t="array" ref="C7">IFERROR(INDEX('DONNÉES BRUTES'!B$3:B$42,MATCH(_xlfn.AGGREGATE(14,6,'DONNÉES BRUTES'!AB$3:AB$42+ROW('DONNÉES BRUTES'!AB$3:AB$42)/1000,4),'DONNÉES BRUTES'!AB$3:AB$42+ROW('DONNÉES BRUTES'!AB$3:AB$42)/1000,0)),"—")</f>
        <v/>
      </c>
      <c r="D7" s="113">
        <f t="array" ref="D7">IFERROR(INDEX('DONNÉES BRUTES'!C$3:C$42,MATCH(_xlfn.AGGREGATE(14,6,'DONNÉES BRUTES'!AB$3:AB$42+ROW('DONNÉES BRUTES'!AB$3:AB$42)/1000,4),'DONNÉES BRUTES'!AB$3:AB$42+ROW('DONNÉES BRUTES'!AB$3:AB$42)/1000,0)),"—")</f>
        <v/>
      </c>
      <c r="E7" s="114">
        <f t="array" ref="E7">IFERROR(INDEX('DONNÉES BRUTES'!AB$3:AB$42,MATCH(_xlfn.AGGREGATE(14,6,'DONNÉES BRUTES'!AB$3:AB$42+ROW('DONNÉES BRUTES'!AB$3:AB$42)/1000,4),'DONNÉES BRUTES'!AB$3:AB$42+ROW('DONNÉES BRUTES'!AB$3:AB$42)/1000,0))&amp;"/100","—")</f>
        <v/>
      </c>
      <c r="F7" s="112">
        <f t="array" ref="F7">IFERROR(INDEX('DONNÉES BRUTES'!I$3:I$42,MATCH(_xlfn.AGGREGATE(14,6,'DONNÉES BRUTES'!AB$3:AB$42+ROW('DONNÉES BRUTES'!AB$3:AB$42)/1000,4),'DONNÉES BRUTES'!AB$3:AB$42+ROW('DONNÉES BRUTES'!AB$3:AB$42)/1000,0)),"—")</f>
        <v/>
      </c>
      <c r="G7" s="112">
        <f t="array" ref="G7">IFERROR(INDEX('DONNÉES BRUTES'!J$3:J$42,MATCH(_xlfn.AGGREGATE(14,6,'DONNÉES BRUTES'!AB$3:AB$42+ROW('DONNÉES BRUTES'!AB$3:AB$42)/1000,4),'DONNÉES BRUTES'!AB$3:AB$42+ROW('DONNÉES BRUTES'!AB$3:AB$42)/1000,0)),"—")</f>
        <v/>
      </c>
      <c r="H7" s="112">
        <f t="array" ref="H7">IFERROR(INDEX('DONNÉES BRUTES'!K$3:K$42,MATCH(_xlfn.AGGREGATE(14,6,'DONNÉES BRUTES'!AB$3:AB$42+ROW('DONNÉES BRUTES'!AB$3:AB$42)/1000,4),'DONNÉES BRUTES'!AB$3:AB$42+ROW('DONNÉES BRUTES'!AB$3:AB$42)/1000,0)),"—")</f>
        <v/>
      </c>
      <c r="I7" s="112">
        <f t="array" ref="I7">IFERROR(INDEX('DONNÉES BRUTES'!M$3:M$42,MATCH(_xlfn.AGGREGATE(14,6,'DONNÉES BRUTES'!AB$3:AB$42+ROW('DONNÉES BRUTES'!AB$3:AB$42)/1000,4),'DONNÉES BRUTES'!AB$3:AB$42+ROW('DONNÉES BRUTES'!AB$3:AB$42)/1000,0)),"—")</f>
        <v/>
      </c>
      <c r="J7" s="112">
        <f t="array" ref="J7">IFERROR(INDEX('DONNÉES BRUTES'!N$3:N$42,MATCH(_xlfn.AGGREGATE(14,6,'DONNÉES BRUTES'!AB$3:AB$42+ROW('DONNÉES BRUTES'!AB$3:AB$42)/1000,4),'DONNÉES BRUTES'!AB$3:AB$42+ROW('DONNÉES BRUTES'!AB$3:AB$42)/1000,0)),"—")</f>
        <v/>
      </c>
      <c r="K7" s="112">
        <f t="array" ref="K7">IFERROR(INDEX('DONNÉES BRUTES'!U$3:U$42,MATCH(_xlfn.AGGREGATE(14,6,'DONNÉES BRUTES'!AB$3:AB$42+ROW('DONNÉES BRUTES'!AB$3:AB$42)/1000,4),'DONNÉES BRUTES'!AB$3:AB$42+ROW('DONNÉES BRUTES'!AB$3:AB$42)/1000,0)),"—")</f>
        <v/>
      </c>
      <c r="L7" s="115" t="inlineStr">
        <is>
          <t>—</t>
        </is>
      </c>
      <c r="M7" s="115">
        <f t="array" ref="M7">IFERROR(INDEX('DONNÉES BRUTES'!AD$3:AD$42,MATCH(_xlfn.AGGREGATE(14,6,'DONNÉES BRUTES'!AB$3:AB$42+ROW('DONNÉES BRUTES'!AB$3:AB$42)/1000,4),'DONNÉES BRUTES'!AB$3:AB$42+ROW('DONNÉES BRUTES'!AB$3:AB$42)/1000,0)),"—")</f>
        <v/>
      </c>
      <c r="O7" s="235">
        <f>IF(B9&lt;&gt;"—",LEFT(C9,20),"—")</f>
        <v/>
      </c>
      <c r="P7" s="235">
        <f>IF(E9&lt;&gt;"—",VALUE(LEFT(E9,FIND("/",E9)-1)),"")</f>
        <v/>
      </c>
    </row>
    <row r="8" ht="15.95" customHeight="1" thickBot="1">
      <c r="A8" s="125" t="n">
        <v>5</v>
      </c>
      <c r="B8" s="121">
        <f t="array" ref="B8">IFERROR(INDEX('DONNÉES BRUTES'!A$3:A$42,MATCH(_xlfn.AGGREGATE(14,6,'DONNÉES BRUTES'!AB$3:AB$42+ROW('DONNÉES BRUTES'!AB$3:AB$42)/1000,5),'DONNÉES BRUTES'!AB$3:AB$42+ROW('DONNÉES BRUTES'!AB$3:AB$42)/1000,0)),"—")</f>
        <v/>
      </c>
      <c r="C8" s="109">
        <f t="array" ref="C8">IFERROR(INDEX('DONNÉES BRUTES'!B$3:B$42,MATCH(_xlfn.AGGREGATE(14,6,'DONNÉES BRUTES'!AB$3:AB$42+ROW('DONNÉES BRUTES'!AB$3:AB$42)/1000,5),'DONNÉES BRUTES'!AB$3:AB$42+ROW('DONNÉES BRUTES'!AB$3:AB$42)/1000,0)),"—")</f>
        <v/>
      </c>
      <c r="D8" s="109">
        <f t="array" ref="D8">IFERROR(INDEX('DONNÉES BRUTES'!C$3:C$42,MATCH(_xlfn.AGGREGATE(14,6,'DONNÉES BRUTES'!AB$3:AB$42+ROW('DONNÉES BRUTES'!AB$3:AB$42)/1000,5),'DONNÉES BRUTES'!AB$3:AB$42+ROW('DONNÉES BRUTES'!AB$3:AB$42)/1000,0)),"—")</f>
        <v/>
      </c>
      <c r="E8" s="110">
        <f t="array" ref="E8">IFERROR(INDEX('DONNÉES BRUTES'!AB$3:AB$42,MATCH(_xlfn.AGGREGATE(14,6,'DONNÉES BRUTES'!AB$3:AB$42+ROW('DONNÉES BRUTES'!AB$3:AB$42)/1000,5),'DONNÉES BRUTES'!AB$3:AB$42+ROW('DONNÉES BRUTES'!AB$3:AB$42)/1000,0))&amp;"/100","—")</f>
        <v/>
      </c>
      <c r="F8" s="108">
        <f t="array" ref="F8">IFERROR(INDEX('DONNÉES BRUTES'!I$3:I$42,MATCH(_xlfn.AGGREGATE(14,6,'DONNÉES BRUTES'!AB$3:AB$42+ROW('DONNÉES BRUTES'!AB$3:AB$42)/1000,5),'DONNÉES BRUTES'!AB$3:AB$42+ROW('DONNÉES BRUTES'!AB$3:AB$42)/1000,0)),"—")</f>
        <v/>
      </c>
      <c r="G8" s="108">
        <f t="array" ref="G8">IFERROR(INDEX('DONNÉES BRUTES'!J$3:J$42,MATCH(_xlfn.AGGREGATE(14,6,'DONNÉES BRUTES'!AB$3:AB$42+ROW('DONNÉES BRUTES'!AB$3:AB$42)/1000,5),'DONNÉES BRUTES'!AB$3:AB$42+ROW('DONNÉES BRUTES'!AB$3:AB$42)/1000,0)),"—")</f>
        <v/>
      </c>
      <c r="H8" s="108">
        <f t="array" ref="H8">IFERROR(INDEX('DONNÉES BRUTES'!K$3:K$42,MATCH(_xlfn.AGGREGATE(14,6,'DONNÉES BRUTES'!AB$3:AB$42+ROW('DONNÉES BRUTES'!AB$3:AB$42)/1000,5),'DONNÉES BRUTES'!AB$3:AB$42+ROW('DONNÉES BRUTES'!AB$3:AB$42)/1000,0)),"—")</f>
        <v/>
      </c>
      <c r="I8" s="108">
        <f t="array" ref="I8">IFERROR(INDEX('DONNÉES BRUTES'!M$3:M$42,MATCH(_xlfn.AGGREGATE(14,6,'DONNÉES BRUTES'!AB$3:AB$42+ROW('DONNÉES BRUTES'!AB$3:AB$42)/1000,5),'DONNÉES BRUTES'!AB$3:AB$42+ROW('DONNÉES BRUTES'!AB$3:AB$42)/1000,0)),"—")</f>
        <v/>
      </c>
      <c r="J8" s="108">
        <f t="array" ref="J8">IFERROR(INDEX('DONNÉES BRUTES'!N$3:N$42,MATCH(_xlfn.AGGREGATE(14,6,'DONNÉES BRUTES'!AB$3:AB$42+ROW('DONNÉES BRUTES'!AB$3:AB$42)/1000,5),'DONNÉES BRUTES'!AB$3:AB$42+ROW('DONNÉES BRUTES'!AB$3:AB$42)/1000,0)),"—")</f>
        <v/>
      </c>
      <c r="K8" s="108">
        <f t="array" ref="K8">IFERROR(INDEX('DONNÉES BRUTES'!U$3:U$42,MATCH(_xlfn.AGGREGATE(14,6,'DONNÉES BRUTES'!AB$3:AB$42+ROW('DONNÉES BRUTES'!AB$3:AB$42)/1000,5),'DONNÉES BRUTES'!AB$3:AB$42+ROW('DONNÉES BRUTES'!AB$3:AB$42)/1000,0)),"—")</f>
        <v/>
      </c>
      <c r="L8" s="111" t="inlineStr">
        <is>
          <t>—</t>
        </is>
      </c>
      <c r="M8" s="111">
        <f t="array" ref="M8">IFERROR(INDEX('DONNÉES BRUTES'!AD$3:AD$42,MATCH(_xlfn.AGGREGATE(14,6,'DONNÉES BRUTES'!AB$3:AB$42+ROW('DONNÉES BRUTES'!AB$3:AB$42)/1000,5),'DONNÉES BRUTES'!AB$3:AB$42+ROW('DONNÉES BRUTES'!AB$3:AB$42)/1000,0)),"—")</f>
        <v/>
      </c>
      <c r="O8" s="235">
        <f>IF(B10&lt;&gt;"—",LEFT(C10,20),"—")</f>
        <v/>
      </c>
      <c r="P8" s="235">
        <f>IF(E10&lt;&gt;"—",VALUE(LEFT(E10,FIND("/",E10)-1)),"")</f>
        <v/>
      </c>
    </row>
    <row r="9" ht="15.95" customHeight="1" thickBot="1">
      <c r="A9" s="126" t="n">
        <v>6</v>
      </c>
      <c r="B9" s="122">
        <f t="array" ref="B9">IFERROR(INDEX('DONNÉES BRUTES'!A$3:A$42,MATCH(_xlfn.AGGREGATE(14,6,'DONNÉES BRUTES'!AB$3:AB$42+ROW('DONNÉES BRUTES'!AB$3:AB$42)/1000,6),'DONNÉES BRUTES'!AB$3:AB$42+ROW('DONNÉES BRUTES'!AB$3:AB$42)/1000,0)),"—")</f>
        <v/>
      </c>
      <c r="C9" s="113">
        <f t="array" ref="C9">IFERROR(INDEX('DONNÉES BRUTES'!B$3:B$42,MATCH(_xlfn.AGGREGATE(14,6,'DONNÉES BRUTES'!AB$3:AB$42+ROW('DONNÉES BRUTES'!AB$3:AB$42)/1000,6),'DONNÉES BRUTES'!AB$3:AB$42+ROW('DONNÉES BRUTES'!AB$3:AB$42)/1000,0)),"—")</f>
        <v/>
      </c>
      <c r="D9" s="113">
        <f t="array" ref="D9">IFERROR(INDEX('DONNÉES BRUTES'!C$3:C$42,MATCH(_xlfn.AGGREGATE(14,6,'DONNÉES BRUTES'!AB$3:AB$42+ROW('DONNÉES BRUTES'!AB$3:AB$42)/1000,6),'DONNÉES BRUTES'!AB$3:AB$42+ROW('DONNÉES BRUTES'!AB$3:AB$42)/1000,0)),"—")</f>
        <v/>
      </c>
      <c r="E9" s="114">
        <f t="array" ref="E9">IFERROR(INDEX('DONNÉES BRUTES'!AB$3:AB$42,MATCH(_xlfn.AGGREGATE(14,6,'DONNÉES BRUTES'!AB$3:AB$42+ROW('DONNÉES BRUTES'!AB$3:AB$42)/1000,6),'DONNÉES BRUTES'!AB$3:AB$42+ROW('DONNÉES BRUTES'!AB$3:AB$42)/1000,0))&amp;"/100","—")</f>
        <v/>
      </c>
      <c r="F9" s="112">
        <f t="array" ref="F9">IFERROR(INDEX('DONNÉES BRUTES'!I$3:I$42,MATCH(_xlfn.AGGREGATE(14,6,'DONNÉES BRUTES'!AB$3:AB$42+ROW('DONNÉES BRUTES'!AB$3:AB$42)/1000,6),'DONNÉES BRUTES'!AB$3:AB$42+ROW('DONNÉES BRUTES'!AB$3:AB$42)/1000,0)),"—")</f>
        <v/>
      </c>
      <c r="G9" s="112">
        <f t="array" ref="G9">IFERROR(INDEX('DONNÉES BRUTES'!J$3:J$42,MATCH(_xlfn.AGGREGATE(14,6,'DONNÉES BRUTES'!AB$3:AB$42+ROW('DONNÉES BRUTES'!AB$3:AB$42)/1000,6),'DONNÉES BRUTES'!AB$3:AB$42+ROW('DONNÉES BRUTES'!AB$3:AB$42)/1000,0)),"—")</f>
        <v/>
      </c>
      <c r="H9" s="112">
        <f t="array" ref="H9">IFERROR(INDEX('DONNÉES BRUTES'!K$3:K$42,MATCH(_xlfn.AGGREGATE(14,6,'DONNÉES BRUTES'!AB$3:AB$42+ROW('DONNÉES BRUTES'!AB$3:AB$42)/1000,6),'DONNÉES BRUTES'!AB$3:AB$42+ROW('DONNÉES BRUTES'!AB$3:AB$42)/1000,0)),"—")</f>
        <v/>
      </c>
      <c r="I9" s="112">
        <f t="array" ref="I9">IFERROR(INDEX('DONNÉES BRUTES'!M$3:M$42,MATCH(_xlfn.AGGREGATE(14,6,'DONNÉES BRUTES'!AB$3:AB$42+ROW('DONNÉES BRUTES'!AB$3:AB$42)/1000,6),'DONNÉES BRUTES'!AB$3:AB$42+ROW('DONNÉES BRUTES'!AB$3:AB$42)/1000,0)),"—")</f>
        <v/>
      </c>
      <c r="J9" s="112">
        <f t="array" ref="J9">IFERROR(INDEX('DONNÉES BRUTES'!N$3:N$42,MATCH(_xlfn.AGGREGATE(14,6,'DONNÉES BRUTES'!AB$3:AB$42+ROW('DONNÉES BRUTES'!AB$3:AB$42)/1000,6),'DONNÉES BRUTES'!AB$3:AB$42+ROW('DONNÉES BRUTES'!AB$3:AB$42)/1000,0)),"—")</f>
        <v/>
      </c>
      <c r="K9" s="112">
        <f t="array" ref="K9">IFERROR(INDEX('DONNÉES BRUTES'!U$3:U$42,MATCH(_xlfn.AGGREGATE(14,6,'DONNÉES BRUTES'!AB$3:AB$42+ROW('DONNÉES BRUTES'!AB$3:AB$42)/1000,6),'DONNÉES BRUTES'!AB$3:AB$42+ROW('DONNÉES BRUTES'!AB$3:AB$42)/1000,0)),"—")</f>
        <v/>
      </c>
      <c r="L9" s="115" t="inlineStr">
        <is>
          <t>—</t>
        </is>
      </c>
      <c r="M9" s="115">
        <f t="array" ref="M9">IFERROR(INDEX('DONNÉES BRUTES'!AD$3:AD$42,MATCH(_xlfn.AGGREGATE(14,6,'DONNÉES BRUTES'!AB$3:AB$42+ROW('DONNÉES BRUTES'!AB$3:AB$42)/1000,6),'DONNÉES BRUTES'!AB$3:AB$42+ROW('DONNÉES BRUTES'!AB$3:AB$42)/1000,0)),"—")</f>
        <v/>
      </c>
      <c r="O9" s="235">
        <f>IF(B11&lt;&gt;"—",LEFT(C11,20),"—")</f>
        <v/>
      </c>
      <c r="P9" s="235">
        <f>IF(E11&lt;&gt;"—",VALUE(LEFT(E11,FIND("/",E11)-1)),"")</f>
        <v/>
      </c>
    </row>
    <row r="10" ht="15.95" customHeight="1" thickBot="1">
      <c r="A10" s="125" t="n">
        <v>7</v>
      </c>
      <c r="B10" s="121">
        <f t="array" ref="B10">IFERROR(INDEX('DONNÉES BRUTES'!A$3:A$42,MATCH(_xlfn.AGGREGATE(14,6,'DONNÉES BRUTES'!AB$3:AB$42+ROW('DONNÉES BRUTES'!AB$3:AB$42)/1000,7),'DONNÉES BRUTES'!AB$3:AB$42+ROW('DONNÉES BRUTES'!AB$3:AB$42)/1000,0)),"—")</f>
        <v/>
      </c>
      <c r="C10" s="109">
        <f t="array" ref="C10">IFERROR(INDEX('DONNÉES BRUTES'!B$3:B$42,MATCH(_xlfn.AGGREGATE(14,6,'DONNÉES BRUTES'!AB$3:AB$42+ROW('DONNÉES BRUTES'!AB$3:AB$42)/1000,7),'DONNÉES BRUTES'!AB$3:AB$42+ROW('DONNÉES BRUTES'!AB$3:AB$42)/1000,0)),"—")</f>
        <v/>
      </c>
      <c r="D10" s="109">
        <f t="array" ref="D10">IFERROR(INDEX('DONNÉES BRUTES'!C$3:C$42,MATCH(_xlfn.AGGREGATE(14,6,'DONNÉES BRUTES'!AB$3:AB$42+ROW('DONNÉES BRUTES'!AB$3:AB$42)/1000,7),'DONNÉES BRUTES'!AB$3:AB$42+ROW('DONNÉES BRUTES'!AB$3:AB$42)/1000,0)),"—")</f>
        <v/>
      </c>
      <c r="E10" s="110">
        <f t="array" ref="E10">IFERROR(INDEX('DONNÉES BRUTES'!AB$3:AB$42,MATCH(_xlfn.AGGREGATE(14,6,'DONNÉES BRUTES'!AB$3:AB$42+ROW('DONNÉES BRUTES'!AB$3:AB$42)/1000,7),'DONNÉES BRUTES'!AB$3:AB$42+ROW('DONNÉES BRUTES'!AB$3:AB$42)/1000,0))&amp;"/100","—")</f>
        <v/>
      </c>
      <c r="F10" s="108">
        <f t="array" ref="F10">IFERROR(INDEX('DONNÉES BRUTES'!I$3:I$42,MATCH(_xlfn.AGGREGATE(14,6,'DONNÉES BRUTES'!AB$3:AB$42+ROW('DONNÉES BRUTES'!AB$3:AB$42)/1000,7),'DONNÉES BRUTES'!AB$3:AB$42+ROW('DONNÉES BRUTES'!AB$3:AB$42)/1000,0)),"—")</f>
        <v/>
      </c>
      <c r="G10" s="108">
        <f t="array" ref="G10">IFERROR(INDEX('DONNÉES BRUTES'!J$3:J$42,MATCH(_xlfn.AGGREGATE(14,6,'DONNÉES BRUTES'!AB$3:AB$42+ROW('DONNÉES BRUTES'!AB$3:AB$42)/1000,7),'DONNÉES BRUTES'!AB$3:AB$42+ROW('DONNÉES BRUTES'!AB$3:AB$42)/1000,0)),"—")</f>
        <v/>
      </c>
      <c r="H10" s="108">
        <f t="array" ref="H10">IFERROR(INDEX('DONNÉES BRUTES'!K$3:K$42,MATCH(_xlfn.AGGREGATE(14,6,'DONNÉES BRUTES'!AB$3:AB$42+ROW('DONNÉES BRUTES'!AB$3:AB$42)/1000,7),'DONNÉES BRUTES'!AB$3:AB$42+ROW('DONNÉES BRUTES'!AB$3:AB$42)/1000,0)),"—")</f>
        <v/>
      </c>
      <c r="I10" s="108">
        <f t="array" ref="I10">IFERROR(INDEX('DONNÉES BRUTES'!M$3:M$42,MATCH(_xlfn.AGGREGATE(14,6,'DONNÉES BRUTES'!AB$3:AB$42+ROW('DONNÉES BRUTES'!AB$3:AB$42)/1000,7),'DONNÉES BRUTES'!AB$3:AB$42+ROW('DONNÉES BRUTES'!AB$3:AB$42)/1000,0)),"—")</f>
        <v/>
      </c>
      <c r="J10" s="108">
        <f t="array" ref="J10">IFERROR(INDEX('DONNÉES BRUTES'!N$3:N$42,MATCH(_xlfn.AGGREGATE(14,6,'DONNÉES BRUTES'!AB$3:AB$42+ROW('DONNÉES BRUTES'!AB$3:AB$42)/1000,7),'DONNÉES BRUTES'!AB$3:AB$42+ROW('DONNÉES BRUTES'!AB$3:AB$42)/1000,0)),"—")</f>
        <v/>
      </c>
      <c r="K10" s="108">
        <f t="array" ref="K10">IFERROR(INDEX('DONNÉES BRUTES'!U$3:U$42,MATCH(_xlfn.AGGREGATE(14,6,'DONNÉES BRUTES'!AB$3:AB$42+ROW('DONNÉES BRUTES'!AB$3:AB$42)/1000,7),'DONNÉES BRUTES'!AB$3:AB$42+ROW('DONNÉES BRUTES'!AB$3:AB$42)/1000,0)),"—")</f>
        <v/>
      </c>
      <c r="L10" s="111" t="inlineStr">
        <is>
          <t>—</t>
        </is>
      </c>
      <c r="M10" s="111">
        <f t="array" ref="M10">IFERROR(INDEX('DONNÉES BRUTES'!AD$3:AD$42,MATCH(_xlfn.AGGREGATE(14,6,'DONNÉES BRUTES'!AB$3:AB$42+ROW('DONNÉES BRUTES'!AB$3:AB$42)/1000,7),'DONNÉES BRUTES'!AB$3:AB$42+ROW('DONNÉES BRUTES'!AB$3:AB$42)/1000,0)),"—")</f>
        <v/>
      </c>
      <c r="O10" s="235">
        <f>IF(B12&lt;&gt;"—",LEFT(C12,20),"—")</f>
        <v/>
      </c>
      <c r="P10" s="235">
        <f>IF(E12&lt;&gt;"—",VALUE(LEFT(E12,FIND("/",E12)-1)),"")</f>
        <v/>
      </c>
    </row>
    <row r="11" ht="15.95" customHeight="1" thickBot="1">
      <c r="A11" s="126" t="n">
        <v>8</v>
      </c>
      <c r="B11" s="122">
        <f t="array" ref="B11">IFERROR(INDEX('DONNÉES BRUTES'!A$3:A$42,MATCH(_xlfn.AGGREGATE(14,6,'DONNÉES BRUTES'!AB$3:AB$42+ROW('DONNÉES BRUTES'!AB$3:AB$42)/1000,8),'DONNÉES BRUTES'!AB$3:AB$42+ROW('DONNÉES BRUTES'!AB$3:AB$42)/1000,0)),"—")</f>
        <v/>
      </c>
      <c r="C11" s="113">
        <f t="array" ref="C11">IFERROR(INDEX('DONNÉES BRUTES'!B$3:B$42,MATCH(_xlfn.AGGREGATE(14,6,'DONNÉES BRUTES'!AB$3:AB$42+ROW('DONNÉES BRUTES'!AB$3:AB$42)/1000,8),'DONNÉES BRUTES'!AB$3:AB$42+ROW('DONNÉES BRUTES'!AB$3:AB$42)/1000,0)),"—")</f>
        <v/>
      </c>
      <c r="D11" s="113">
        <f t="array" ref="D11">IFERROR(INDEX('DONNÉES BRUTES'!C$3:C$42,MATCH(_xlfn.AGGREGATE(14,6,'DONNÉES BRUTES'!AB$3:AB$42+ROW('DONNÉES BRUTES'!AB$3:AB$42)/1000,8),'DONNÉES BRUTES'!AB$3:AB$42+ROW('DONNÉES BRUTES'!AB$3:AB$42)/1000,0)),"—")</f>
        <v/>
      </c>
      <c r="E11" s="114">
        <f t="array" ref="E11">IFERROR(INDEX('DONNÉES BRUTES'!AB$3:AB$42,MATCH(_xlfn.AGGREGATE(14,6,'DONNÉES BRUTES'!AB$3:AB$42+ROW('DONNÉES BRUTES'!AB$3:AB$42)/1000,8),'DONNÉES BRUTES'!AB$3:AB$42+ROW('DONNÉES BRUTES'!AB$3:AB$42)/1000,0))&amp;"/100","—")</f>
        <v/>
      </c>
      <c r="F11" s="112">
        <f t="array" ref="F11">IFERROR(INDEX('DONNÉES BRUTES'!I$3:I$42,MATCH(_xlfn.AGGREGATE(14,6,'DONNÉES BRUTES'!AB$3:AB$42+ROW('DONNÉES BRUTES'!AB$3:AB$42)/1000,8),'DONNÉES BRUTES'!AB$3:AB$42+ROW('DONNÉES BRUTES'!AB$3:AB$42)/1000,0)),"—")</f>
        <v/>
      </c>
      <c r="G11" s="112">
        <f t="array" ref="G11">IFERROR(INDEX('DONNÉES BRUTES'!J$3:J$42,MATCH(_xlfn.AGGREGATE(14,6,'DONNÉES BRUTES'!AB$3:AB$42+ROW('DONNÉES BRUTES'!AB$3:AB$42)/1000,8),'DONNÉES BRUTES'!AB$3:AB$42+ROW('DONNÉES BRUTES'!AB$3:AB$42)/1000,0)),"—")</f>
        <v/>
      </c>
      <c r="H11" s="112">
        <f t="array" ref="H11">IFERROR(INDEX('DONNÉES BRUTES'!K$3:K$42,MATCH(_xlfn.AGGREGATE(14,6,'DONNÉES BRUTES'!AB$3:AB$42+ROW('DONNÉES BRUTES'!AB$3:AB$42)/1000,8),'DONNÉES BRUTES'!AB$3:AB$42+ROW('DONNÉES BRUTES'!AB$3:AB$42)/1000,0)),"—")</f>
        <v/>
      </c>
      <c r="I11" s="112">
        <f t="array" ref="I11">IFERROR(INDEX('DONNÉES BRUTES'!M$3:M$42,MATCH(_xlfn.AGGREGATE(14,6,'DONNÉES BRUTES'!AB$3:AB$42+ROW('DONNÉES BRUTES'!AB$3:AB$42)/1000,8),'DONNÉES BRUTES'!AB$3:AB$42+ROW('DONNÉES BRUTES'!AB$3:AB$42)/1000,0)),"—")</f>
        <v/>
      </c>
      <c r="J11" s="112">
        <f t="array" ref="J11">IFERROR(INDEX('DONNÉES BRUTES'!N$3:N$42,MATCH(_xlfn.AGGREGATE(14,6,'DONNÉES BRUTES'!AB$3:AB$42+ROW('DONNÉES BRUTES'!AB$3:AB$42)/1000,8),'DONNÉES BRUTES'!AB$3:AB$42+ROW('DONNÉES BRUTES'!AB$3:AB$42)/1000,0)),"—")</f>
        <v/>
      </c>
      <c r="K11" s="112">
        <f t="array" ref="K11">IFERROR(INDEX('DONNÉES BRUTES'!U$3:U$42,MATCH(_xlfn.AGGREGATE(14,6,'DONNÉES BRUTES'!AB$3:AB$42+ROW('DONNÉES BRUTES'!AB$3:AB$42)/1000,8),'DONNÉES BRUTES'!AB$3:AB$42+ROW('DONNÉES BRUTES'!AB$3:AB$42)/1000,0)),"—")</f>
        <v/>
      </c>
      <c r="L11" s="115" t="inlineStr">
        <is>
          <t>—</t>
        </is>
      </c>
      <c r="M11" s="115">
        <f t="array" ref="M11">IFERROR(INDEX('DONNÉES BRUTES'!AD$3:AD$42,MATCH(_xlfn.AGGREGATE(14,6,'DONNÉES BRUTES'!AB$3:AB$42+ROW('DONNÉES BRUTES'!AB$3:AB$42)/1000,8),'DONNÉES BRUTES'!AB$3:AB$42+ROW('DONNÉES BRUTES'!AB$3:AB$42)/1000,0)),"—")</f>
        <v/>
      </c>
      <c r="O11" s="235">
        <f>IF(B13&lt;&gt;"—",LEFT(C13,20),"—")</f>
        <v/>
      </c>
      <c r="P11" s="235">
        <f>IF(E13&lt;&gt;"—",VALUE(LEFT(E13,FIND("/",E13)-1)),"")</f>
        <v/>
      </c>
    </row>
    <row r="12" ht="15.95" customHeight="1" thickBot="1">
      <c r="A12" s="125" t="n">
        <v>9</v>
      </c>
      <c r="B12" s="121">
        <f t="array" ref="B12">IFERROR(INDEX('DONNÉES BRUTES'!A$3:A$42,MATCH(_xlfn.AGGREGATE(14,6,'DONNÉES BRUTES'!AB$3:AB$42+ROW('DONNÉES BRUTES'!AB$3:AB$42)/1000,9),'DONNÉES BRUTES'!AB$3:AB$42+ROW('DONNÉES BRUTES'!AB$3:AB$42)/1000,0)),"—")</f>
        <v/>
      </c>
      <c r="C12" s="109">
        <f t="array" ref="C12">IFERROR(INDEX('DONNÉES BRUTES'!B$3:B$42,MATCH(_xlfn.AGGREGATE(14,6,'DONNÉES BRUTES'!AB$3:AB$42+ROW('DONNÉES BRUTES'!AB$3:AB$42)/1000,9),'DONNÉES BRUTES'!AB$3:AB$42+ROW('DONNÉES BRUTES'!AB$3:AB$42)/1000,0)),"—")</f>
        <v/>
      </c>
      <c r="D12" s="109">
        <f t="array" ref="D12">IFERROR(INDEX('DONNÉES BRUTES'!C$3:C$42,MATCH(_xlfn.AGGREGATE(14,6,'DONNÉES BRUTES'!AB$3:AB$42+ROW('DONNÉES BRUTES'!AB$3:AB$42)/1000,9),'DONNÉES BRUTES'!AB$3:AB$42+ROW('DONNÉES BRUTES'!AB$3:AB$42)/1000,0)),"—")</f>
        <v/>
      </c>
      <c r="E12" s="110">
        <f t="array" ref="E12">IFERROR(INDEX('DONNÉES BRUTES'!AB$3:AB$42,MATCH(_xlfn.AGGREGATE(14,6,'DONNÉES BRUTES'!AB$3:AB$42+ROW('DONNÉES BRUTES'!AB$3:AB$42)/1000,9),'DONNÉES BRUTES'!AB$3:AB$42+ROW('DONNÉES BRUTES'!AB$3:AB$42)/1000,0))&amp;"/100","—")</f>
        <v/>
      </c>
      <c r="F12" s="108">
        <f t="array" ref="F12">IFERROR(INDEX('DONNÉES BRUTES'!I$3:I$42,MATCH(_xlfn.AGGREGATE(14,6,'DONNÉES BRUTES'!AB$3:AB$42+ROW('DONNÉES BRUTES'!AB$3:AB$42)/1000,9),'DONNÉES BRUTES'!AB$3:AB$42+ROW('DONNÉES BRUTES'!AB$3:AB$42)/1000,0)),"—")</f>
        <v/>
      </c>
      <c r="G12" s="108">
        <f t="array" ref="G12">IFERROR(INDEX('DONNÉES BRUTES'!J$3:J$42,MATCH(_xlfn.AGGREGATE(14,6,'DONNÉES BRUTES'!AB$3:AB$42+ROW('DONNÉES BRUTES'!AB$3:AB$42)/1000,9),'DONNÉES BRUTES'!AB$3:AB$42+ROW('DONNÉES BRUTES'!AB$3:AB$42)/1000,0)),"—")</f>
        <v/>
      </c>
      <c r="H12" s="108">
        <f t="array" ref="H12">IFERROR(INDEX('DONNÉES BRUTES'!K$3:K$42,MATCH(_xlfn.AGGREGATE(14,6,'DONNÉES BRUTES'!AB$3:AB$42+ROW('DONNÉES BRUTES'!AB$3:AB$42)/1000,9),'DONNÉES BRUTES'!AB$3:AB$42+ROW('DONNÉES BRUTES'!AB$3:AB$42)/1000,0)),"—")</f>
        <v/>
      </c>
      <c r="I12" s="108">
        <f t="array" ref="I12">IFERROR(INDEX('DONNÉES BRUTES'!M$3:M$42,MATCH(_xlfn.AGGREGATE(14,6,'DONNÉES BRUTES'!AB$3:AB$42+ROW('DONNÉES BRUTES'!AB$3:AB$42)/1000,9),'DONNÉES BRUTES'!AB$3:AB$42+ROW('DONNÉES BRUTES'!AB$3:AB$42)/1000,0)),"—")</f>
        <v/>
      </c>
      <c r="J12" s="108">
        <f t="array" ref="J12">IFERROR(INDEX('DONNÉES BRUTES'!N$3:N$42,MATCH(_xlfn.AGGREGATE(14,6,'DONNÉES BRUTES'!AB$3:AB$42+ROW('DONNÉES BRUTES'!AB$3:AB$42)/1000,9),'DONNÉES BRUTES'!AB$3:AB$42+ROW('DONNÉES BRUTES'!AB$3:AB$42)/1000,0)),"—")</f>
        <v/>
      </c>
      <c r="K12" s="108">
        <f t="array" ref="K12">IFERROR(INDEX('DONNÉES BRUTES'!U$3:U$42,MATCH(_xlfn.AGGREGATE(14,6,'DONNÉES BRUTES'!AB$3:AB$42+ROW('DONNÉES BRUTES'!AB$3:AB$42)/1000,9),'DONNÉES BRUTES'!AB$3:AB$42+ROW('DONNÉES BRUTES'!AB$3:AB$42)/1000,0)),"—")</f>
        <v/>
      </c>
      <c r="L12" s="111" t="inlineStr">
        <is>
          <t>—</t>
        </is>
      </c>
      <c r="M12" s="111">
        <f t="array" ref="M12">IFERROR(INDEX('DONNÉES BRUTES'!AD$3:AD$42,MATCH(_xlfn.AGGREGATE(14,6,'DONNÉES BRUTES'!AB$3:AB$42+ROW('DONNÉES BRUTES'!AB$3:AB$42)/1000,9),'DONNÉES BRUTES'!AB$3:AB$42+ROW('DONNÉES BRUTES'!AB$3:AB$42)/1000,0)),"—")</f>
        <v/>
      </c>
      <c r="O12" s="235">
        <f>IF(B14&lt;&gt;"—",LEFT(C14,20),"—")</f>
        <v/>
      </c>
      <c r="P12" s="235">
        <f>IF(E14&lt;&gt;"—",VALUE(LEFT(E14,FIND("/",E14)-1)),"")</f>
        <v/>
      </c>
    </row>
    <row r="13" ht="15.95" customHeight="1" thickBot="1">
      <c r="A13" s="126" t="n">
        <v>10</v>
      </c>
      <c r="B13" s="122">
        <f t="array" ref="B13">IFERROR(INDEX('DONNÉES BRUTES'!A$3:A$42,MATCH(_xlfn.AGGREGATE(14,6,'DONNÉES BRUTES'!AB$3:AB$42+ROW('DONNÉES BRUTES'!AB$3:AB$42)/1000,10),'DONNÉES BRUTES'!AB$3:AB$42+ROW('DONNÉES BRUTES'!AB$3:AB$42)/1000,0)),"—")</f>
        <v/>
      </c>
      <c r="C13" s="113">
        <f t="array" ref="C13">IFERROR(INDEX('DONNÉES BRUTES'!B$3:B$42,MATCH(_xlfn.AGGREGATE(14,6,'DONNÉES BRUTES'!AB$3:AB$42+ROW('DONNÉES BRUTES'!AB$3:AB$42)/1000,10),'DONNÉES BRUTES'!AB$3:AB$42+ROW('DONNÉES BRUTES'!AB$3:AB$42)/1000,0)),"—")</f>
        <v/>
      </c>
      <c r="D13" s="113">
        <f t="array" ref="D13">IFERROR(INDEX('DONNÉES BRUTES'!C$3:C$42,MATCH(_xlfn.AGGREGATE(14,6,'DONNÉES BRUTES'!AB$3:AB$42+ROW('DONNÉES BRUTES'!AB$3:AB$42)/1000,10),'DONNÉES BRUTES'!AB$3:AB$42+ROW('DONNÉES BRUTES'!AB$3:AB$42)/1000,0)),"—")</f>
        <v/>
      </c>
      <c r="E13" s="114">
        <f t="array" ref="E13">IFERROR(INDEX('DONNÉES BRUTES'!AB$3:AB$42,MATCH(_xlfn.AGGREGATE(14,6,'DONNÉES BRUTES'!AB$3:AB$42+ROW('DONNÉES BRUTES'!AB$3:AB$42)/1000,10),'DONNÉES BRUTES'!AB$3:AB$42+ROW('DONNÉES BRUTES'!AB$3:AB$42)/1000,0))&amp;"/100","—")</f>
        <v/>
      </c>
      <c r="F13" s="112">
        <f t="array" ref="F13">IFERROR(INDEX('DONNÉES BRUTES'!I$3:I$42,MATCH(_xlfn.AGGREGATE(14,6,'DONNÉES BRUTES'!AB$3:AB$42+ROW('DONNÉES BRUTES'!AB$3:AB$42)/1000,10),'DONNÉES BRUTES'!AB$3:AB$42+ROW('DONNÉES BRUTES'!AB$3:AB$42)/1000,0)),"—")</f>
        <v/>
      </c>
      <c r="G13" s="112">
        <f t="array" ref="G13">IFERROR(INDEX('DONNÉES BRUTES'!J$3:J$42,MATCH(_xlfn.AGGREGATE(14,6,'DONNÉES BRUTES'!AB$3:AB$42+ROW('DONNÉES BRUTES'!AB$3:AB$42)/1000,10),'DONNÉES BRUTES'!AB$3:AB$42+ROW('DONNÉES BRUTES'!AB$3:AB$42)/1000,0)),"—")</f>
        <v/>
      </c>
      <c r="H13" s="112">
        <f t="array" ref="H13">IFERROR(INDEX('DONNÉES BRUTES'!K$3:K$42,MATCH(_xlfn.AGGREGATE(14,6,'DONNÉES BRUTES'!AB$3:AB$42+ROW('DONNÉES BRUTES'!AB$3:AB$42)/1000,10),'DONNÉES BRUTES'!AB$3:AB$42+ROW('DONNÉES BRUTES'!AB$3:AB$42)/1000,0)),"—")</f>
        <v/>
      </c>
      <c r="I13" s="112">
        <f t="array" ref="I13">IFERROR(INDEX('DONNÉES BRUTES'!M$3:M$42,MATCH(_xlfn.AGGREGATE(14,6,'DONNÉES BRUTES'!AB$3:AB$42+ROW('DONNÉES BRUTES'!AB$3:AB$42)/1000,10),'DONNÉES BRUTES'!AB$3:AB$42+ROW('DONNÉES BRUTES'!AB$3:AB$42)/1000,0)),"—")</f>
        <v/>
      </c>
      <c r="J13" s="112">
        <f t="array" ref="J13">IFERROR(INDEX('DONNÉES BRUTES'!N$3:N$42,MATCH(_xlfn.AGGREGATE(14,6,'DONNÉES BRUTES'!AB$3:AB$42+ROW('DONNÉES BRUTES'!AB$3:AB$42)/1000,10),'DONNÉES BRUTES'!AB$3:AB$42+ROW('DONNÉES BRUTES'!AB$3:AB$42)/1000,0)),"—")</f>
        <v/>
      </c>
      <c r="K13" s="112">
        <f t="array" ref="K13">IFERROR(INDEX('DONNÉES BRUTES'!U$3:U$42,MATCH(_xlfn.AGGREGATE(14,6,'DONNÉES BRUTES'!AB$3:AB$42+ROW('DONNÉES BRUTES'!AB$3:AB$42)/1000,10),'DONNÉES BRUTES'!AB$3:AB$42+ROW('DONNÉES BRUTES'!AB$3:AB$42)/1000,0)),"—")</f>
        <v/>
      </c>
      <c r="L13" s="115" t="inlineStr">
        <is>
          <t>—</t>
        </is>
      </c>
      <c r="M13" s="115">
        <f t="array" ref="M13">IFERROR(INDEX('DONNÉES BRUTES'!AD$3:AD$42,MATCH(_xlfn.AGGREGATE(14,6,'DONNÉES BRUTES'!AB$3:AB$42+ROW('DONNÉES BRUTES'!AB$3:AB$42)/1000,10),'DONNÉES BRUTES'!AB$3:AB$42+ROW('DONNÉES BRUTES'!AB$3:AB$42)/1000,0)),"—")</f>
        <v/>
      </c>
      <c r="O13" s="235">
        <f>IF(B15&lt;&gt;"—",LEFT(C15,20),"—")</f>
        <v/>
      </c>
      <c r="P13" s="235">
        <f>IF(E15&lt;&gt;"—",VALUE(LEFT(E15,FIND("/",E15)-1)),"")</f>
        <v/>
      </c>
    </row>
    <row r="14" ht="15.95" customHeight="1" thickBot="1">
      <c r="A14" s="125" t="n">
        <v>11</v>
      </c>
      <c r="B14" s="121">
        <f t="array" ref="B14">IFERROR(INDEX('DONNÉES BRUTES'!A$3:A$42,MATCH(_xlfn.AGGREGATE(14,6,'DONNÉES BRUTES'!AB$3:AB$42+ROW('DONNÉES BRUTES'!AB$3:AB$42)/1000,11),'DONNÉES BRUTES'!AB$3:AB$42+ROW('DONNÉES BRUTES'!AB$3:AB$42)/1000,0)),"—")</f>
        <v/>
      </c>
      <c r="C14" s="109">
        <f t="array" ref="C14">IFERROR(INDEX('DONNÉES BRUTES'!B$3:B$42,MATCH(_xlfn.AGGREGATE(14,6,'DONNÉES BRUTES'!AB$3:AB$42+ROW('DONNÉES BRUTES'!AB$3:AB$42)/1000,11),'DONNÉES BRUTES'!AB$3:AB$42+ROW('DONNÉES BRUTES'!AB$3:AB$42)/1000,0)),"—")</f>
        <v/>
      </c>
      <c r="D14" s="109">
        <f t="array" ref="D14">IFERROR(INDEX('DONNÉES BRUTES'!C$3:C$42,MATCH(_xlfn.AGGREGATE(14,6,'DONNÉES BRUTES'!AB$3:AB$42+ROW('DONNÉES BRUTES'!AB$3:AB$42)/1000,11),'DONNÉES BRUTES'!AB$3:AB$42+ROW('DONNÉES BRUTES'!AB$3:AB$42)/1000,0)),"—")</f>
        <v/>
      </c>
      <c r="E14" s="110">
        <f t="array" ref="E14">IFERROR(INDEX('DONNÉES BRUTES'!AB$3:AB$42,MATCH(_xlfn.AGGREGATE(14,6,'DONNÉES BRUTES'!AB$3:AB$42+ROW('DONNÉES BRUTES'!AB$3:AB$42)/1000,11),'DONNÉES BRUTES'!AB$3:AB$42+ROW('DONNÉES BRUTES'!AB$3:AB$42)/1000,0))&amp;"/100","—")</f>
        <v/>
      </c>
      <c r="F14" s="108">
        <f t="array" ref="F14">IFERROR(INDEX('DONNÉES BRUTES'!I$3:I$42,MATCH(_xlfn.AGGREGATE(14,6,'DONNÉES BRUTES'!AB$3:AB$42+ROW('DONNÉES BRUTES'!AB$3:AB$42)/1000,11),'DONNÉES BRUTES'!AB$3:AB$42+ROW('DONNÉES BRUTES'!AB$3:AB$42)/1000,0)),"—")</f>
        <v/>
      </c>
      <c r="G14" s="108">
        <f t="array" ref="G14">IFERROR(INDEX('DONNÉES BRUTES'!J$3:J$42,MATCH(_xlfn.AGGREGATE(14,6,'DONNÉES BRUTES'!AB$3:AB$42+ROW('DONNÉES BRUTES'!AB$3:AB$42)/1000,11),'DONNÉES BRUTES'!AB$3:AB$42+ROW('DONNÉES BRUTES'!AB$3:AB$42)/1000,0)),"—")</f>
        <v/>
      </c>
      <c r="H14" s="108">
        <f t="array" ref="H14">IFERROR(INDEX('DONNÉES BRUTES'!K$3:K$42,MATCH(_xlfn.AGGREGATE(14,6,'DONNÉES BRUTES'!AB$3:AB$42+ROW('DONNÉES BRUTES'!AB$3:AB$42)/1000,11),'DONNÉES BRUTES'!AB$3:AB$42+ROW('DONNÉES BRUTES'!AB$3:AB$42)/1000,0)),"—")</f>
        <v/>
      </c>
      <c r="I14" s="108">
        <f t="array" ref="I14">IFERROR(INDEX('DONNÉES BRUTES'!M$3:M$42,MATCH(_xlfn.AGGREGATE(14,6,'DONNÉES BRUTES'!AB$3:AB$42+ROW('DONNÉES BRUTES'!AB$3:AB$42)/1000,11),'DONNÉES BRUTES'!AB$3:AB$42+ROW('DONNÉES BRUTES'!AB$3:AB$42)/1000,0)),"—")</f>
        <v/>
      </c>
      <c r="J14" s="108">
        <f t="array" ref="J14">IFERROR(INDEX('DONNÉES BRUTES'!N$3:N$42,MATCH(_xlfn.AGGREGATE(14,6,'DONNÉES BRUTES'!AB$3:AB$42+ROW('DONNÉES BRUTES'!AB$3:AB$42)/1000,11),'DONNÉES BRUTES'!AB$3:AB$42+ROW('DONNÉES BRUTES'!AB$3:AB$42)/1000,0)),"—")</f>
        <v/>
      </c>
      <c r="K14" s="108">
        <f t="array" ref="K14">IFERROR(INDEX('DONNÉES BRUTES'!U$3:U$42,MATCH(_xlfn.AGGREGATE(14,6,'DONNÉES BRUTES'!AB$3:AB$42+ROW('DONNÉES BRUTES'!AB$3:AB$42)/1000,11),'DONNÉES BRUTES'!AB$3:AB$42+ROW('DONNÉES BRUTES'!AB$3:AB$42)/1000,0)),"—")</f>
        <v/>
      </c>
      <c r="L14" s="111" t="inlineStr">
        <is>
          <t>—</t>
        </is>
      </c>
      <c r="M14" s="111">
        <f t="array" ref="M14">IFERROR(INDEX('DONNÉES BRUTES'!AD$3:AD$42,MATCH(_xlfn.AGGREGATE(14,6,'DONNÉES BRUTES'!AB$3:AB$42+ROW('DONNÉES BRUTES'!AB$3:AB$42)/1000,11),'DONNÉES BRUTES'!AB$3:AB$42+ROW('DONNÉES BRUTES'!AB$3:AB$42)/1000,0)),"—")</f>
        <v/>
      </c>
      <c r="O14" s="235">
        <f>IF(B16&lt;&gt;"—",LEFT(C16,20),"—")</f>
        <v/>
      </c>
      <c r="P14" s="235">
        <f>IF(E16&lt;&gt;"—",VALUE(LEFT(E16,FIND("/",E16)-1)),"")</f>
        <v/>
      </c>
    </row>
    <row r="15" ht="15.95" customHeight="1" thickBot="1">
      <c r="A15" s="126" t="n">
        <v>12</v>
      </c>
      <c r="B15" s="122">
        <f t="array" ref="B15">IFERROR(INDEX('DONNÉES BRUTES'!A$3:A$42,MATCH(_xlfn.AGGREGATE(14,6,'DONNÉES BRUTES'!AB$3:AB$42+ROW('DONNÉES BRUTES'!AB$3:AB$42)/1000,12),'DONNÉES BRUTES'!AB$3:AB$42+ROW('DONNÉES BRUTES'!AB$3:AB$42)/1000,0)),"—")</f>
        <v/>
      </c>
      <c r="C15" s="113">
        <f t="array" ref="C15">IFERROR(INDEX('DONNÉES BRUTES'!B$3:B$42,MATCH(_xlfn.AGGREGATE(14,6,'DONNÉES BRUTES'!AB$3:AB$42+ROW('DONNÉES BRUTES'!AB$3:AB$42)/1000,12),'DONNÉES BRUTES'!AB$3:AB$42+ROW('DONNÉES BRUTES'!AB$3:AB$42)/1000,0)),"—")</f>
        <v/>
      </c>
      <c r="D15" s="113">
        <f t="array" ref="D15">IFERROR(INDEX('DONNÉES BRUTES'!C$3:C$42,MATCH(_xlfn.AGGREGATE(14,6,'DONNÉES BRUTES'!AB$3:AB$42+ROW('DONNÉES BRUTES'!AB$3:AB$42)/1000,12),'DONNÉES BRUTES'!AB$3:AB$42+ROW('DONNÉES BRUTES'!AB$3:AB$42)/1000,0)),"—")</f>
        <v/>
      </c>
      <c r="E15" s="114">
        <f t="array" ref="E15">IFERROR(INDEX('DONNÉES BRUTES'!AB$3:AB$42,MATCH(_xlfn.AGGREGATE(14,6,'DONNÉES BRUTES'!AB$3:AB$42+ROW('DONNÉES BRUTES'!AB$3:AB$42)/1000,12),'DONNÉES BRUTES'!AB$3:AB$42+ROW('DONNÉES BRUTES'!AB$3:AB$42)/1000,0))&amp;"/100","—")</f>
        <v/>
      </c>
      <c r="F15" s="112">
        <f t="array" ref="F15">IFERROR(INDEX('DONNÉES BRUTES'!I$3:I$42,MATCH(_xlfn.AGGREGATE(14,6,'DONNÉES BRUTES'!AB$3:AB$42+ROW('DONNÉES BRUTES'!AB$3:AB$42)/1000,12),'DONNÉES BRUTES'!AB$3:AB$42+ROW('DONNÉES BRUTES'!AB$3:AB$42)/1000,0)),"—")</f>
        <v/>
      </c>
      <c r="G15" s="112">
        <f t="array" ref="G15">IFERROR(INDEX('DONNÉES BRUTES'!J$3:J$42,MATCH(_xlfn.AGGREGATE(14,6,'DONNÉES BRUTES'!AB$3:AB$42+ROW('DONNÉES BRUTES'!AB$3:AB$42)/1000,12),'DONNÉES BRUTES'!AB$3:AB$42+ROW('DONNÉES BRUTES'!AB$3:AB$42)/1000,0)),"—")</f>
        <v/>
      </c>
      <c r="H15" s="112">
        <f t="array" ref="H15">IFERROR(INDEX('DONNÉES BRUTES'!K$3:K$42,MATCH(_xlfn.AGGREGATE(14,6,'DONNÉES BRUTES'!AB$3:AB$42+ROW('DONNÉES BRUTES'!AB$3:AB$42)/1000,12),'DONNÉES BRUTES'!AB$3:AB$42+ROW('DONNÉES BRUTES'!AB$3:AB$42)/1000,0)),"—")</f>
        <v/>
      </c>
      <c r="I15" s="112">
        <f t="array" ref="I15">IFERROR(INDEX('DONNÉES BRUTES'!M$3:M$42,MATCH(_xlfn.AGGREGATE(14,6,'DONNÉES BRUTES'!AB$3:AB$42+ROW('DONNÉES BRUTES'!AB$3:AB$42)/1000,12),'DONNÉES BRUTES'!AB$3:AB$42+ROW('DONNÉES BRUTES'!AB$3:AB$42)/1000,0)),"—")</f>
        <v/>
      </c>
      <c r="J15" s="112">
        <f t="array" ref="J15">IFERROR(INDEX('DONNÉES BRUTES'!N$3:N$42,MATCH(_xlfn.AGGREGATE(14,6,'DONNÉES BRUTES'!AB$3:AB$42+ROW('DONNÉES BRUTES'!AB$3:AB$42)/1000,12),'DONNÉES BRUTES'!AB$3:AB$42+ROW('DONNÉES BRUTES'!AB$3:AB$42)/1000,0)),"—")</f>
        <v/>
      </c>
      <c r="K15" s="112">
        <f t="array" ref="K15">IFERROR(INDEX('DONNÉES BRUTES'!U$3:U$42,MATCH(_xlfn.AGGREGATE(14,6,'DONNÉES BRUTES'!AB$3:AB$42+ROW('DONNÉES BRUTES'!AB$3:AB$42)/1000,12),'DONNÉES BRUTES'!AB$3:AB$42+ROW('DONNÉES BRUTES'!AB$3:AB$42)/1000,0)),"—")</f>
        <v/>
      </c>
      <c r="L15" s="115" t="inlineStr">
        <is>
          <t>—</t>
        </is>
      </c>
      <c r="M15" s="115">
        <f t="array" ref="M15">IFERROR(INDEX('DONNÉES BRUTES'!AD$3:AD$42,MATCH(_xlfn.AGGREGATE(14,6,'DONNÉES BRUTES'!AB$3:AB$42+ROW('DONNÉES BRUTES'!AB$3:AB$42)/1000,12),'DONNÉES BRUTES'!AB$3:AB$42+ROW('DONNÉES BRUTES'!AB$3:AB$42)/1000,0)),"—")</f>
        <v/>
      </c>
      <c r="O15" s="235">
        <f>IF(B17&lt;&gt;"—",LEFT(C17,20),"—")</f>
        <v/>
      </c>
      <c r="P15" s="235">
        <f>IF(E17&lt;&gt;"—",VALUE(LEFT(E17,FIND("/",E17)-1)),"")</f>
        <v/>
      </c>
    </row>
    <row r="16" ht="15.95" customHeight="1" thickBot="1">
      <c r="A16" s="125" t="n">
        <v>13</v>
      </c>
      <c r="B16" s="121">
        <f t="array" ref="B16">IFERROR(INDEX('DONNÉES BRUTES'!A$3:A$42,MATCH(_xlfn.AGGREGATE(14,6,'DONNÉES BRUTES'!AB$3:AB$42+ROW('DONNÉES BRUTES'!AB$3:AB$42)/1000,13),'DONNÉES BRUTES'!AB$3:AB$42+ROW('DONNÉES BRUTES'!AB$3:AB$42)/1000,0)),"—")</f>
        <v/>
      </c>
      <c r="C16" s="109">
        <f t="array" ref="C16">IFERROR(INDEX('DONNÉES BRUTES'!B$3:B$42,MATCH(_xlfn.AGGREGATE(14,6,'DONNÉES BRUTES'!AB$3:AB$42+ROW('DONNÉES BRUTES'!AB$3:AB$42)/1000,13),'DONNÉES BRUTES'!AB$3:AB$42+ROW('DONNÉES BRUTES'!AB$3:AB$42)/1000,0)),"—")</f>
        <v/>
      </c>
      <c r="D16" s="109">
        <f t="array" ref="D16">IFERROR(INDEX('DONNÉES BRUTES'!C$3:C$42,MATCH(_xlfn.AGGREGATE(14,6,'DONNÉES BRUTES'!AB$3:AB$42+ROW('DONNÉES BRUTES'!AB$3:AB$42)/1000,13),'DONNÉES BRUTES'!AB$3:AB$42+ROW('DONNÉES BRUTES'!AB$3:AB$42)/1000,0)),"—")</f>
        <v/>
      </c>
      <c r="E16" s="110">
        <f t="array" ref="E16">IFERROR(INDEX('DONNÉES BRUTES'!AB$3:AB$42,MATCH(_xlfn.AGGREGATE(14,6,'DONNÉES BRUTES'!AB$3:AB$42+ROW('DONNÉES BRUTES'!AB$3:AB$42)/1000,13),'DONNÉES BRUTES'!AB$3:AB$42+ROW('DONNÉES BRUTES'!AB$3:AB$42)/1000,0))&amp;"/100","—")</f>
        <v/>
      </c>
      <c r="F16" s="108">
        <f t="array" ref="F16">IFERROR(INDEX('DONNÉES BRUTES'!I$3:I$42,MATCH(_xlfn.AGGREGATE(14,6,'DONNÉES BRUTES'!AB$3:AB$42+ROW('DONNÉES BRUTES'!AB$3:AB$42)/1000,13),'DONNÉES BRUTES'!AB$3:AB$42+ROW('DONNÉES BRUTES'!AB$3:AB$42)/1000,0)),"—")</f>
        <v/>
      </c>
      <c r="G16" s="108">
        <f t="array" ref="G16">IFERROR(INDEX('DONNÉES BRUTES'!J$3:J$42,MATCH(_xlfn.AGGREGATE(14,6,'DONNÉES BRUTES'!AB$3:AB$42+ROW('DONNÉES BRUTES'!AB$3:AB$42)/1000,13),'DONNÉES BRUTES'!AB$3:AB$42+ROW('DONNÉES BRUTES'!AB$3:AB$42)/1000,0)),"—")</f>
        <v/>
      </c>
      <c r="H16" s="108">
        <f t="array" ref="H16">IFERROR(INDEX('DONNÉES BRUTES'!K$3:K$42,MATCH(_xlfn.AGGREGATE(14,6,'DONNÉES BRUTES'!AB$3:AB$42+ROW('DONNÉES BRUTES'!AB$3:AB$42)/1000,13),'DONNÉES BRUTES'!AB$3:AB$42+ROW('DONNÉES BRUTES'!AB$3:AB$42)/1000,0)),"—")</f>
        <v/>
      </c>
      <c r="I16" s="108">
        <f t="array" ref="I16">IFERROR(INDEX('DONNÉES BRUTES'!M$3:M$42,MATCH(_xlfn.AGGREGATE(14,6,'DONNÉES BRUTES'!AB$3:AB$42+ROW('DONNÉES BRUTES'!AB$3:AB$42)/1000,13),'DONNÉES BRUTES'!AB$3:AB$42+ROW('DONNÉES BRUTES'!AB$3:AB$42)/1000,0)),"—")</f>
        <v/>
      </c>
      <c r="J16" s="108">
        <f t="array" ref="J16">IFERROR(INDEX('DONNÉES BRUTES'!N$3:N$42,MATCH(_xlfn.AGGREGATE(14,6,'DONNÉES BRUTES'!AB$3:AB$42+ROW('DONNÉES BRUTES'!AB$3:AB$42)/1000,13),'DONNÉES BRUTES'!AB$3:AB$42+ROW('DONNÉES BRUTES'!AB$3:AB$42)/1000,0)),"—")</f>
        <v/>
      </c>
      <c r="K16" s="108">
        <f t="array" ref="K16">IFERROR(INDEX('DONNÉES BRUTES'!U$3:U$42,MATCH(_xlfn.AGGREGATE(14,6,'DONNÉES BRUTES'!AB$3:AB$42+ROW('DONNÉES BRUTES'!AB$3:AB$42)/1000,13),'DONNÉES BRUTES'!AB$3:AB$42+ROW('DONNÉES BRUTES'!AB$3:AB$42)/1000,0)),"—")</f>
        <v/>
      </c>
      <c r="L16" s="111" t="inlineStr">
        <is>
          <t>—</t>
        </is>
      </c>
      <c r="M16" s="111">
        <f t="array" ref="M16">IFERROR(INDEX('DONNÉES BRUTES'!AD$3:AD$42,MATCH(_xlfn.AGGREGATE(14,6,'DONNÉES BRUTES'!AB$3:AB$42+ROW('DONNÉES BRUTES'!AB$3:AB$42)/1000,13),'DONNÉES BRUTES'!AB$3:AB$42+ROW('DONNÉES BRUTES'!AB$3:AB$42)/1000,0)),"—")</f>
        <v/>
      </c>
      <c r="O16" s="235">
        <f>IF(B18&lt;&gt;"—",LEFT(C18,20),"—")</f>
        <v/>
      </c>
      <c r="P16" s="235">
        <f>IF(E18&lt;&gt;"—",VALUE(LEFT(E18,FIND("/",E18)-1)),"")</f>
        <v/>
      </c>
    </row>
    <row r="17" ht="15.95" customHeight="1" thickBot="1">
      <c r="A17" s="126" t="n">
        <v>14</v>
      </c>
      <c r="B17" s="122">
        <f t="array" ref="B17">IFERROR(INDEX('DONNÉES BRUTES'!A$3:A$42,MATCH(_xlfn.AGGREGATE(14,6,'DONNÉES BRUTES'!AB$3:AB$42+ROW('DONNÉES BRUTES'!AB$3:AB$42)/1000,14),'DONNÉES BRUTES'!AB$3:AB$42+ROW('DONNÉES BRUTES'!AB$3:AB$42)/1000,0)),"—")</f>
        <v/>
      </c>
      <c r="C17" s="113">
        <f t="array" ref="C17">IFERROR(INDEX('DONNÉES BRUTES'!B$3:B$42,MATCH(_xlfn.AGGREGATE(14,6,'DONNÉES BRUTES'!AB$3:AB$42+ROW('DONNÉES BRUTES'!AB$3:AB$42)/1000,14),'DONNÉES BRUTES'!AB$3:AB$42+ROW('DONNÉES BRUTES'!AB$3:AB$42)/1000,0)),"—")</f>
        <v/>
      </c>
      <c r="D17" s="113">
        <f t="array" ref="D17">IFERROR(INDEX('DONNÉES BRUTES'!C$3:C$42,MATCH(_xlfn.AGGREGATE(14,6,'DONNÉES BRUTES'!AB$3:AB$42+ROW('DONNÉES BRUTES'!AB$3:AB$42)/1000,14),'DONNÉES BRUTES'!AB$3:AB$42+ROW('DONNÉES BRUTES'!AB$3:AB$42)/1000,0)),"—")</f>
        <v/>
      </c>
      <c r="E17" s="114">
        <f t="array" ref="E17">IFERROR(INDEX('DONNÉES BRUTES'!AB$3:AB$42,MATCH(_xlfn.AGGREGATE(14,6,'DONNÉES BRUTES'!AB$3:AB$42+ROW('DONNÉES BRUTES'!AB$3:AB$42)/1000,14),'DONNÉES BRUTES'!AB$3:AB$42+ROW('DONNÉES BRUTES'!AB$3:AB$42)/1000,0))&amp;"/100","—")</f>
        <v/>
      </c>
      <c r="F17" s="112">
        <f t="array" ref="F17">IFERROR(INDEX('DONNÉES BRUTES'!I$3:I$42,MATCH(_xlfn.AGGREGATE(14,6,'DONNÉES BRUTES'!AB$3:AB$42+ROW('DONNÉES BRUTES'!AB$3:AB$42)/1000,14),'DONNÉES BRUTES'!AB$3:AB$42+ROW('DONNÉES BRUTES'!AB$3:AB$42)/1000,0)),"—")</f>
        <v/>
      </c>
      <c r="G17" s="112">
        <f t="array" ref="G17">IFERROR(INDEX('DONNÉES BRUTES'!J$3:J$42,MATCH(_xlfn.AGGREGATE(14,6,'DONNÉES BRUTES'!AB$3:AB$42+ROW('DONNÉES BRUTES'!AB$3:AB$42)/1000,14),'DONNÉES BRUTES'!AB$3:AB$42+ROW('DONNÉES BRUTES'!AB$3:AB$42)/1000,0)),"—")</f>
        <v/>
      </c>
      <c r="H17" s="112">
        <f t="array" ref="H17">IFERROR(INDEX('DONNÉES BRUTES'!K$3:K$42,MATCH(_xlfn.AGGREGATE(14,6,'DONNÉES BRUTES'!AB$3:AB$42+ROW('DONNÉES BRUTES'!AB$3:AB$42)/1000,14),'DONNÉES BRUTES'!AB$3:AB$42+ROW('DONNÉES BRUTES'!AB$3:AB$42)/1000,0)),"—")</f>
        <v/>
      </c>
      <c r="I17" s="112">
        <f t="array" ref="I17">IFERROR(INDEX('DONNÉES BRUTES'!M$3:M$42,MATCH(_xlfn.AGGREGATE(14,6,'DONNÉES BRUTES'!AB$3:AB$42+ROW('DONNÉES BRUTES'!AB$3:AB$42)/1000,14),'DONNÉES BRUTES'!AB$3:AB$42+ROW('DONNÉES BRUTES'!AB$3:AB$42)/1000,0)),"—")</f>
        <v/>
      </c>
      <c r="J17" s="112">
        <f t="array" ref="J17">IFERROR(INDEX('DONNÉES BRUTES'!N$3:N$42,MATCH(_xlfn.AGGREGATE(14,6,'DONNÉES BRUTES'!AB$3:AB$42+ROW('DONNÉES BRUTES'!AB$3:AB$42)/1000,14),'DONNÉES BRUTES'!AB$3:AB$42+ROW('DONNÉES BRUTES'!AB$3:AB$42)/1000,0)),"—")</f>
        <v/>
      </c>
      <c r="K17" s="112">
        <f t="array" ref="K17">IFERROR(INDEX('DONNÉES BRUTES'!U$3:U$42,MATCH(_xlfn.AGGREGATE(14,6,'DONNÉES BRUTES'!AB$3:AB$42+ROW('DONNÉES BRUTES'!AB$3:AB$42)/1000,14),'DONNÉES BRUTES'!AB$3:AB$42+ROW('DONNÉES BRUTES'!AB$3:AB$42)/1000,0)),"—")</f>
        <v/>
      </c>
      <c r="L17" s="115" t="inlineStr">
        <is>
          <t>—</t>
        </is>
      </c>
      <c r="M17" s="115">
        <f t="array" ref="M17">IFERROR(INDEX('DONNÉES BRUTES'!AD$3:AD$42,MATCH(_xlfn.AGGREGATE(14,6,'DONNÉES BRUTES'!AB$3:AB$42+ROW('DONNÉES BRUTES'!AB$3:AB$42)/1000,14),'DONNÉES BRUTES'!AB$3:AB$42+ROW('DONNÉES BRUTES'!AB$3:AB$42)/1000,0)),"—")</f>
        <v/>
      </c>
    </row>
    <row r="18" ht="15.95" customHeight="1">
      <c r="A18" s="127" t="n">
        <v>15</v>
      </c>
      <c r="B18" s="123">
        <f t="array" ref="B18">IFERROR(INDEX('DONNÉES BRUTES'!A$3:A$42,MATCH(_xlfn.AGGREGATE(14,6,'DONNÉES BRUTES'!AB$3:AB$42+ROW('DONNÉES BRUTES'!AB$3:AB$42)/1000,15),'DONNÉES BRUTES'!AB$3:AB$42+ROW('DONNÉES BRUTES'!AB$3:AB$42)/1000,0)),"—")</f>
        <v/>
      </c>
      <c r="C18" s="117">
        <f t="array" ref="C18">IFERROR(INDEX('DONNÉES BRUTES'!B$3:B$42,MATCH(_xlfn.AGGREGATE(14,6,'DONNÉES BRUTES'!AB$3:AB$42+ROW('DONNÉES BRUTES'!AB$3:AB$42)/1000,15),'DONNÉES BRUTES'!AB$3:AB$42+ROW('DONNÉES BRUTES'!AB$3:AB$42)/1000,0)),"—")</f>
        <v/>
      </c>
      <c r="D18" s="117">
        <f t="array" ref="D18">IFERROR(INDEX('DONNÉES BRUTES'!C$3:C$42,MATCH(_xlfn.AGGREGATE(14,6,'DONNÉES BRUTES'!AB$3:AB$42+ROW('DONNÉES BRUTES'!AB$3:AB$42)/1000,15),'DONNÉES BRUTES'!AB$3:AB$42+ROW('DONNÉES BRUTES'!AB$3:AB$42)/1000,0)),"—")</f>
        <v/>
      </c>
      <c r="E18" s="118">
        <f t="array" ref="E18">IFERROR(INDEX('DONNÉES BRUTES'!AB$3:AB$42,MATCH(_xlfn.AGGREGATE(14,6,'DONNÉES BRUTES'!AB$3:AB$42+ROW('DONNÉES BRUTES'!AB$3:AB$42)/1000,15),'DONNÉES BRUTES'!AB$3:AB$42+ROW('DONNÉES BRUTES'!AB$3:AB$42)/1000,0))&amp;"/100","—")</f>
        <v/>
      </c>
      <c r="F18" s="116">
        <f t="array" ref="F18">IFERROR(INDEX('DONNÉES BRUTES'!I$3:I$42,MATCH(_xlfn.AGGREGATE(14,6,'DONNÉES BRUTES'!AB$3:AB$42+ROW('DONNÉES BRUTES'!AB$3:AB$42)/1000,15),'DONNÉES BRUTES'!AB$3:AB$42+ROW('DONNÉES BRUTES'!AB$3:AB$42)/1000,0)),"—")</f>
        <v/>
      </c>
      <c r="G18" s="116">
        <f t="array" ref="G18">IFERROR(INDEX('DONNÉES BRUTES'!J$3:J$42,MATCH(_xlfn.AGGREGATE(14,6,'DONNÉES BRUTES'!AB$3:AB$42+ROW('DONNÉES BRUTES'!AB$3:AB$42)/1000,15),'DONNÉES BRUTES'!AB$3:AB$42+ROW('DONNÉES BRUTES'!AB$3:AB$42)/1000,0)),"—")</f>
        <v/>
      </c>
      <c r="H18" s="116">
        <f t="array" ref="H18">IFERROR(INDEX('DONNÉES BRUTES'!K$3:K$42,MATCH(_xlfn.AGGREGATE(14,6,'DONNÉES BRUTES'!AB$3:AB$42+ROW('DONNÉES BRUTES'!AB$3:AB$42)/1000,15),'DONNÉES BRUTES'!AB$3:AB$42+ROW('DONNÉES BRUTES'!AB$3:AB$42)/1000,0)),"—")</f>
        <v/>
      </c>
      <c r="I18" s="116">
        <f t="array" ref="I18">IFERROR(INDEX('DONNÉES BRUTES'!M$3:M$42,MATCH(_xlfn.AGGREGATE(14,6,'DONNÉES BRUTES'!AB$3:AB$42+ROW('DONNÉES BRUTES'!AB$3:AB$42)/1000,15),'DONNÉES BRUTES'!AB$3:AB$42+ROW('DONNÉES BRUTES'!AB$3:AB$42)/1000,0)),"—")</f>
        <v/>
      </c>
      <c r="J18" s="116">
        <f t="array" ref="J18">IFERROR(INDEX('DONNÉES BRUTES'!N$3:N$42,MATCH(_xlfn.AGGREGATE(14,6,'DONNÉES BRUTES'!AB$3:AB$42+ROW('DONNÉES BRUTES'!AB$3:AB$42)/1000,15),'DONNÉES BRUTES'!AB$3:AB$42+ROW('DONNÉES BRUTES'!AB$3:AB$42)/1000,0)),"—")</f>
        <v/>
      </c>
      <c r="K18" s="116">
        <f t="array" ref="K18">IFERROR(INDEX('DONNÉES BRUTES'!U$3:U$42,MATCH(_xlfn.AGGREGATE(14,6,'DONNÉES BRUTES'!AB$3:AB$42+ROW('DONNÉES BRUTES'!AB$3:AB$42)/1000,15),'DONNÉES BRUTES'!AB$3:AB$42+ROW('DONNÉES BRUTES'!AB$3:AB$42)/1000,0)),"—")</f>
        <v/>
      </c>
      <c r="L18" s="119" t="inlineStr">
        <is>
          <t>—</t>
        </is>
      </c>
      <c r="M18" s="119">
        <f t="array" ref="M18">IFERROR(INDEX('DONNÉES BRUTES'!AD$3:AD$42,MATCH(_xlfn.AGGREGATE(14,6,'DONNÉES BRUTES'!AB$3:AB$42+ROW('DONNÉES BRUTES'!AB$3:AB$42)/1000,15),'DONNÉES BRUTES'!AB$3:AB$42+ROW('DONNÉES BRUTES'!AB$3:AB$42)/1000,0)),"—")</f>
        <v/>
      </c>
    </row>
    <row r="19" ht="15.95" customHeight="1">
      <c r="A19" s="128" t="n"/>
      <c r="B19" s="128" t="n"/>
      <c r="C19" s="128" t="n"/>
      <c r="D19" s="128" t="n"/>
      <c r="E19" s="128" t="n"/>
      <c r="F19" s="128" t="n"/>
      <c r="G19" s="128" t="n"/>
      <c r="H19" s="128" t="n"/>
      <c r="I19" s="128" t="n"/>
      <c r="J19" s="128" t="n"/>
      <c r="K19" s="128" t="n"/>
      <c r="L19" s="128" t="n"/>
      <c r="M19" s="128" t="n"/>
    </row>
    <row r="20" ht="6" customHeight="1">
      <c r="A20" s="131" t="n"/>
      <c r="B20" s="130" t="n"/>
      <c r="C20" s="130" t="n"/>
      <c r="D20" s="130" t="n"/>
      <c r="E20" s="130" t="n"/>
      <c r="F20" s="130" t="n"/>
      <c r="G20" s="130" t="n"/>
      <c r="H20" s="130" t="n"/>
      <c r="I20" s="130" t="n"/>
      <c r="J20" s="130" t="n"/>
      <c r="K20" s="130" t="n"/>
      <c r="L20" s="130" t="n"/>
      <c r="M20" s="132" t="n"/>
    </row>
    <row r="21" ht="15.95" customHeight="1">
      <c r="A21" s="143" t="n"/>
      <c r="B21" s="143" t="n"/>
      <c r="C21" s="144" t="n"/>
      <c r="D21" s="144" t="n"/>
      <c r="E21" s="144" t="n"/>
      <c r="F21" s="144" t="n"/>
      <c r="G21" s="144" t="n"/>
      <c r="H21" s="144" t="n"/>
      <c r="I21" s="144" t="n"/>
      <c r="J21" s="144" t="n"/>
      <c r="K21" s="144" t="n"/>
      <c r="L21" s="144" t="n"/>
      <c r="M21" s="144" t="n"/>
    </row>
    <row r="22" ht="15.95" customHeight="1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</row>
    <row r="23" ht="13.9" customHeight="1"/>
    <row r="24" ht="13.9" customHeight="1"/>
    <row r="25" ht="13.9" customHeight="1"/>
    <row r="26" ht="13.9" customHeight="1"/>
    <row r="27" ht="13.9" customHeight="1"/>
    <row r="28" ht="13.9" customHeight="1"/>
    <row r="29" ht="13.9" customHeight="1"/>
    <row r="30" ht="13.9" customHeight="1"/>
    <row r="31" ht="13.9" customHeight="1"/>
    <row r="32" ht="13.9" customHeight="1"/>
    <row r="33" ht="13.9" customHeight="1"/>
    <row r="34" ht="13.9" customHeight="1"/>
    <row r="35" ht="13.9" customHeight="1"/>
    <row r="36" ht="13.9" customHeight="1"/>
    <row r="37" ht="13.9" customHeight="1"/>
    <row r="38" ht="13.9" customHeight="1"/>
    <row r="39" ht="13.9" customHeight="1"/>
    <row r="40" ht="13.9" customHeight="1"/>
    <row r="41" ht="13.9" customHeight="1"/>
    <row r="42" ht="13.9" customHeight="1"/>
    <row r="44" ht="16.15" customHeight="1"/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showGridLines="0" zoomScale="83" zoomScaleNormal="100" workbookViewId="0">
      <selection activeCell="Y26" sqref="Y26"/>
    </sheetView>
  </sheetViews>
  <sheetFormatPr baseColWidth="10" defaultColWidth="8.85546875" defaultRowHeight="15"/>
  <cols>
    <col width="5.28515625" customWidth="1" min="1" max="1"/>
    <col width="9.140625" customWidth="1" min="2" max="2"/>
    <col width="26.7109375" customWidth="1" min="3" max="3"/>
    <col width="15.28515625" customWidth="1" min="4" max="4"/>
    <col width="9.140625" customWidth="1" min="5" max="5"/>
    <col width="12.42578125" customWidth="1" min="6" max="8"/>
    <col width="10.42578125" customWidth="1" min="9" max="9"/>
    <col width="12.42578125" customWidth="1" min="10" max="12"/>
    <col width="8.85546875" customWidth="1" style="235" min="14" max="16"/>
  </cols>
  <sheetData>
    <row r="1" ht="32.1" customHeight="1" thickBot="1">
      <c r="A1" s="102" t="inlineStr">
        <is>
          <t>FinSight IA  ·  Analyse GROWTH  ·  CAC 40  ·  22/03/2026</t>
        </is>
      </c>
      <c r="B1" s="102" t="n"/>
      <c r="C1" s="102" t="n"/>
      <c r="D1" s="102" t="n"/>
      <c r="E1" s="102" t="n"/>
      <c r="F1" s="102" t="n"/>
      <c r="G1" s="102" t="n"/>
      <c r="H1" s="102" t="n"/>
      <c r="I1" s="102" t="n"/>
      <c r="J1" s="102" t="n"/>
      <c r="K1" s="102" t="n"/>
      <c r="L1" s="102" t="n"/>
      <c r="O1" s="235" t="inlineStr">
        <is>
          <t>Société</t>
        </is>
      </c>
      <c r="P1" s="235" t="inlineStr">
        <is>
          <t>Score Gr</t>
        </is>
      </c>
    </row>
    <row r="2">
      <c r="A2" s="22" t="inlineStr">
        <is>
          <t>Usage confidentiel  ·  Calculs Python/NumPy depuis cache Supabase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O2" s="235">
        <f>IF(B4&lt;&gt;"—",LEFT(C4,18),"—")</f>
        <v/>
      </c>
      <c r="P2" s="235">
        <f>IF(E4&lt;&gt;"—",VALUE(LEFT(E4,FIND("/",E4)-1)),"")</f>
        <v/>
      </c>
    </row>
    <row r="3" ht="18" customHeight="1" thickBot="1">
      <c r="A3" s="124" t="inlineStr">
        <is>
          <t>Rang</t>
        </is>
      </c>
      <c r="B3" s="120" t="inlineStr">
        <is>
          <t>Ticker</t>
        </is>
      </c>
      <c r="C3" s="106" t="inlineStr">
        <is>
          <t>Société</t>
        </is>
      </c>
      <c r="D3" s="106" t="inlineStr">
        <is>
          <t>Secteur</t>
        </is>
      </c>
      <c r="E3" s="105" t="inlineStr">
        <is>
          <t>Score</t>
        </is>
      </c>
      <c r="F3" s="105" t="inlineStr">
        <is>
          <t>Croissance Rev. YoY</t>
        </is>
      </c>
      <c r="G3" s="105" t="inlineStr">
        <is>
          <t>Marge EBITDA</t>
        </is>
      </c>
      <c r="H3" s="105" t="inlineStr">
        <is>
          <t>Marge Nette</t>
        </is>
      </c>
      <c r="I3" s="105" t="inlineStr">
        <is>
          <t>ROE</t>
        </is>
      </c>
      <c r="J3" s="105" t="inlineStr">
        <is>
          <t>Croissance EPS</t>
        </is>
      </c>
      <c r="K3" s="105" t="inlineStr">
        <is>
          <t>Révisions Analystes</t>
        </is>
      </c>
      <c r="L3" s="107" t="inlineStr">
        <is>
          <t>Signal</t>
        </is>
      </c>
      <c r="O3" s="235">
        <f>IF(B5&lt;&gt;"—",LEFT(C5,18),"—")</f>
        <v/>
      </c>
      <c r="P3" s="235">
        <f>IF(E5&lt;&gt;"—",VALUE(LEFT(E5,FIND("/",E5)-1)),"")</f>
        <v/>
      </c>
    </row>
    <row r="4" ht="15.95" customHeight="1" thickBot="1">
      <c r="A4" s="125" t="n">
        <v>1</v>
      </c>
      <c r="B4" s="121">
        <f t="array" ref="B4">IFERROR(INDEX('DONNÉES BRUTES'!A$3:A$42,MATCH(_xlfn.AGGREGATE(14,6,'DONNÉES BRUTES'!Y$3:Y$42+ROW('DONNÉES BRUTES'!Y$3:Y$42)/1000,1),'DONNÉES BRUTES'!Y$3:Y$42+ROW('DONNÉES BRUTES'!Y$3:Y$42)/1000,0)),"—")</f>
        <v/>
      </c>
      <c r="C4" s="109">
        <f t="array" ref="C4">IFERROR(INDEX('DONNÉES BRUTES'!B$3:B$42,MATCH(_xlfn.AGGREGATE(14,6,'DONNÉES BRUTES'!Y$3:Y$42+ROW('DONNÉES BRUTES'!Y$3:Y$42)/1000,1),'DONNÉES BRUTES'!Y$3:Y$42+ROW('DONNÉES BRUTES'!Y$3:Y$42)/1000,0)),"—")</f>
        <v/>
      </c>
      <c r="D4" s="109">
        <f t="array" ref="D4">IFERROR(INDEX('DONNÉES BRUTES'!C$3:C$42,MATCH(_xlfn.AGGREGATE(14,6,'DONNÉES BRUTES'!Y$3:Y$42+ROW('DONNÉES BRUTES'!Y$3:Y$42)/1000,1),'DONNÉES BRUTES'!Y$3:Y$42+ROW('DONNÉES BRUTES'!Y$3:Y$42)/1000,0)),"—")</f>
        <v/>
      </c>
      <c r="E4" s="110">
        <f t="array" ref="E4">IFERROR(INDEX('DONNÉES BRUTES'!Y$3:Y$42,MATCH(_xlfn.AGGREGATE(14,6,'DONNÉES BRUTES'!Y$3:Y$42+ROW('DONNÉES BRUTES'!Y$3:Y$42)/1000,1),'DONNÉES BRUTES'!Y$3:Y$42+ROW('DONNÉES BRUTES'!Y$3:Y$42)/1000,0))&amp;"/100","—")</f>
        <v/>
      </c>
      <c r="F4" s="108">
        <f t="array" ref="F4">IFERROR(INDEX('DONNÉES BRUTES'!P$3:P$42,MATCH(_xlfn.AGGREGATE(14,6,'DONNÉES BRUTES'!Y$3:Y$42+ROW('DONNÉES BRUTES'!Y$3:Y$42)/1000,1),'DONNÉES BRUTES'!Y$3:Y$42+ROW('DONNÉES BRUTES'!Y$3:Y$42)/1000,0)),"—")</f>
        <v/>
      </c>
      <c r="G4" s="108">
        <f t="array" ref="G4">IFERROR(INDEX('DONNÉES BRUTES'!N$3:N$42,MATCH(_xlfn.AGGREGATE(14,6,'DONNÉES BRUTES'!Y$3:Y$42+ROW('DONNÉES BRUTES'!Y$3:Y$42)/1000,1),'DONNÉES BRUTES'!Y$3:Y$42+ROW('DONNÉES BRUTES'!Y$3:Y$42)/1000,0)),"—")</f>
        <v/>
      </c>
      <c r="H4" s="108">
        <f t="array" ref="H4">IFERROR(INDEX('DONNÉES BRUTES'!O$3:O$42,MATCH(_xlfn.AGGREGATE(14,6,'DONNÉES BRUTES'!Y$3:Y$42+ROW('DONNÉES BRUTES'!Y$3:Y$42)/1000,1),'DONNÉES BRUTES'!Y$3:Y$42+ROW('DONNÉES BRUTES'!Y$3:Y$42)/1000,0)),"—")</f>
        <v/>
      </c>
      <c r="I4" s="108">
        <f t="array" ref="I4">IFERROR(INDEX('DONNÉES BRUTES'!Q$3:Q$42,MATCH(_xlfn.AGGREGATE(14,6,'DONNÉES BRUTES'!Y$3:Y$42+ROW('DONNÉES BRUTES'!Y$3:Y$42)/1000,1),'DONNÉES BRUTES'!Y$3:Y$42+ROW('DONNÉES BRUTES'!Y$3:Y$42)/1000,0)),"—")</f>
        <v/>
      </c>
      <c r="J4" s="108" t="inlineStr">
        <is>
          <t>—</t>
        </is>
      </c>
      <c r="K4" s="108" t="inlineStr">
        <is>
          <t>—</t>
        </is>
      </c>
      <c r="L4" s="111">
        <f t="array" ref="L4">IFERROR(INDEX('DONNÉES BRUTES'!AD$3:AD$42,MATCH(_xlfn.AGGREGATE(14,6,'DONNÉES BRUTES'!Y$3:Y$42+ROW('DONNÉES BRUTES'!Y$3:Y$42)/1000,1),'DONNÉES BRUTES'!Y$3:Y$42+ROW('DONNÉES BRUTES'!Y$3:Y$42)/1000,0)),"—")</f>
        <v/>
      </c>
      <c r="O4" s="235">
        <f>IF(B6&lt;&gt;"—",LEFT(C6,18),"—")</f>
        <v/>
      </c>
      <c r="P4" s="235">
        <f>IF(E6&lt;&gt;"—",VALUE(LEFT(E6,FIND("/",E6)-1)),"")</f>
        <v/>
      </c>
    </row>
    <row r="5" ht="15.95" customHeight="1" thickBot="1">
      <c r="A5" s="126" t="n">
        <v>2</v>
      </c>
      <c r="B5" s="122">
        <f t="array" ref="B5">IFERROR(INDEX('DONNÉES BRUTES'!A$3:A$42,MATCH(_xlfn.AGGREGATE(14,6,'DONNÉES BRUTES'!Y$3:Y$42+ROW('DONNÉES BRUTES'!Y$3:Y$42)/1000,2),'DONNÉES BRUTES'!Y$3:Y$42+ROW('DONNÉES BRUTES'!Y$3:Y$42)/1000,0)),"—")</f>
        <v/>
      </c>
      <c r="C5" s="113">
        <f t="array" ref="C5">IFERROR(INDEX('DONNÉES BRUTES'!B$3:B$42,MATCH(_xlfn.AGGREGATE(14,6,'DONNÉES BRUTES'!Y$3:Y$42+ROW('DONNÉES BRUTES'!Y$3:Y$42)/1000,2),'DONNÉES BRUTES'!Y$3:Y$42+ROW('DONNÉES BRUTES'!Y$3:Y$42)/1000,0)),"—")</f>
        <v/>
      </c>
      <c r="D5" s="113">
        <f t="array" ref="D5">IFERROR(INDEX('DONNÉES BRUTES'!C$3:C$42,MATCH(_xlfn.AGGREGATE(14,6,'DONNÉES BRUTES'!Y$3:Y$42+ROW('DONNÉES BRUTES'!Y$3:Y$42)/1000,2),'DONNÉES BRUTES'!Y$3:Y$42+ROW('DONNÉES BRUTES'!Y$3:Y$42)/1000,0)),"—")</f>
        <v/>
      </c>
      <c r="E5" s="114">
        <f t="array" ref="E5">IFERROR(INDEX('DONNÉES BRUTES'!Y$3:Y$42,MATCH(_xlfn.AGGREGATE(14,6,'DONNÉES BRUTES'!Y$3:Y$42+ROW('DONNÉES BRUTES'!Y$3:Y$42)/1000,2),'DONNÉES BRUTES'!Y$3:Y$42+ROW('DONNÉES BRUTES'!Y$3:Y$42)/1000,0))&amp;"/100","—")</f>
        <v/>
      </c>
      <c r="F5" s="112">
        <f t="array" ref="F5">IFERROR(INDEX('DONNÉES BRUTES'!P$3:P$42,MATCH(_xlfn.AGGREGATE(14,6,'DONNÉES BRUTES'!Y$3:Y$42+ROW('DONNÉES BRUTES'!Y$3:Y$42)/1000,2),'DONNÉES BRUTES'!Y$3:Y$42+ROW('DONNÉES BRUTES'!Y$3:Y$42)/1000,0)),"—")</f>
        <v/>
      </c>
      <c r="G5" s="112">
        <f t="array" ref="G5">IFERROR(INDEX('DONNÉES BRUTES'!N$3:N$42,MATCH(_xlfn.AGGREGATE(14,6,'DONNÉES BRUTES'!Y$3:Y$42+ROW('DONNÉES BRUTES'!Y$3:Y$42)/1000,2),'DONNÉES BRUTES'!Y$3:Y$42+ROW('DONNÉES BRUTES'!Y$3:Y$42)/1000,0)),"—")</f>
        <v/>
      </c>
      <c r="H5" s="112">
        <f t="array" ref="H5">IFERROR(INDEX('DONNÉES BRUTES'!O$3:O$42,MATCH(_xlfn.AGGREGATE(14,6,'DONNÉES BRUTES'!Y$3:Y$42+ROW('DONNÉES BRUTES'!Y$3:Y$42)/1000,2),'DONNÉES BRUTES'!Y$3:Y$42+ROW('DONNÉES BRUTES'!Y$3:Y$42)/1000,0)),"—")</f>
        <v/>
      </c>
      <c r="I5" s="112">
        <f t="array" ref="I5">IFERROR(INDEX('DONNÉES BRUTES'!Q$3:Q$42,MATCH(_xlfn.AGGREGATE(14,6,'DONNÉES BRUTES'!Y$3:Y$42+ROW('DONNÉES BRUTES'!Y$3:Y$42)/1000,2),'DONNÉES BRUTES'!Y$3:Y$42+ROW('DONNÉES BRUTES'!Y$3:Y$42)/1000,0)),"—")</f>
        <v/>
      </c>
      <c r="J5" s="112" t="inlineStr">
        <is>
          <t>—</t>
        </is>
      </c>
      <c r="K5" s="112" t="inlineStr">
        <is>
          <t>—</t>
        </is>
      </c>
      <c r="L5" s="115">
        <f t="array" ref="L5">IFERROR(INDEX('DONNÉES BRUTES'!AD$3:AD$42,MATCH(_xlfn.AGGREGATE(14,6,'DONNÉES BRUTES'!Y$3:Y$42+ROW('DONNÉES BRUTES'!Y$3:Y$42)/1000,2),'DONNÉES BRUTES'!Y$3:Y$42+ROW('DONNÉES BRUTES'!Y$3:Y$42)/1000,0)),"—")</f>
        <v/>
      </c>
      <c r="O5" s="235">
        <f>IF(B7&lt;&gt;"—",LEFT(C7,18),"—")</f>
        <v/>
      </c>
      <c r="P5" s="235">
        <f>IF(E7&lt;&gt;"—",VALUE(LEFT(E7,FIND("/",E7)-1)),"")</f>
        <v/>
      </c>
    </row>
    <row r="6" ht="15.95" customHeight="1" thickBot="1">
      <c r="A6" s="125" t="n">
        <v>3</v>
      </c>
      <c r="B6" s="121">
        <f t="array" ref="B6">IFERROR(INDEX('DONNÉES BRUTES'!A$3:A$42,MATCH(_xlfn.AGGREGATE(14,6,'DONNÉES BRUTES'!Y$3:Y$42+ROW('DONNÉES BRUTES'!Y$3:Y$42)/1000,3),'DONNÉES BRUTES'!Y$3:Y$42+ROW('DONNÉES BRUTES'!Y$3:Y$42)/1000,0)),"—")</f>
        <v/>
      </c>
      <c r="C6" s="109">
        <f t="array" ref="C6">IFERROR(INDEX('DONNÉES BRUTES'!B$3:B$42,MATCH(_xlfn.AGGREGATE(14,6,'DONNÉES BRUTES'!Y$3:Y$42+ROW('DONNÉES BRUTES'!Y$3:Y$42)/1000,3),'DONNÉES BRUTES'!Y$3:Y$42+ROW('DONNÉES BRUTES'!Y$3:Y$42)/1000,0)),"—")</f>
        <v/>
      </c>
      <c r="D6" s="109">
        <f t="array" ref="D6">IFERROR(INDEX('DONNÉES BRUTES'!C$3:C$42,MATCH(_xlfn.AGGREGATE(14,6,'DONNÉES BRUTES'!Y$3:Y$42+ROW('DONNÉES BRUTES'!Y$3:Y$42)/1000,3),'DONNÉES BRUTES'!Y$3:Y$42+ROW('DONNÉES BRUTES'!Y$3:Y$42)/1000,0)),"—")</f>
        <v/>
      </c>
      <c r="E6" s="110">
        <f t="array" ref="E6">IFERROR(INDEX('DONNÉES BRUTES'!Y$3:Y$42,MATCH(_xlfn.AGGREGATE(14,6,'DONNÉES BRUTES'!Y$3:Y$42+ROW('DONNÉES BRUTES'!Y$3:Y$42)/1000,3),'DONNÉES BRUTES'!Y$3:Y$42+ROW('DONNÉES BRUTES'!Y$3:Y$42)/1000,0))&amp;"/100","—")</f>
        <v/>
      </c>
      <c r="F6" s="108">
        <f t="array" ref="F6">IFERROR(INDEX('DONNÉES BRUTES'!P$3:P$42,MATCH(_xlfn.AGGREGATE(14,6,'DONNÉES BRUTES'!Y$3:Y$42+ROW('DONNÉES BRUTES'!Y$3:Y$42)/1000,3),'DONNÉES BRUTES'!Y$3:Y$42+ROW('DONNÉES BRUTES'!Y$3:Y$42)/1000,0)),"—")</f>
        <v/>
      </c>
      <c r="G6" s="108">
        <f t="array" ref="G6">IFERROR(INDEX('DONNÉES BRUTES'!N$3:N$42,MATCH(_xlfn.AGGREGATE(14,6,'DONNÉES BRUTES'!Y$3:Y$42+ROW('DONNÉES BRUTES'!Y$3:Y$42)/1000,3),'DONNÉES BRUTES'!Y$3:Y$42+ROW('DONNÉES BRUTES'!Y$3:Y$42)/1000,0)),"—")</f>
        <v/>
      </c>
      <c r="H6" s="108">
        <f t="array" ref="H6">IFERROR(INDEX('DONNÉES BRUTES'!O$3:O$42,MATCH(_xlfn.AGGREGATE(14,6,'DONNÉES BRUTES'!Y$3:Y$42+ROW('DONNÉES BRUTES'!Y$3:Y$42)/1000,3),'DONNÉES BRUTES'!Y$3:Y$42+ROW('DONNÉES BRUTES'!Y$3:Y$42)/1000,0)),"—")</f>
        <v/>
      </c>
      <c r="I6" s="108">
        <f t="array" ref="I6">IFERROR(INDEX('DONNÉES BRUTES'!Q$3:Q$42,MATCH(_xlfn.AGGREGATE(14,6,'DONNÉES BRUTES'!Y$3:Y$42+ROW('DONNÉES BRUTES'!Y$3:Y$42)/1000,3),'DONNÉES BRUTES'!Y$3:Y$42+ROW('DONNÉES BRUTES'!Y$3:Y$42)/1000,0)),"—")</f>
        <v/>
      </c>
      <c r="J6" s="108" t="inlineStr">
        <is>
          <t>—</t>
        </is>
      </c>
      <c r="K6" s="108" t="inlineStr">
        <is>
          <t>—</t>
        </is>
      </c>
      <c r="L6" s="111">
        <f t="array" ref="L6">IFERROR(INDEX('DONNÉES BRUTES'!AD$3:AD$42,MATCH(_xlfn.AGGREGATE(14,6,'DONNÉES BRUTES'!Y$3:Y$42+ROW('DONNÉES BRUTES'!Y$3:Y$42)/1000,3),'DONNÉES BRUTES'!Y$3:Y$42+ROW('DONNÉES BRUTES'!Y$3:Y$42)/1000,0)),"—")</f>
        <v/>
      </c>
      <c r="O6" s="235">
        <f>IF(B8&lt;&gt;"—",LEFT(C8,18),"—")</f>
        <v/>
      </c>
      <c r="P6" s="235">
        <f>IF(E8&lt;&gt;"—",VALUE(LEFT(E8,FIND("/",E8)-1)),"")</f>
        <v/>
      </c>
    </row>
    <row r="7" ht="15.95" customHeight="1" thickBot="1">
      <c r="A7" s="126" t="n">
        <v>4</v>
      </c>
      <c r="B7" s="122">
        <f t="array" ref="B7">IFERROR(INDEX('DONNÉES BRUTES'!A$3:A$42,MATCH(_xlfn.AGGREGATE(14,6,'DONNÉES BRUTES'!Y$3:Y$42+ROW('DONNÉES BRUTES'!Y$3:Y$42)/1000,4),'DONNÉES BRUTES'!Y$3:Y$42+ROW('DONNÉES BRUTES'!Y$3:Y$42)/1000,0)),"—")</f>
        <v/>
      </c>
      <c r="C7" s="113">
        <f t="array" ref="C7">IFERROR(INDEX('DONNÉES BRUTES'!B$3:B$42,MATCH(_xlfn.AGGREGATE(14,6,'DONNÉES BRUTES'!Y$3:Y$42+ROW('DONNÉES BRUTES'!Y$3:Y$42)/1000,4),'DONNÉES BRUTES'!Y$3:Y$42+ROW('DONNÉES BRUTES'!Y$3:Y$42)/1000,0)),"—")</f>
        <v/>
      </c>
      <c r="D7" s="113">
        <f t="array" ref="D7">IFERROR(INDEX('DONNÉES BRUTES'!C$3:C$42,MATCH(_xlfn.AGGREGATE(14,6,'DONNÉES BRUTES'!Y$3:Y$42+ROW('DONNÉES BRUTES'!Y$3:Y$42)/1000,4),'DONNÉES BRUTES'!Y$3:Y$42+ROW('DONNÉES BRUTES'!Y$3:Y$42)/1000,0)),"—")</f>
        <v/>
      </c>
      <c r="E7" s="114">
        <f t="array" ref="E7">IFERROR(INDEX('DONNÉES BRUTES'!Y$3:Y$42,MATCH(_xlfn.AGGREGATE(14,6,'DONNÉES BRUTES'!Y$3:Y$42+ROW('DONNÉES BRUTES'!Y$3:Y$42)/1000,4),'DONNÉES BRUTES'!Y$3:Y$42+ROW('DONNÉES BRUTES'!Y$3:Y$42)/1000,0))&amp;"/100","—")</f>
        <v/>
      </c>
      <c r="F7" s="112">
        <f t="array" ref="F7">IFERROR(INDEX('DONNÉES BRUTES'!P$3:P$42,MATCH(_xlfn.AGGREGATE(14,6,'DONNÉES BRUTES'!Y$3:Y$42+ROW('DONNÉES BRUTES'!Y$3:Y$42)/1000,4),'DONNÉES BRUTES'!Y$3:Y$42+ROW('DONNÉES BRUTES'!Y$3:Y$42)/1000,0)),"—")</f>
        <v/>
      </c>
      <c r="G7" s="112">
        <f t="array" ref="G7">IFERROR(INDEX('DONNÉES BRUTES'!N$3:N$42,MATCH(_xlfn.AGGREGATE(14,6,'DONNÉES BRUTES'!Y$3:Y$42+ROW('DONNÉES BRUTES'!Y$3:Y$42)/1000,4),'DONNÉES BRUTES'!Y$3:Y$42+ROW('DONNÉES BRUTES'!Y$3:Y$42)/1000,0)),"—")</f>
        <v/>
      </c>
      <c r="H7" s="112">
        <f t="array" ref="H7">IFERROR(INDEX('DONNÉES BRUTES'!O$3:O$42,MATCH(_xlfn.AGGREGATE(14,6,'DONNÉES BRUTES'!Y$3:Y$42+ROW('DONNÉES BRUTES'!Y$3:Y$42)/1000,4),'DONNÉES BRUTES'!Y$3:Y$42+ROW('DONNÉES BRUTES'!Y$3:Y$42)/1000,0)),"—")</f>
        <v/>
      </c>
      <c r="I7" s="112">
        <f t="array" ref="I7">IFERROR(INDEX('DONNÉES BRUTES'!Q$3:Q$42,MATCH(_xlfn.AGGREGATE(14,6,'DONNÉES BRUTES'!Y$3:Y$42+ROW('DONNÉES BRUTES'!Y$3:Y$42)/1000,4),'DONNÉES BRUTES'!Y$3:Y$42+ROW('DONNÉES BRUTES'!Y$3:Y$42)/1000,0)),"—")</f>
        <v/>
      </c>
      <c r="J7" s="112" t="inlineStr">
        <is>
          <t>—</t>
        </is>
      </c>
      <c r="K7" s="112" t="inlineStr">
        <is>
          <t>—</t>
        </is>
      </c>
      <c r="L7" s="115">
        <f t="array" ref="L7">IFERROR(INDEX('DONNÉES BRUTES'!AD$3:AD$42,MATCH(_xlfn.AGGREGATE(14,6,'DONNÉES BRUTES'!Y$3:Y$42+ROW('DONNÉES BRUTES'!Y$3:Y$42)/1000,4),'DONNÉES BRUTES'!Y$3:Y$42+ROW('DONNÉES BRUTES'!Y$3:Y$42)/1000,0)),"—")</f>
        <v/>
      </c>
      <c r="O7" s="235">
        <f>IF(B9&lt;&gt;"—",LEFT(C9,18),"—")</f>
        <v/>
      </c>
      <c r="P7" s="235">
        <f>IF(E9&lt;&gt;"—",VALUE(LEFT(E9,FIND("/",E9)-1)),"")</f>
        <v/>
      </c>
    </row>
    <row r="8" ht="15.95" customHeight="1" thickBot="1">
      <c r="A8" s="125" t="n">
        <v>5</v>
      </c>
      <c r="B8" s="121">
        <f t="array" ref="B8">IFERROR(INDEX('DONNÉES BRUTES'!A$3:A$42,MATCH(_xlfn.AGGREGATE(14,6,'DONNÉES BRUTES'!Y$3:Y$42+ROW('DONNÉES BRUTES'!Y$3:Y$42)/1000,5),'DONNÉES BRUTES'!Y$3:Y$42+ROW('DONNÉES BRUTES'!Y$3:Y$42)/1000,0)),"—")</f>
        <v/>
      </c>
      <c r="C8" s="109">
        <f t="array" ref="C8">IFERROR(INDEX('DONNÉES BRUTES'!B$3:B$42,MATCH(_xlfn.AGGREGATE(14,6,'DONNÉES BRUTES'!Y$3:Y$42+ROW('DONNÉES BRUTES'!Y$3:Y$42)/1000,5),'DONNÉES BRUTES'!Y$3:Y$42+ROW('DONNÉES BRUTES'!Y$3:Y$42)/1000,0)),"—")</f>
        <v/>
      </c>
      <c r="D8" s="109">
        <f t="array" ref="D8">IFERROR(INDEX('DONNÉES BRUTES'!C$3:C$42,MATCH(_xlfn.AGGREGATE(14,6,'DONNÉES BRUTES'!Y$3:Y$42+ROW('DONNÉES BRUTES'!Y$3:Y$42)/1000,5),'DONNÉES BRUTES'!Y$3:Y$42+ROW('DONNÉES BRUTES'!Y$3:Y$42)/1000,0)),"—")</f>
        <v/>
      </c>
      <c r="E8" s="110">
        <f t="array" ref="E8">IFERROR(INDEX('DONNÉES BRUTES'!Y$3:Y$42,MATCH(_xlfn.AGGREGATE(14,6,'DONNÉES BRUTES'!Y$3:Y$42+ROW('DONNÉES BRUTES'!Y$3:Y$42)/1000,5),'DONNÉES BRUTES'!Y$3:Y$42+ROW('DONNÉES BRUTES'!Y$3:Y$42)/1000,0))&amp;"/100","—")</f>
        <v/>
      </c>
      <c r="F8" s="108">
        <f t="array" ref="F8">IFERROR(INDEX('DONNÉES BRUTES'!P$3:P$42,MATCH(_xlfn.AGGREGATE(14,6,'DONNÉES BRUTES'!Y$3:Y$42+ROW('DONNÉES BRUTES'!Y$3:Y$42)/1000,5),'DONNÉES BRUTES'!Y$3:Y$42+ROW('DONNÉES BRUTES'!Y$3:Y$42)/1000,0)),"—")</f>
        <v/>
      </c>
      <c r="G8" s="108">
        <f t="array" ref="G8">IFERROR(INDEX('DONNÉES BRUTES'!N$3:N$42,MATCH(_xlfn.AGGREGATE(14,6,'DONNÉES BRUTES'!Y$3:Y$42+ROW('DONNÉES BRUTES'!Y$3:Y$42)/1000,5),'DONNÉES BRUTES'!Y$3:Y$42+ROW('DONNÉES BRUTES'!Y$3:Y$42)/1000,0)),"—")</f>
        <v/>
      </c>
      <c r="H8" s="108">
        <f t="array" ref="H8">IFERROR(INDEX('DONNÉES BRUTES'!O$3:O$42,MATCH(_xlfn.AGGREGATE(14,6,'DONNÉES BRUTES'!Y$3:Y$42+ROW('DONNÉES BRUTES'!Y$3:Y$42)/1000,5),'DONNÉES BRUTES'!Y$3:Y$42+ROW('DONNÉES BRUTES'!Y$3:Y$42)/1000,0)),"—")</f>
        <v/>
      </c>
      <c r="I8" s="108">
        <f t="array" ref="I8">IFERROR(INDEX('DONNÉES BRUTES'!Q$3:Q$42,MATCH(_xlfn.AGGREGATE(14,6,'DONNÉES BRUTES'!Y$3:Y$42+ROW('DONNÉES BRUTES'!Y$3:Y$42)/1000,5),'DONNÉES BRUTES'!Y$3:Y$42+ROW('DONNÉES BRUTES'!Y$3:Y$42)/1000,0)),"—")</f>
        <v/>
      </c>
      <c r="J8" s="108" t="inlineStr">
        <is>
          <t>—</t>
        </is>
      </c>
      <c r="K8" s="108" t="inlineStr">
        <is>
          <t>—</t>
        </is>
      </c>
      <c r="L8" s="111">
        <f t="array" ref="L8">IFERROR(INDEX('DONNÉES BRUTES'!AD$3:AD$42,MATCH(_xlfn.AGGREGATE(14,6,'DONNÉES BRUTES'!Y$3:Y$42+ROW('DONNÉES BRUTES'!Y$3:Y$42)/1000,5),'DONNÉES BRUTES'!Y$3:Y$42+ROW('DONNÉES BRUTES'!Y$3:Y$42)/1000,0)),"—")</f>
        <v/>
      </c>
      <c r="O8" s="235">
        <f>IF(B10&lt;&gt;"—",LEFT(C10,18),"—")</f>
        <v/>
      </c>
      <c r="P8" s="235">
        <f>IF(E10&lt;&gt;"—",VALUE(LEFT(E10,FIND("/",E10)-1)),"")</f>
        <v/>
      </c>
    </row>
    <row r="9" ht="15.95" customHeight="1" thickBot="1">
      <c r="A9" s="126" t="n">
        <v>6</v>
      </c>
      <c r="B9" s="122">
        <f t="array" ref="B9">IFERROR(INDEX('DONNÉES BRUTES'!A$3:A$42,MATCH(_xlfn.AGGREGATE(14,6,'DONNÉES BRUTES'!Y$3:Y$42+ROW('DONNÉES BRUTES'!Y$3:Y$42)/1000,6),'DONNÉES BRUTES'!Y$3:Y$42+ROW('DONNÉES BRUTES'!Y$3:Y$42)/1000,0)),"—")</f>
        <v/>
      </c>
      <c r="C9" s="113">
        <f t="array" ref="C9">IFERROR(INDEX('DONNÉES BRUTES'!B$3:B$42,MATCH(_xlfn.AGGREGATE(14,6,'DONNÉES BRUTES'!Y$3:Y$42+ROW('DONNÉES BRUTES'!Y$3:Y$42)/1000,6),'DONNÉES BRUTES'!Y$3:Y$42+ROW('DONNÉES BRUTES'!Y$3:Y$42)/1000,0)),"—")</f>
        <v/>
      </c>
      <c r="D9" s="113">
        <f t="array" ref="D9">IFERROR(INDEX('DONNÉES BRUTES'!C$3:C$42,MATCH(_xlfn.AGGREGATE(14,6,'DONNÉES BRUTES'!Y$3:Y$42+ROW('DONNÉES BRUTES'!Y$3:Y$42)/1000,6),'DONNÉES BRUTES'!Y$3:Y$42+ROW('DONNÉES BRUTES'!Y$3:Y$42)/1000,0)),"—")</f>
        <v/>
      </c>
      <c r="E9" s="114">
        <f t="array" ref="E9">IFERROR(INDEX('DONNÉES BRUTES'!Y$3:Y$42,MATCH(_xlfn.AGGREGATE(14,6,'DONNÉES BRUTES'!Y$3:Y$42+ROW('DONNÉES BRUTES'!Y$3:Y$42)/1000,6),'DONNÉES BRUTES'!Y$3:Y$42+ROW('DONNÉES BRUTES'!Y$3:Y$42)/1000,0))&amp;"/100","—")</f>
        <v/>
      </c>
      <c r="F9" s="112">
        <f t="array" ref="F9">IFERROR(INDEX('DONNÉES BRUTES'!P$3:P$42,MATCH(_xlfn.AGGREGATE(14,6,'DONNÉES BRUTES'!Y$3:Y$42+ROW('DONNÉES BRUTES'!Y$3:Y$42)/1000,6),'DONNÉES BRUTES'!Y$3:Y$42+ROW('DONNÉES BRUTES'!Y$3:Y$42)/1000,0)),"—")</f>
        <v/>
      </c>
      <c r="G9" s="112">
        <f t="array" ref="G9">IFERROR(INDEX('DONNÉES BRUTES'!N$3:N$42,MATCH(_xlfn.AGGREGATE(14,6,'DONNÉES BRUTES'!Y$3:Y$42+ROW('DONNÉES BRUTES'!Y$3:Y$42)/1000,6),'DONNÉES BRUTES'!Y$3:Y$42+ROW('DONNÉES BRUTES'!Y$3:Y$42)/1000,0)),"—")</f>
        <v/>
      </c>
      <c r="H9" s="112">
        <f t="array" ref="H9">IFERROR(INDEX('DONNÉES BRUTES'!O$3:O$42,MATCH(_xlfn.AGGREGATE(14,6,'DONNÉES BRUTES'!Y$3:Y$42+ROW('DONNÉES BRUTES'!Y$3:Y$42)/1000,6),'DONNÉES BRUTES'!Y$3:Y$42+ROW('DONNÉES BRUTES'!Y$3:Y$42)/1000,0)),"—")</f>
        <v/>
      </c>
      <c r="I9" s="112">
        <f t="array" ref="I9">IFERROR(INDEX('DONNÉES BRUTES'!Q$3:Q$42,MATCH(_xlfn.AGGREGATE(14,6,'DONNÉES BRUTES'!Y$3:Y$42+ROW('DONNÉES BRUTES'!Y$3:Y$42)/1000,6),'DONNÉES BRUTES'!Y$3:Y$42+ROW('DONNÉES BRUTES'!Y$3:Y$42)/1000,0)),"—")</f>
        <v/>
      </c>
      <c r="J9" s="112" t="inlineStr">
        <is>
          <t>—</t>
        </is>
      </c>
      <c r="K9" s="112" t="inlineStr">
        <is>
          <t>—</t>
        </is>
      </c>
      <c r="L9" s="115">
        <f t="array" ref="L9">IFERROR(INDEX('DONNÉES BRUTES'!AD$3:AD$42,MATCH(_xlfn.AGGREGATE(14,6,'DONNÉES BRUTES'!Y$3:Y$42+ROW('DONNÉES BRUTES'!Y$3:Y$42)/1000,6),'DONNÉES BRUTES'!Y$3:Y$42+ROW('DONNÉES BRUTES'!Y$3:Y$42)/1000,0)),"—")</f>
        <v/>
      </c>
      <c r="O9" s="235">
        <f>IF(B11&lt;&gt;"—",LEFT(C11,18),"—")</f>
        <v/>
      </c>
      <c r="P9" s="235">
        <f>IF(E11&lt;&gt;"—",VALUE(LEFT(E11,FIND("/",E11)-1)),"")</f>
        <v/>
      </c>
    </row>
    <row r="10" ht="15.95" customHeight="1" thickBot="1">
      <c r="A10" s="125" t="n">
        <v>7</v>
      </c>
      <c r="B10" s="121">
        <f t="array" ref="B10">IFERROR(INDEX('DONNÉES BRUTES'!A$3:A$42,MATCH(_xlfn.AGGREGATE(14,6,'DONNÉES BRUTES'!Y$3:Y$42+ROW('DONNÉES BRUTES'!Y$3:Y$42)/1000,7),'DONNÉES BRUTES'!Y$3:Y$42+ROW('DONNÉES BRUTES'!Y$3:Y$42)/1000,0)),"—")</f>
        <v/>
      </c>
      <c r="C10" s="109">
        <f t="array" ref="C10">IFERROR(INDEX('DONNÉES BRUTES'!B$3:B$42,MATCH(_xlfn.AGGREGATE(14,6,'DONNÉES BRUTES'!Y$3:Y$42+ROW('DONNÉES BRUTES'!Y$3:Y$42)/1000,7),'DONNÉES BRUTES'!Y$3:Y$42+ROW('DONNÉES BRUTES'!Y$3:Y$42)/1000,0)),"—")</f>
        <v/>
      </c>
      <c r="D10" s="109">
        <f t="array" ref="D10">IFERROR(INDEX('DONNÉES BRUTES'!C$3:C$42,MATCH(_xlfn.AGGREGATE(14,6,'DONNÉES BRUTES'!Y$3:Y$42+ROW('DONNÉES BRUTES'!Y$3:Y$42)/1000,7),'DONNÉES BRUTES'!Y$3:Y$42+ROW('DONNÉES BRUTES'!Y$3:Y$42)/1000,0)),"—")</f>
        <v/>
      </c>
      <c r="E10" s="110">
        <f t="array" ref="E10">IFERROR(INDEX('DONNÉES BRUTES'!Y$3:Y$42,MATCH(_xlfn.AGGREGATE(14,6,'DONNÉES BRUTES'!Y$3:Y$42+ROW('DONNÉES BRUTES'!Y$3:Y$42)/1000,7),'DONNÉES BRUTES'!Y$3:Y$42+ROW('DONNÉES BRUTES'!Y$3:Y$42)/1000,0))&amp;"/100","—")</f>
        <v/>
      </c>
      <c r="F10" s="108">
        <f t="array" ref="F10">IFERROR(INDEX('DONNÉES BRUTES'!P$3:P$42,MATCH(_xlfn.AGGREGATE(14,6,'DONNÉES BRUTES'!Y$3:Y$42+ROW('DONNÉES BRUTES'!Y$3:Y$42)/1000,7),'DONNÉES BRUTES'!Y$3:Y$42+ROW('DONNÉES BRUTES'!Y$3:Y$42)/1000,0)),"—")</f>
        <v/>
      </c>
      <c r="G10" s="108">
        <f t="array" ref="G10">IFERROR(INDEX('DONNÉES BRUTES'!N$3:N$42,MATCH(_xlfn.AGGREGATE(14,6,'DONNÉES BRUTES'!Y$3:Y$42+ROW('DONNÉES BRUTES'!Y$3:Y$42)/1000,7),'DONNÉES BRUTES'!Y$3:Y$42+ROW('DONNÉES BRUTES'!Y$3:Y$42)/1000,0)),"—")</f>
        <v/>
      </c>
      <c r="H10" s="108">
        <f t="array" ref="H10">IFERROR(INDEX('DONNÉES BRUTES'!O$3:O$42,MATCH(_xlfn.AGGREGATE(14,6,'DONNÉES BRUTES'!Y$3:Y$42+ROW('DONNÉES BRUTES'!Y$3:Y$42)/1000,7),'DONNÉES BRUTES'!Y$3:Y$42+ROW('DONNÉES BRUTES'!Y$3:Y$42)/1000,0)),"—")</f>
        <v/>
      </c>
      <c r="I10" s="108">
        <f t="array" ref="I10">IFERROR(INDEX('DONNÉES BRUTES'!Q$3:Q$42,MATCH(_xlfn.AGGREGATE(14,6,'DONNÉES BRUTES'!Y$3:Y$42+ROW('DONNÉES BRUTES'!Y$3:Y$42)/1000,7),'DONNÉES BRUTES'!Y$3:Y$42+ROW('DONNÉES BRUTES'!Y$3:Y$42)/1000,0)),"—")</f>
        <v/>
      </c>
      <c r="J10" s="108" t="inlineStr">
        <is>
          <t>—</t>
        </is>
      </c>
      <c r="K10" s="108" t="inlineStr">
        <is>
          <t>—</t>
        </is>
      </c>
      <c r="L10" s="111">
        <f t="array" ref="L10">IFERROR(INDEX('DONNÉES BRUTES'!AD$3:AD$42,MATCH(_xlfn.AGGREGATE(14,6,'DONNÉES BRUTES'!Y$3:Y$42+ROW('DONNÉES BRUTES'!Y$3:Y$42)/1000,7),'DONNÉES BRUTES'!Y$3:Y$42+ROW('DONNÉES BRUTES'!Y$3:Y$42)/1000,0)),"—")</f>
        <v/>
      </c>
      <c r="O10" s="235">
        <f>IF(B12&lt;&gt;"—",LEFT(C12,18),"—")</f>
        <v/>
      </c>
      <c r="P10" s="235">
        <f>IF(E12&lt;&gt;"—",VALUE(LEFT(E12,FIND("/",E12)-1)),"")</f>
        <v/>
      </c>
    </row>
    <row r="11" ht="15.95" customHeight="1" thickBot="1">
      <c r="A11" s="126" t="n">
        <v>8</v>
      </c>
      <c r="B11" s="122">
        <f t="array" ref="B11">IFERROR(INDEX('DONNÉES BRUTES'!A$3:A$42,MATCH(_xlfn.AGGREGATE(14,6,'DONNÉES BRUTES'!Y$3:Y$42+ROW('DONNÉES BRUTES'!Y$3:Y$42)/1000,8),'DONNÉES BRUTES'!Y$3:Y$42+ROW('DONNÉES BRUTES'!Y$3:Y$42)/1000,0)),"—")</f>
        <v/>
      </c>
      <c r="C11" s="113">
        <f t="array" ref="C11">IFERROR(INDEX('DONNÉES BRUTES'!B$3:B$42,MATCH(_xlfn.AGGREGATE(14,6,'DONNÉES BRUTES'!Y$3:Y$42+ROW('DONNÉES BRUTES'!Y$3:Y$42)/1000,8),'DONNÉES BRUTES'!Y$3:Y$42+ROW('DONNÉES BRUTES'!Y$3:Y$42)/1000,0)),"—")</f>
        <v/>
      </c>
      <c r="D11" s="113">
        <f t="array" ref="D11">IFERROR(INDEX('DONNÉES BRUTES'!C$3:C$42,MATCH(_xlfn.AGGREGATE(14,6,'DONNÉES BRUTES'!Y$3:Y$42+ROW('DONNÉES BRUTES'!Y$3:Y$42)/1000,8),'DONNÉES BRUTES'!Y$3:Y$42+ROW('DONNÉES BRUTES'!Y$3:Y$42)/1000,0)),"—")</f>
        <v/>
      </c>
      <c r="E11" s="114">
        <f t="array" ref="E11">IFERROR(INDEX('DONNÉES BRUTES'!Y$3:Y$42,MATCH(_xlfn.AGGREGATE(14,6,'DONNÉES BRUTES'!Y$3:Y$42+ROW('DONNÉES BRUTES'!Y$3:Y$42)/1000,8),'DONNÉES BRUTES'!Y$3:Y$42+ROW('DONNÉES BRUTES'!Y$3:Y$42)/1000,0))&amp;"/100","—")</f>
        <v/>
      </c>
      <c r="F11" s="112">
        <f t="array" ref="F11">IFERROR(INDEX('DONNÉES BRUTES'!P$3:P$42,MATCH(_xlfn.AGGREGATE(14,6,'DONNÉES BRUTES'!Y$3:Y$42+ROW('DONNÉES BRUTES'!Y$3:Y$42)/1000,8),'DONNÉES BRUTES'!Y$3:Y$42+ROW('DONNÉES BRUTES'!Y$3:Y$42)/1000,0)),"—")</f>
        <v/>
      </c>
      <c r="G11" s="112">
        <f t="array" ref="G11">IFERROR(INDEX('DONNÉES BRUTES'!N$3:N$42,MATCH(_xlfn.AGGREGATE(14,6,'DONNÉES BRUTES'!Y$3:Y$42+ROW('DONNÉES BRUTES'!Y$3:Y$42)/1000,8),'DONNÉES BRUTES'!Y$3:Y$42+ROW('DONNÉES BRUTES'!Y$3:Y$42)/1000,0)),"—")</f>
        <v/>
      </c>
      <c r="H11" s="112">
        <f t="array" ref="H11">IFERROR(INDEX('DONNÉES BRUTES'!O$3:O$42,MATCH(_xlfn.AGGREGATE(14,6,'DONNÉES BRUTES'!Y$3:Y$42+ROW('DONNÉES BRUTES'!Y$3:Y$42)/1000,8),'DONNÉES BRUTES'!Y$3:Y$42+ROW('DONNÉES BRUTES'!Y$3:Y$42)/1000,0)),"—")</f>
        <v/>
      </c>
      <c r="I11" s="112">
        <f t="array" ref="I11">IFERROR(INDEX('DONNÉES BRUTES'!Q$3:Q$42,MATCH(_xlfn.AGGREGATE(14,6,'DONNÉES BRUTES'!Y$3:Y$42+ROW('DONNÉES BRUTES'!Y$3:Y$42)/1000,8),'DONNÉES BRUTES'!Y$3:Y$42+ROW('DONNÉES BRUTES'!Y$3:Y$42)/1000,0)),"—")</f>
        <v/>
      </c>
      <c r="J11" s="112" t="inlineStr">
        <is>
          <t>—</t>
        </is>
      </c>
      <c r="K11" s="112" t="inlineStr">
        <is>
          <t>—</t>
        </is>
      </c>
      <c r="L11" s="115">
        <f t="array" ref="L11">IFERROR(INDEX('DONNÉES BRUTES'!AD$3:AD$42,MATCH(_xlfn.AGGREGATE(14,6,'DONNÉES BRUTES'!Y$3:Y$42+ROW('DONNÉES BRUTES'!Y$3:Y$42)/1000,8),'DONNÉES BRUTES'!Y$3:Y$42+ROW('DONNÉES BRUTES'!Y$3:Y$42)/1000,0)),"—")</f>
        <v/>
      </c>
      <c r="O11" s="235">
        <f>IF(B13&lt;&gt;"—",LEFT(C13,18),"—")</f>
        <v/>
      </c>
      <c r="P11" s="235">
        <f>IF(E13&lt;&gt;"—",VALUE(LEFT(E13,FIND("/",E13)-1)),"")</f>
        <v/>
      </c>
    </row>
    <row r="12" ht="15.95" customHeight="1" thickBot="1">
      <c r="A12" s="125" t="n">
        <v>9</v>
      </c>
      <c r="B12" s="121">
        <f t="array" ref="B12">IFERROR(INDEX('DONNÉES BRUTES'!A$3:A$42,MATCH(_xlfn.AGGREGATE(14,6,'DONNÉES BRUTES'!Y$3:Y$42+ROW('DONNÉES BRUTES'!Y$3:Y$42)/1000,9),'DONNÉES BRUTES'!Y$3:Y$42+ROW('DONNÉES BRUTES'!Y$3:Y$42)/1000,0)),"—")</f>
        <v/>
      </c>
      <c r="C12" s="109">
        <f t="array" ref="C12">IFERROR(INDEX('DONNÉES BRUTES'!B$3:B$42,MATCH(_xlfn.AGGREGATE(14,6,'DONNÉES BRUTES'!Y$3:Y$42+ROW('DONNÉES BRUTES'!Y$3:Y$42)/1000,9),'DONNÉES BRUTES'!Y$3:Y$42+ROW('DONNÉES BRUTES'!Y$3:Y$42)/1000,0)),"—")</f>
        <v/>
      </c>
      <c r="D12" s="109">
        <f t="array" ref="D12">IFERROR(INDEX('DONNÉES BRUTES'!C$3:C$42,MATCH(_xlfn.AGGREGATE(14,6,'DONNÉES BRUTES'!Y$3:Y$42+ROW('DONNÉES BRUTES'!Y$3:Y$42)/1000,9),'DONNÉES BRUTES'!Y$3:Y$42+ROW('DONNÉES BRUTES'!Y$3:Y$42)/1000,0)),"—")</f>
        <v/>
      </c>
      <c r="E12" s="110">
        <f t="array" ref="E12">IFERROR(INDEX('DONNÉES BRUTES'!Y$3:Y$42,MATCH(_xlfn.AGGREGATE(14,6,'DONNÉES BRUTES'!Y$3:Y$42+ROW('DONNÉES BRUTES'!Y$3:Y$42)/1000,9),'DONNÉES BRUTES'!Y$3:Y$42+ROW('DONNÉES BRUTES'!Y$3:Y$42)/1000,0))&amp;"/100","—")</f>
        <v/>
      </c>
      <c r="F12" s="108">
        <f t="array" ref="F12">IFERROR(INDEX('DONNÉES BRUTES'!P$3:P$42,MATCH(_xlfn.AGGREGATE(14,6,'DONNÉES BRUTES'!Y$3:Y$42+ROW('DONNÉES BRUTES'!Y$3:Y$42)/1000,9),'DONNÉES BRUTES'!Y$3:Y$42+ROW('DONNÉES BRUTES'!Y$3:Y$42)/1000,0)),"—")</f>
        <v/>
      </c>
      <c r="G12" s="108">
        <f t="array" ref="G12">IFERROR(INDEX('DONNÉES BRUTES'!N$3:N$42,MATCH(_xlfn.AGGREGATE(14,6,'DONNÉES BRUTES'!Y$3:Y$42+ROW('DONNÉES BRUTES'!Y$3:Y$42)/1000,9),'DONNÉES BRUTES'!Y$3:Y$42+ROW('DONNÉES BRUTES'!Y$3:Y$42)/1000,0)),"—")</f>
        <v/>
      </c>
      <c r="H12" s="108">
        <f t="array" ref="H12">IFERROR(INDEX('DONNÉES BRUTES'!O$3:O$42,MATCH(_xlfn.AGGREGATE(14,6,'DONNÉES BRUTES'!Y$3:Y$42+ROW('DONNÉES BRUTES'!Y$3:Y$42)/1000,9),'DONNÉES BRUTES'!Y$3:Y$42+ROW('DONNÉES BRUTES'!Y$3:Y$42)/1000,0)),"—")</f>
        <v/>
      </c>
      <c r="I12" s="108">
        <f t="array" ref="I12">IFERROR(INDEX('DONNÉES BRUTES'!Q$3:Q$42,MATCH(_xlfn.AGGREGATE(14,6,'DONNÉES BRUTES'!Y$3:Y$42+ROW('DONNÉES BRUTES'!Y$3:Y$42)/1000,9),'DONNÉES BRUTES'!Y$3:Y$42+ROW('DONNÉES BRUTES'!Y$3:Y$42)/1000,0)),"—")</f>
        <v/>
      </c>
      <c r="J12" s="108" t="inlineStr">
        <is>
          <t>—</t>
        </is>
      </c>
      <c r="K12" s="108" t="inlineStr">
        <is>
          <t>—</t>
        </is>
      </c>
      <c r="L12" s="111">
        <f t="array" ref="L12">IFERROR(INDEX('DONNÉES BRUTES'!AD$3:AD$42,MATCH(_xlfn.AGGREGATE(14,6,'DONNÉES BRUTES'!Y$3:Y$42+ROW('DONNÉES BRUTES'!Y$3:Y$42)/1000,9),'DONNÉES BRUTES'!Y$3:Y$42+ROW('DONNÉES BRUTES'!Y$3:Y$42)/1000,0)),"—")</f>
        <v/>
      </c>
    </row>
    <row r="13" ht="15.95" customHeight="1" thickBot="1">
      <c r="A13" s="126" t="n">
        <v>10</v>
      </c>
      <c r="B13" s="122">
        <f t="array" ref="B13">IFERROR(INDEX('DONNÉES BRUTES'!A$3:A$42,MATCH(_xlfn.AGGREGATE(14,6,'DONNÉES BRUTES'!Y$3:Y$42+ROW('DONNÉES BRUTES'!Y$3:Y$42)/1000,10),'DONNÉES BRUTES'!Y$3:Y$42+ROW('DONNÉES BRUTES'!Y$3:Y$42)/1000,0)),"—")</f>
        <v/>
      </c>
      <c r="C13" s="113">
        <f t="array" ref="C13">IFERROR(INDEX('DONNÉES BRUTES'!B$3:B$42,MATCH(_xlfn.AGGREGATE(14,6,'DONNÉES BRUTES'!Y$3:Y$42+ROW('DONNÉES BRUTES'!Y$3:Y$42)/1000,10),'DONNÉES BRUTES'!Y$3:Y$42+ROW('DONNÉES BRUTES'!Y$3:Y$42)/1000,0)),"—")</f>
        <v/>
      </c>
      <c r="D13" s="113">
        <f t="array" ref="D13">IFERROR(INDEX('DONNÉES BRUTES'!C$3:C$42,MATCH(_xlfn.AGGREGATE(14,6,'DONNÉES BRUTES'!Y$3:Y$42+ROW('DONNÉES BRUTES'!Y$3:Y$42)/1000,10),'DONNÉES BRUTES'!Y$3:Y$42+ROW('DONNÉES BRUTES'!Y$3:Y$42)/1000,0)),"—")</f>
        <v/>
      </c>
      <c r="E13" s="114">
        <f t="array" ref="E13">IFERROR(INDEX('DONNÉES BRUTES'!Y$3:Y$42,MATCH(_xlfn.AGGREGATE(14,6,'DONNÉES BRUTES'!Y$3:Y$42+ROW('DONNÉES BRUTES'!Y$3:Y$42)/1000,10),'DONNÉES BRUTES'!Y$3:Y$42+ROW('DONNÉES BRUTES'!Y$3:Y$42)/1000,0))&amp;"/100","—")</f>
        <v/>
      </c>
      <c r="F13" s="112">
        <f t="array" ref="F13">IFERROR(INDEX('DONNÉES BRUTES'!P$3:P$42,MATCH(_xlfn.AGGREGATE(14,6,'DONNÉES BRUTES'!Y$3:Y$42+ROW('DONNÉES BRUTES'!Y$3:Y$42)/1000,10),'DONNÉES BRUTES'!Y$3:Y$42+ROW('DONNÉES BRUTES'!Y$3:Y$42)/1000,0)),"—")</f>
        <v/>
      </c>
      <c r="G13" s="112">
        <f t="array" ref="G13">IFERROR(INDEX('DONNÉES BRUTES'!N$3:N$42,MATCH(_xlfn.AGGREGATE(14,6,'DONNÉES BRUTES'!Y$3:Y$42+ROW('DONNÉES BRUTES'!Y$3:Y$42)/1000,10),'DONNÉES BRUTES'!Y$3:Y$42+ROW('DONNÉES BRUTES'!Y$3:Y$42)/1000,0)),"—")</f>
        <v/>
      </c>
      <c r="H13" s="112">
        <f t="array" ref="H13">IFERROR(INDEX('DONNÉES BRUTES'!O$3:O$42,MATCH(_xlfn.AGGREGATE(14,6,'DONNÉES BRUTES'!Y$3:Y$42+ROW('DONNÉES BRUTES'!Y$3:Y$42)/1000,10),'DONNÉES BRUTES'!Y$3:Y$42+ROW('DONNÉES BRUTES'!Y$3:Y$42)/1000,0)),"—")</f>
        <v/>
      </c>
      <c r="I13" s="112">
        <f t="array" ref="I13">IFERROR(INDEX('DONNÉES BRUTES'!Q$3:Q$42,MATCH(_xlfn.AGGREGATE(14,6,'DONNÉES BRUTES'!Y$3:Y$42+ROW('DONNÉES BRUTES'!Y$3:Y$42)/1000,10),'DONNÉES BRUTES'!Y$3:Y$42+ROW('DONNÉES BRUTES'!Y$3:Y$42)/1000,0)),"—")</f>
        <v/>
      </c>
      <c r="J13" s="112" t="inlineStr">
        <is>
          <t>—</t>
        </is>
      </c>
      <c r="K13" s="112" t="inlineStr">
        <is>
          <t>—</t>
        </is>
      </c>
      <c r="L13" s="115">
        <f t="array" ref="L13">IFERROR(INDEX('DONNÉES BRUTES'!AD$3:AD$42,MATCH(_xlfn.AGGREGATE(14,6,'DONNÉES BRUTES'!Y$3:Y$42+ROW('DONNÉES BRUTES'!Y$3:Y$42)/1000,10),'DONNÉES BRUTES'!Y$3:Y$42+ROW('DONNÉES BRUTES'!Y$3:Y$42)/1000,0)),"—")</f>
        <v/>
      </c>
    </row>
    <row r="14" ht="15.95" customHeight="1" thickBot="1">
      <c r="A14" s="125" t="n">
        <v>11</v>
      </c>
      <c r="B14" s="121">
        <f t="array" ref="B14">IFERROR(INDEX('DONNÉES BRUTES'!A$3:A$42,MATCH(_xlfn.AGGREGATE(14,6,'DONNÉES BRUTES'!Y$3:Y$42+ROW('DONNÉES BRUTES'!Y$3:Y$42)/1000,11),'DONNÉES BRUTES'!Y$3:Y$42+ROW('DONNÉES BRUTES'!Y$3:Y$42)/1000,0)),"—")</f>
        <v/>
      </c>
      <c r="C14" s="109">
        <f t="array" ref="C14">IFERROR(INDEX('DONNÉES BRUTES'!B$3:B$42,MATCH(_xlfn.AGGREGATE(14,6,'DONNÉES BRUTES'!Y$3:Y$42+ROW('DONNÉES BRUTES'!Y$3:Y$42)/1000,11),'DONNÉES BRUTES'!Y$3:Y$42+ROW('DONNÉES BRUTES'!Y$3:Y$42)/1000,0)),"—")</f>
        <v/>
      </c>
      <c r="D14" s="109">
        <f t="array" ref="D14">IFERROR(INDEX('DONNÉES BRUTES'!C$3:C$42,MATCH(_xlfn.AGGREGATE(14,6,'DONNÉES BRUTES'!Y$3:Y$42+ROW('DONNÉES BRUTES'!Y$3:Y$42)/1000,11),'DONNÉES BRUTES'!Y$3:Y$42+ROW('DONNÉES BRUTES'!Y$3:Y$42)/1000,0)),"—")</f>
        <v/>
      </c>
      <c r="E14" s="110">
        <f t="array" ref="E14">IFERROR(INDEX('DONNÉES BRUTES'!Y$3:Y$42,MATCH(_xlfn.AGGREGATE(14,6,'DONNÉES BRUTES'!Y$3:Y$42+ROW('DONNÉES BRUTES'!Y$3:Y$42)/1000,11),'DONNÉES BRUTES'!Y$3:Y$42+ROW('DONNÉES BRUTES'!Y$3:Y$42)/1000,0))&amp;"/100","—")</f>
        <v/>
      </c>
      <c r="F14" s="108">
        <f t="array" ref="F14">IFERROR(INDEX('DONNÉES BRUTES'!P$3:P$42,MATCH(_xlfn.AGGREGATE(14,6,'DONNÉES BRUTES'!Y$3:Y$42+ROW('DONNÉES BRUTES'!Y$3:Y$42)/1000,11),'DONNÉES BRUTES'!Y$3:Y$42+ROW('DONNÉES BRUTES'!Y$3:Y$42)/1000,0)),"—")</f>
        <v/>
      </c>
      <c r="G14" s="108">
        <f t="array" ref="G14">IFERROR(INDEX('DONNÉES BRUTES'!N$3:N$42,MATCH(_xlfn.AGGREGATE(14,6,'DONNÉES BRUTES'!Y$3:Y$42+ROW('DONNÉES BRUTES'!Y$3:Y$42)/1000,11),'DONNÉES BRUTES'!Y$3:Y$42+ROW('DONNÉES BRUTES'!Y$3:Y$42)/1000,0)),"—")</f>
        <v/>
      </c>
      <c r="H14" s="108">
        <f t="array" ref="H14">IFERROR(INDEX('DONNÉES BRUTES'!O$3:O$42,MATCH(_xlfn.AGGREGATE(14,6,'DONNÉES BRUTES'!Y$3:Y$42+ROW('DONNÉES BRUTES'!Y$3:Y$42)/1000,11),'DONNÉES BRUTES'!Y$3:Y$42+ROW('DONNÉES BRUTES'!Y$3:Y$42)/1000,0)),"—")</f>
        <v/>
      </c>
      <c r="I14" s="108">
        <f t="array" ref="I14">IFERROR(INDEX('DONNÉES BRUTES'!Q$3:Q$42,MATCH(_xlfn.AGGREGATE(14,6,'DONNÉES BRUTES'!Y$3:Y$42+ROW('DONNÉES BRUTES'!Y$3:Y$42)/1000,11),'DONNÉES BRUTES'!Y$3:Y$42+ROW('DONNÉES BRUTES'!Y$3:Y$42)/1000,0)),"—")</f>
        <v/>
      </c>
      <c r="J14" s="108" t="inlineStr">
        <is>
          <t>—</t>
        </is>
      </c>
      <c r="K14" s="108" t="inlineStr">
        <is>
          <t>—</t>
        </is>
      </c>
      <c r="L14" s="111">
        <f t="array" ref="L14">IFERROR(INDEX('DONNÉES BRUTES'!AD$3:AD$42,MATCH(_xlfn.AGGREGATE(14,6,'DONNÉES BRUTES'!Y$3:Y$42+ROW('DONNÉES BRUTES'!Y$3:Y$42)/1000,11),'DONNÉES BRUTES'!Y$3:Y$42+ROW('DONNÉES BRUTES'!Y$3:Y$42)/1000,0)),"—")</f>
        <v/>
      </c>
    </row>
    <row r="15" ht="15.95" customHeight="1" thickBot="1">
      <c r="A15" s="126" t="n">
        <v>12</v>
      </c>
      <c r="B15" s="122">
        <f t="array" ref="B15">IFERROR(INDEX('DONNÉES BRUTES'!A$3:A$42,MATCH(_xlfn.AGGREGATE(14,6,'DONNÉES BRUTES'!Y$3:Y$42+ROW('DONNÉES BRUTES'!Y$3:Y$42)/1000,12),'DONNÉES BRUTES'!Y$3:Y$42+ROW('DONNÉES BRUTES'!Y$3:Y$42)/1000,0)),"—")</f>
        <v/>
      </c>
      <c r="C15" s="113">
        <f t="array" ref="C15">IFERROR(INDEX('DONNÉES BRUTES'!B$3:B$42,MATCH(_xlfn.AGGREGATE(14,6,'DONNÉES BRUTES'!Y$3:Y$42+ROW('DONNÉES BRUTES'!Y$3:Y$42)/1000,12),'DONNÉES BRUTES'!Y$3:Y$42+ROW('DONNÉES BRUTES'!Y$3:Y$42)/1000,0)),"—")</f>
        <v/>
      </c>
      <c r="D15" s="113">
        <f t="array" ref="D15">IFERROR(INDEX('DONNÉES BRUTES'!C$3:C$42,MATCH(_xlfn.AGGREGATE(14,6,'DONNÉES BRUTES'!Y$3:Y$42+ROW('DONNÉES BRUTES'!Y$3:Y$42)/1000,12),'DONNÉES BRUTES'!Y$3:Y$42+ROW('DONNÉES BRUTES'!Y$3:Y$42)/1000,0)),"—")</f>
        <v/>
      </c>
      <c r="E15" s="114">
        <f t="array" ref="E15">IFERROR(INDEX('DONNÉES BRUTES'!Y$3:Y$42,MATCH(_xlfn.AGGREGATE(14,6,'DONNÉES BRUTES'!Y$3:Y$42+ROW('DONNÉES BRUTES'!Y$3:Y$42)/1000,12),'DONNÉES BRUTES'!Y$3:Y$42+ROW('DONNÉES BRUTES'!Y$3:Y$42)/1000,0))&amp;"/100","—")</f>
        <v/>
      </c>
      <c r="F15" s="112">
        <f t="array" ref="F15">IFERROR(INDEX('DONNÉES BRUTES'!P$3:P$42,MATCH(_xlfn.AGGREGATE(14,6,'DONNÉES BRUTES'!Y$3:Y$42+ROW('DONNÉES BRUTES'!Y$3:Y$42)/1000,12),'DONNÉES BRUTES'!Y$3:Y$42+ROW('DONNÉES BRUTES'!Y$3:Y$42)/1000,0)),"—")</f>
        <v/>
      </c>
      <c r="G15" s="112">
        <f t="array" ref="G15">IFERROR(INDEX('DONNÉES BRUTES'!N$3:N$42,MATCH(_xlfn.AGGREGATE(14,6,'DONNÉES BRUTES'!Y$3:Y$42+ROW('DONNÉES BRUTES'!Y$3:Y$42)/1000,12),'DONNÉES BRUTES'!Y$3:Y$42+ROW('DONNÉES BRUTES'!Y$3:Y$42)/1000,0)),"—")</f>
        <v/>
      </c>
      <c r="H15" s="112">
        <f t="array" ref="H15">IFERROR(INDEX('DONNÉES BRUTES'!O$3:O$42,MATCH(_xlfn.AGGREGATE(14,6,'DONNÉES BRUTES'!Y$3:Y$42+ROW('DONNÉES BRUTES'!Y$3:Y$42)/1000,12),'DONNÉES BRUTES'!Y$3:Y$42+ROW('DONNÉES BRUTES'!Y$3:Y$42)/1000,0)),"—")</f>
        <v/>
      </c>
      <c r="I15" s="112">
        <f t="array" ref="I15">IFERROR(INDEX('DONNÉES BRUTES'!Q$3:Q$42,MATCH(_xlfn.AGGREGATE(14,6,'DONNÉES BRUTES'!Y$3:Y$42+ROW('DONNÉES BRUTES'!Y$3:Y$42)/1000,12),'DONNÉES BRUTES'!Y$3:Y$42+ROW('DONNÉES BRUTES'!Y$3:Y$42)/1000,0)),"—")</f>
        <v/>
      </c>
      <c r="J15" s="112" t="inlineStr">
        <is>
          <t>—</t>
        </is>
      </c>
      <c r="K15" s="112" t="inlineStr">
        <is>
          <t>—</t>
        </is>
      </c>
      <c r="L15" s="115">
        <f t="array" ref="L15">IFERROR(INDEX('DONNÉES BRUTES'!AD$3:AD$42,MATCH(_xlfn.AGGREGATE(14,6,'DONNÉES BRUTES'!Y$3:Y$42+ROW('DONNÉES BRUTES'!Y$3:Y$42)/1000,12),'DONNÉES BRUTES'!Y$3:Y$42+ROW('DONNÉES BRUTES'!Y$3:Y$42)/1000,0)),"—")</f>
        <v/>
      </c>
    </row>
    <row r="16" ht="15.95" customHeight="1" thickBot="1">
      <c r="A16" s="125" t="n">
        <v>13</v>
      </c>
      <c r="B16" s="121">
        <f t="array" ref="B16">IFERROR(INDEX('DONNÉES BRUTES'!A$3:A$42,MATCH(_xlfn.AGGREGATE(14,6,'DONNÉES BRUTES'!Y$3:Y$42+ROW('DONNÉES BRUTES'!Y$3:Y$42)/1000,13),'DONNÉES BRUTES'!Y$3:Y$42+ROW('DONNÉES BRUTES'!Y$3:Y$42)/1000,0)),"—")</f>
        <v/>
      </c>
      <c r="C16" s="109">
        <f t="array" ref="C16">IFERROR(INDEX('DONNÉES BRUTES'!B$3:B$42,MATCH(_xlfn.AGGREGATE(14,6,'DONNÉES BRUTES'!Y$3:Y$42+ROW('DONNÉES BRUTES'!Y$3:Y$42)/1000,13),'DONNÉES BRUTES'!Y$3:Y$42+ROW('DONNÉES BRUTES'!Y$3:Y$42)/1000,0)),"—")</f>
        <v/>
      </c>
      <c r="D16" s="109">
        <f t="array" ref="D16">IFERROR(INDEX('DONNÉES BRUTES'!C$3:C$42,MATCH(_xlfn.AGGREGATE(14,6,'DONNÉES BRUTES'!Y$3:Y$42+ROW('DONNÉES BRUTES'!Y$3:Y$42)/1000,13),'DONNÉES BRUTES'!Y$3:Y$42+ROW('DONNÉES BRUTES'!Y$3:Y$42)/1000,0)),"—")</f>
        <v/>
      </c>
      <c r="E16" s="110">
        <f t="array" ref="E16">IFERROR(INDEX('DONNÉES BRUTES'!Y$3:Y$42,MATCH(_xlfn.AGGREGATE(14,6,'DONNÉES BRUTES'!Y$3:Y$42+ROW('DONNÉES BRUTES'!Y$3:Y$42)/1000,13),'DONNÉES BRUTES'!Y$3:Y$42+ROW('DONNÉES BRUTES'!Y$3:Y$42)/1000,0))&amp;"/100","—")</f>
        <v/>
      </c>
      <c r="F16" s="108">
        <f t="array" ref="F16">IFERROR(INDEX('DONNÉES BRUTES'!P$3:P$42,MATCH(_xlfn.AGGREGATE(14,6,'DONNÉES BRUTES'!Y$3:Y$42+ROW('DONNÉES BRUTES'!Y$3:Y$42)/1000,13),'DONNÉES BRUTES'!Y$3:Y$42+ROW('DONNÉES BRUTES'!Y$3:Y$42)/1000,0)),"—")</f>
        <v/>
      </c>
      <c r="G16" s="108">
        <f t="array" ref="G16">IFERROR(INDEX('DONNÉES BRUTES'!N$3:N$42,MATCH(_xlfn.AGGREGATE(14,6,'DONNÉES BRUTES'!Y$3:Y$42+ROW('DONNÉES BRUTES'!Y$3:Y$42)/1000,13),'DONNÉES BRUTES'!Y$3:Y$42+ROW('DONNÉES BRUTES'!Y$3:Y$42)/1000,0)),"—")</f>
        <v/>
      </c>
      <c r="H16" s="108">
        <f t="array" ref="H16">IFERROR(INDEX('DONNÉES BRUTES'!O$3:O$42,MATCH(_xlfn.AGGREGATE(14,6,'DONNÉES BRUTES'!Y$3:Y$42+ROW('DONNÉES BRUTES'!Y$3:Y$42)/1000,13),'DONNÉES BRUTES'!Y$3:Y$42+ROW('DONNÉES BRUTES'!Y$3:Y$42)/1000,0)),"—")</f>
        <v/>
      </c>
      <c r="I16" s="108">
        <f t="array" ref="I16">IFERROR(INDEX('DONNÉES BRUTES'!Q$3:Q$42,MATCH(_xlfn.AGGREGATE(14,6,'DONNÉES BRUTES'!Y$3:Y$42+ROW('DONNÉES BRUTES'!Y$3:Y$42)/1000,13),'DONNÉES BRUTES'!Y$3:Y$42+ROW('DONNÉES BRUTES'!Y$3:Y$42)/1000,0)),"—")</f>
        <v/>
      </c>
      <c r="J16" s="108" t="inlineStr">
        <is>
          <t>—</t>
        </is>
      </c>
      <c r="K16" s="108" t="inlineStr">
        <is>
          <t>—</t>
        </is>
      </c>
      <c r="L16" s="111">
        <f t="array" ref="L16">IFERROR(INDEX('DONNÉES BRUTES'!AD$3:AD$42,MATCH(_xlfn.AGGREGATE(14,6,'DONNÉES BRUTES'!Y$3:Y$42+ROW('DONNÉES BRUTES'!Y$3:Y$42)/1000,13),'DONNÉES BRUTES'!Y$3:Y$42+ROW('DONNÉES BRUTES'!Y$3:Y$42)/1000,0)),"—")</f>
        <v/>
      </c>
    </row>
    <row r="17" ht="15.95" customHeight="1" thickBot="1">
      <c r="A17" s="126" t="n">
        <v>14</v>
      </c>
      <c r="B17" s="122">
        <f t="array" ref="B17">IFERROR(INDEX('DONNÉES BRUTES'!A$3:A$42,MATCH(_xlfn.AGGREGATE(14,6,'DONNÉES BRUTES'!Y$3:Y$42+ROW('DONNÉES BRUTES'!Y$3:Y$42)/1000,14),'DONNÉES BRUTES'!Y$3:Y$42+ROW('DONNÉES BRUTES'!Y$3:Y$42)/1000,0)),"—")</f>
        <v/>
      </c>
      <c r="C17" s="113">
        <f t="array" ref="C17">IFERROR(INDEX('DONNÉES BRUTES'!B$3:B$42,MATCH(_xlfn.AGGREGATE(14,6,'DONNÉES BRUTES'!Y$3:Y$42+ROW('DONNÉES BRUTES'!Y$3:Y$42)/1000,14),'DONNÉES BRUTES'!Y$3:Y$42+ROW('DONNÉES BRUTES'!Y$3:Y$42)/1000,0)),"—")</f>
        <v/>
      </c>
      <c r="D17" s="113">
        <f t="array" ref="D17">IFERROR(INDEX('DONNÉES BRUTES'!C$3:C$42,MATCH(_xlfn.AGGREGATE(14,6,'DONNÉES BRUTES'!Y$3:Y$42+ROW('DONNÉES BRUTES'!Y$3:Y$42)/1000,14),'DONNÉES BRUTES'!Y$3:Y$42+ROW('DONNÉES BRUTES'!Y$3:Y$42)/1000,0)),"—")</f>
        <v/>
      </c>
      <c r="E17" s="114">
        <f t="array" ref="E17">IFERROR(INDEX('DONNÉES BRUTES'!Y$3:Y$42,MATCH(_xlfn.AGGREGATE(14,6,'DONNÉES BRUTES'!Y$3:Y$42+ROW('DONNÉES BRUTES'!Y$3:Y$42)/1000,14),'DONNÉES BRUTES'!Y$3:Y$42+ROW('DONNÉES BRUTES'!Y$3:Y$42)/1000,0))&amp;"/100","—")</f>
        <v/>
      </c>
      <c r="F17" s="112">
        <f t="array" ref="F17">IFERROR(INDEX('DONNÉES BRUTES'!P$3:P$42,MATCH(_xlfn.AGGREGATE(14,6,'DONNÉES BRUTES'!Y$3:Y$42+ROW('DONNÉES BRUTES'!Y$3:Y$42)/1000,14),'DONNÉES BRUTES'!Y$3:Y$42+ROW('DONNÉES BRUTES'!Y$3:Y$42)/1000,0)),"—")</f>
        <v/>
      </c>
      <c r="G17" s="112">
        <f t="array" ref="G17">IFERROR(INDEX('DONNÉES BRUTES'!N$3:N$42,MATCH(_xlfn.AGGREGATE(14,6,'DONNÉES BRUTES'!Y$3:Y$42+ROW('DONNÉES BRUTES'!Y$3:Y$42)/1000,14),'DONNÉES BRUTES'!Y$3:Y$42+ROW('DONNÉES BRUTES'!Y$3:Y$42)/1000,0)),"—")</f>
        <v/>
      </c>
      <c r="H17" s="112">
        <f t="array" ref="H17">IFERROR(INDEX('DONNÉES BRUTES'!O$3:O$42,MATCH(_xlfn.AGGREGATE(14,6,'DONNÉES BRUTES'!Y$3:Y$42+ROW('DONNÉES BRUTES'!Y$3:Y$42)/1000,14),'DONNÉES BRUTES'!Y$3:Y$42+ROW('DONNÉES BRUTES'!Y$3:Y$42)/1000,0)),"—")</f>
        <v/>
      </c>
      <c r="I17" s="112">
        <f t="array" ref="I17">IFERROR(INDEX('DONNÉES BRUTES'!Q$3:Q$42,MATCH(_xlfn.AGGREGATE(14,6,'DONNÉES BRUTES'!Y$3:Y$42+ROW('DONNÉES BRUTES'!Y$3:Y$42)/1000,14),'DONNÉES BRUTES'!Y$3:Y$42+ROW('DONNÉES BRUTES'!Y$3:Y$42)/1000,0)),"—")</f>
        <v/>
      </c>
      <c r="J17" s="112" t="inlineStr">
        <is>
          <t>—</t>
        </is>
      </c>
      <c r="K17" s="112" t="inlineStr">
        <is>
          <t>—</t>
        </is>
      </c>
      <c r="L17" s="115">
        <f t="array" ref="L17">IFERROR(INDEX('DONNÉES BRUTES'!AD$3:AD$42,MATCH(_xlfn.AGGREGATE(14,6,'DONNÉES BRUTES'!Y$3:Y$42+ROW('DONNÉES BRUTES'!Y$3:Y$42)/1000,14),'DONNÉES BRUTES'!Y$3:Y$42+ROW('DONNÉES BRUTES'!Y$3:Y$42)/1000,0)),"—")</f>
        <v/>
      </c>
    </row>
    <row r="18" ht="15.95" customHeight="1">
      <c r="A18" s="127" t="n">
        <v>15</v>
      </c>
      <c r="B18" s="123">
        <f t="array" ref="B18">IFERROR(INDEX('DONNÉES BRUTES'!A$3:A$42,MATCH(_xlfn.AGGREGATE(14,6,'DONNÉES BRUTES'!Y$3:Y$42+ROW('DONNÉES BRUTES'!Y$3:Y$42)/1000,15),'DONNÉES BRUTES'!Y$3:Y$42+ROW('DONNÉES BRUTES'!Y$3:Y$42)/1000,0)),"—")</f>
        <v/>
      </c>
      <c r="C18" s="117">
        <f t="array" ref="C18">IFERROR(INDEX('DONNÉES BRUTES'!B$3:B$42,MATCH(_xlfn.AGGREGATE(14,6,'DONNÉES BRUTES'!Y$3:Y$42+ROW('DONNÉES BRUTES'!Y$3:Y$42)/1000,15),'DONNÉES BRUTES'!Y$3:Y$42+ROW('DONNÉES BRUTES'!Y$3:Y$42)/1000,0)),"—")</f>
        <v/>
      </c>
      <c r="D18" s="117">
        <f t="array" ref="D18">IFERROR(INDEX('DONNÉES BRUTES'!C$3:C$42,MATCH(_xlfn.AGGREGATE(14,6,'DONNÉES BRUTES'!Y$3:Y$42+ROW('DONNÉES BRUTES'!Y$3:Y$42)/1000,15),'DONNÉES BRUTES'!Y$3:Y$42+ROW('DONNÉES BRUTES'!Y$3:Y$42)/1000,0)),"—")</f>
        <v/>
      </c>
      <c r="E18" s="118">
        <f t="array" ref="E18">IFERROR(INDEX('DONNÉES BRUTES'!Y$3:Y$42,MATCH(_xlfn.AGGREGATE(14,6,'DONNÉES BRUTES'!Y$3:Y$42+ROW('DONNÉES BRUTES'!Y$3:Y$42)/1000,15),'DONNÉES BRUTES'!Y$3:Y$42+ROW('DONNÉES BRUTES'!Y$3:Y$42)/1000,0))&amp;"/100","—")</f>
        <v/>
      </c>
      <c r="F18" s="116">
        <f t="array" ref="F18">IFERROR(INDEX('DONNÉES BRUTES'!P$3:P$42,MATCH(_xlfn.AGGREGATE(14,6,'DONNÉES BRUTES'!Y$3:Y$42+ROW('DONNÉES BRUTES'!Y$3:Y$42)/1000,15),'DONNÉES BRUTES'!Y$3:Y$42+ROW('DONNÉES BRUTES'!Y$3:Y$42)/1000,0)),"—")</f>
        <v/>
      </c>
      <c r="G18" s="116">
        <f t="array" ref="G18">IFERROR(INDEX('DONNÉES BRUTES'!N$3:N$42,MATCH(_xlfn.AGGREGATE(14,6,'DONNÉES BRUTES'!Y$3:Y$42+ROW('DONNÉES BRUTES'!Y$3:Y$42)/1000,15),'DONNÉES BRUTES'!Y$3:Y$42+ROW('DONNÉES BRUTES'!Y$3:Y$42)/1000,0)),"—")</f>
        <v/>
      </c>
      <c r="H18" s="116">
        <f t="array" ref="H18">IFERROR(INDEX('DONNÉES BRUTES'!O$3:O$42,MATCH(_xlfn.AGGREGATE(14,6,'DONNÉES BRUTES'!Y$3:Y$42+ROW('DONNÉES BRUTES'!Y$3:Y$42)/1000,15),'DONNÉES BRUTES'!Y$3:Y$42+ROW('DONNÉES BRUTES'!Y$3:Y$42)/1000,0)),"—")</f>
        <v/>
      </c>
      <c r="I18" s="116">
        <f t="array" ref="I18">IFERROR(INDEX('DONNÉES BRUTES'!Q$3:Q$42,MATCH(_xlfn.AGGREGATE(14,6,'DONNÉES BRUTES'!Y$3:Y$42+ROW('DONNÉES BRUTES'!Y$3:Y$42)/1000,15),'DONNÉES BRUTES'!Y$3:Y$42+ROW('DONNÉES BRUTES'!Y$3:Y$42)/1000,0)),"—")</f>
        <v/>
      </c>
      <c r="J18" s="116" t="inlineStr">
        <is>
          <t>—</t>
        </is>
      </c>
      <c r="K18" s="116" t="inlineStr">
        <is>
          <t>—</t>
        </is>
      </c>
      <c r="L18" s="119">
        <f t="array" ref="L18">IFERROR(INDEX('DONNÉES BRUTES'!AD$3:AD$42,MATCH(_xlfn.AGGREGATE(14,6,'DONNÉES BRUTES'!Y$3:Y$42+ROW('DONNÉES BRUTES'!Y$3:Y$42)/1000,15),'DONNÉES BRUTES'!Y$3:Y$42+ROW('DONNÉES BRUTES'!Y$3:Y$42)/1000,0)),"—")</f>
        <v/>
      </c>
    </row>
    <row r="19" ht="15.95" customHeight="1">
      <c r="A19" s="128" t="n"/>
      <c r="B19" s="128" t="n"/>
      <c r="C19" s="128" t="n"/>
      <c r="D19" s="128" t="n"/>
      <c r="E19" s="128" t="n"/>
      <c r="F19" s="128" t="n"/>
      <c r="G19" s="128" t="n"/>
      <c r="H19" s="128" t="n"/>
      <c r="I19" s="128" t="n"/>
      <c r="J19" s="128" t="n"/>
      <c r="K19" s="128" t="n"/>
      <c r="L19" s="128" t="n"/>
    </row>
    <row r="20" ht="6" customHeight="1">
      <c r="A20" s="131" t="n"/>
      <c r="B20" s="130" t="n"/>
      <c r="C20" s="130" t="n"/>
      <c r="D20" s="130" t="n"/>
      <c r="E20" s="130" t="n"/>
      <c r="F20" s="130" t="n"/>
      <c r="G20" s="130" t="n"/>
      <c r="H20" s="130" t="n"/>
      <c r="I20" s="130" t="n"/>
      <c r="J20" s="130" t="n"/>
      <c r="K20" s="130" t="n"/>
      <c r="L20" s="132" t="n"/>
    </row>
    <row r="21" ht="15.95" customHeight="1">
      <c r="A21" s="143" t="n"/>
      <c r="B21" s="143" t="n"/>
      <c r="C21" s="144" t="n"/>
      <c r="D21" s="144" t="n"/>
      <c r="E21" s="144" t="n"/>
      <c r="F21" s="144" t="n"/>
      <c r="G21" s="144" t="n"/>
      <c r="H21" s="144" t="n"/>
      <c r="I21" s="144" t="n"/>
      <c r="J21" s="144" t="n"/>
      <c r="K21" s="144" t="n"/>
      <c r="L21" s="144" t="n"/>
    </row>
    <row r="22" ht="15.95" customHeight="1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</row>
    <row r="23" ht="13.9" customHeight="1"/>
    <row r="24" ht="13.9" customHeight="1"/>
    <row r="25" ht="13.9" customHeight="1"/>
    <row r="26" ht="13.9" customHeight="1"/>
    <row r="27" ht="13.9" customHeight="1"/>
    <row r="28" ht="13.9" customHeight="1"/>
    <row r="29" ht="13.9" customHeight="1"/>
    <row r="30" ht="13.9" customHeight="1"/>
    <row r="31" ht="13.9" customHeight="1"/>
    <row r="32" ht="13.9" customHeight="1"/>
    <row r="33" ht="13.9" customHeight="1"/>
    <row r="34" ht="13.9" customHeight="1"/>
    <row r="35" ht="13.9" customHeight="1"/>
    <row r="36" ht="13.9" customHeight="1"/>
    <row r="37" ht="13.9" customHeight="1"/>
    <row r="38" ht="13.9" customHeight="1"/>
    <row r="39" ht="13.9" customHeight="1"/>
    <row r="40" ht="13.9" customHeight="1"/>
    <row r="41" ht="13.9" customHeight="1"/>
    <row r="42" ht="13.9" customHeight="1"/>
    <row r="44" ht="16.15" customHeight="1"/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2"/>
  <sheetViews>
    <sheetView showGridLines="0" zoomScale="85" workbookViewId="0">
      <selection activeCell="R28" sqref="I28:R28"/>
    </sheetView>
  </sheetViews>
  <sheetFormatPr baseColWidth="10" defaultColWidth="8.85546875" defaultRowHeight="15"/>
  <cols>
    <col width="5.28515625" customWidth="1" min="1" max="1"/>
    <col width="9.140625" customWidth="1" min="2" max="2"/>
    <col width="26.7109375" customWidth="1" min="3" max="3"/>
    <col width="15.28515625" customWidth="1" min="4" max="4"/>
    <col width="9.140625" customWidth="1" min="5" max="5"/>
    <col width="10.42578125" customWidth="1" min="6" max="7"/>
    <col width="12.42578125" customWidth="1" min="8" max="8"/>
    <col width="10.42578125" customWidth="1" min="9" max="9"/>
    <col width="12.42578125" customWidth="1" min="10" max="10"/>
    <col width="10.42578125" customWidth="1" min="11" max="11"/>
    <col width="12.42578125" customWidth="1" min="12" max="13"/>
    <col width="8.85546875" customWidth="1" style="235" min="15" max="19"/>
  </cols>
  <sheetData>
    <row r="1" ht="32.1" customHeight="1" thickBot="1">
      <c r="A1" s="102" t="inlineStr">
        <is>
          <t>FinSight IA  ·  Analyse QUALITY  ·  CAC 40  ·  22/03/2026</t>
        </is>
      </c>
      <c r="B1" s="102" t="n"/>
      <c r="C1" s="102" t="n"/>
      <c r="D1" s="102" t="n"/>
      <c r="E1" s="102" t="n"/>
      <c r="F1" s="102" t="n"/>
      <c r="G1" s="102" t="n"/>
      <c r="H1" s="102" t="n"/>
      <c r="I1" s="102" t="n"/>
      <c r="J1" s="102" t="n"/>
      <c r="K1" s="102" t="n"/>
      <c r="L1" s="102" t="n"/>
      <c r="M1" s="102" t="n"/>
      <c r="O1" s="235" t="inlineStr">
        <is>
          <t>Société</t>
        </is>
      </c>
      <c r="P1" s="235" t="inlineStr">
        <is>
          <t>Score Qual</t>
        </is>
      </c>
      <c r="Q1" s="235" t="inlineStr">
        <is>
          <t>Altman Z</t>
        </is>
      </c>
      <c r="R1" s="235" t="inlineStr">
        <is>
          <t>Beneish M</t>
        </is>
      </c>
    </row>
    <row r="2">
      <c r="A2" s="22" t="inlineStr">
        <is>
          <t>Usage confidentiel  ·  Calculs Python/NumPy depuis cache Supabase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O2" s="235">
        <f>IF(B4&lt;&gt;"—",LEFT(C4,15),"—")</f>
        <v/>
      </c>
      <c r="P2" s="235">
        <f>IF(E4&lt;&gt;"—",VALUE(LEFT(E4,FIND("/",E4)-1)),"")</f>
        <v/>
      </c>
      <c r="Q2" s="235">
        <f>IF(F4&lt;&gt;"—",F4,"")</f>
        <v/>
      </c>
      <c r="R2" s="235">
        <f>IF(H4&lt;&gt;"—",H4,"")</f>
        <v/>
      </c>
    </row>
    <row r="3" ht="18" customHeight="1" thickBot="1">
      <c r="A3" s="137" t="inlineStr">
        <is>
          <t>Rang</t>
        </is>
      </c>
      <c r="B3" s="136" t="inlineStr">
        <is>
          <t>Ticker</t>
        </is>
      </c>
      <c r="C3" s="134" t="inlineStr">
        <is>
          <t>Société</t>
        </is>
      </c>
      <c r="D3" s="134" t="inlineStr">
        <is>
          <t>Secteur</t>
        </is>
      </c>
      <c r="E3" s="133" t="inlineStr">
        <is>
          <t>Score</t>
        </is>
      </c>
      <c r="F3" s="133" t="inlineStr">
        <is>
          <t>Altman Z-Score</t>
        </is>
      </c>
      <c r="G3" s="133" t="inlineStr">
        <is>
          <t>Signal Z</t>
        </is>
      </c>
      <c r="H3" s="133" t="inlineStr">
        <is>
          <t>Beneish M</t>
        </is>
      </c>
      <c r="I3" s="133" t="inlineStr">
        <is>
          <t>Signal M</t>
        </is>
      </c>
      <c r="J3" s="133" t="inlineStr">
        <is>
          <t>Marge EBITDA</t>
        </is>
      </c>
      <c r="K3" s="133" t="inlineStr">
        <is>
          <t>ROE</t>
        </is>
      </c>
      <c r="L3" s="133" t="inlineStr">
        <is>
          <t>Interest Coverage</t>
        </is>
      </c>
      <c r="M3" s="135" t="inlineStr">
        <is>
          <t>Current Ratio</t>
        </is>
      </c>
      <c r="O3" s="235">
        <f>IF(B5&lt;&gt;"—",LEFT(C5,15),"—")</f>
        <v/>
      </c>
      <c r="P3" s="235">
        <f>IF(E5&lt;&gt;"—",VALUE(LEFT(E5,FIND("/",E5)-1)),"")</f>
        <v/>
      </c>
      <c r="Q3" s="235">
        <f>IF(F5&lt;&gt;"—",F5,"")</f>
        <v/>
      </c>
      <c r="R3" s="235">
        <f>IF(H5&lt;&gt;"—",H5,"")</f>
        <v/>
      </c>
    </row>
    <row r="4" ht="15.95" customHeight="1" thickBot="1">
      <c r="A4" s="125" t="n">
        <v>1</v>
      </c>
      <c r="B4" s="121">
        <f t="array" ref="B4">IFERROR(INDEX('DONNÉES BRUTES'!A$3:A$42,MATCH(_xlfn.AGGREGATE(14,6,'DONNÉES BRUTES'!Z$3:Z$42+ROW('DONNÉES BRUTES'!Z$3:Z$42)/1000,1),'DONNÉES BRUTES'!Z$3:Z$42+ROW('DONNÉES BRUTES'!Z$3:Z$42)/1000,0)),"—")</f>
        <v/>
      </c>
      <c r="C4" s="109">
        <f t="array" ref="C4">IFERROR(INDEX('DONNÉES BRUTES'!B$3:B$42,MATCH(_xlfn.AGGREGATE(14,6,'DONNÉES BRUTES'!Z$3:Z$42+ROW('DONNÉES BRUTES'!Z$3:Z$42)/1000,1),'DONNÉES BRUTES'!Z$3:Z$42+ROW('DONNÉES BRUTES'!Z$3:Z$42)/1000,0)),"—")</f>
        <v/>
      </c>
      <c r="D4" s="109">
        <f t="array" ref="D4">IFERROR(INDEX('DONNÉES BRUTES'!C$3:C$42,MATCH(_xlfn.AGGREGATE(14,6,'DONNÉES BRUTES'!Z$3:Z$42+ROW('DONNÉES BRUTES'!Z$3:Z$42)/1000,1),'DONNÉES BRUTES'!Z$3:Z$42+ROW('DONNÉES BRUTES'!Z$3:Z$42)/1000,0)),"—")</f>
        <v/>
      </c>
      <c r="E4" s="110">
        <f t="array" ref="E4">IFERROR(INDEX('DONNÉES BRUTES'!Z$3:Z$42,MATCH(_xlfn.AGGREGATE(14,6,'DONNÉES BRUTES'!Z$3:Z$42+ROW('DONNÉES BRUTES'!Z$3:Z$42)/1000,1),'DONNÉES BRUTES'!Z$3:Z$42+ROW('DONNÉES BRUTES'!Z$3:Z$42)/1000,0))&amp;"/100","—")</f>
        <v/>
      </c>
      <c r="F4" s="108">
        <f t="array" ref="F4">IFERROR(INDEX('DONNÉES BRUTES'!U$3:U$42,MATCH(_xlfn.AGGREGATE(14,6,'DONNÉES BRUTES'!Z$3:Z$42+ROW('DONNÉES BRUTES'!Z$3:Z$42)/1000,1),'DONNÉES BRUTES'!Z$3:Z$42+ROW('DONNÉES BRUTES'!Z$3:Z$42)/1000,0)),"—")</f>
        <v/>
      </c>
      <c r="G4" s="108" t="inlineStr">
        <is>
          <t>—</t>
        </is>
      </c>
      <c r="H4" s="108">
        <f t="array" ref="H4">IFERROR(INDEX('DONNÉES BRUTES'!V$3:V$42,MATCH(_xlfn.AGGREGATE(14,6,'DONNÉES BRUTES'!Z$3:Z$42+ROW('DONNÉES BRUTES'!Z$3:Z$42)/1000,1),'DONNÉES BRUTES'!Z$3:Z$42+ROW('DONNÉES BRUTES'!Z$3:Z$42)/1000,0)),"—")</f>
        <v/>
      </c>
      <c r="I4" s="108" t="inlineStr">
        <is>
          <t>—</t>
        </is>
      </c>
      <c r="J4" s="108">
        <f t="array" ref="J4">IFERROR(INDEX('DONNÉES BRUTES'!N$3:N$42,MATCH(_xlfn.AGGREGATE(14,6,'DONNÉES BRUTES'!Z$3:Z$42+ROW('DONNÉES BRUTES'!Z$3:Z$42)/1000,1),'DONNÉES BRUTES'!Z$3:Z$42+ROW('DONNÉES BRUTES'!Z$3:Z$42)/1000,0)),"—")</f>
        <v/>
      </c>
      <c r="K4" s="108">
        <f t="array" ref="K4">IFERROR(INDEX('DONNÉES BRUTES'!Q$3:Q$42,MATCH(_xlfn.AGGREGATE(14,6,'DONNÉES BRUTES'!Z$3:Z$42+ROW('DONNÉES BRUTES'!Z$3:Z$42)/1000,1),'DONNÉES BRUTES'!Z$3:Z$42+ROW('DONNÉES BRUTES'!Z$3:Z$42)/1000,0)),"—")</f>
        <v/>
      </c>
      <c r="L4" s="111" t="inlineStr">
        <is>
          <t>—</t>
        </is>
      </c>
      <c r="M4" s="121">
        <f t="array" ref="M4">IFERROR(INDEX('DONNÉES BRUTES'!S$3:S$42,MATCH(_xlfn.AGGREGATE(14,6,'DONNÉES BRUTES'!Z$3:Z$42+ROW('DONNÉES BRUTES'!Z$3:Z$42)/1000,1),'DONNÉES BRUTES'!Z$3:Z$42+ROW('DONNÉES BRUTES'!Z$3:Z$42)/1000,0)),"—")</f>
        <v/>
      </c>
      <c r="O4" s="235">
        <f>IF(B6&lt;&gt;"—",LEFT(C6,15),"—")</f>
        <v/>
      </c>
      <c r="P4" s="235">
        <f>IF(E6&lt;&gt;"—",VALUE(LEFT(E6,FIND("/",E6)-1)),"")</f>
        <v/>
      </c>
      <c r="Q4" s="235">
        <f>IF(F6&lt;&gt;"—",F6,"")</f>
        <v/>
      </c>
      <c r="R4" s="235">
        <f>IF(H6&lt;&gt;"—",H6,"")</f>
        <v/>
      </c>
    </row>
    <row r="5" ht="15.95" customHeight="1" thickBot="1">
      <c r="A5" s="126" t="n">
        <v>2</v>
      </c>
      <c r="B5" s="122">
        <f t="array" ref="B5">IFERROR(INDEX('DONNÉES BRUTES'!A$3:A$42,MATCH(_xlfn.AGGREGATE(14,6,'DONNÉES BRUTES'!Z$3:Z$42+ROW('DONNÉES BRUTES'!Z$3:Z$42)/1000,2),'DONNÉES BRUTES'!Z$3:Z$42+ROW('DONNÉES BRUTES'!Z$3:Z$42)/1000,0)),"—")</f>
        <v/>
      </c>
      <c r="C5" s="113">
        <f t="array" ref="C5">IFERROR(INDEX('DONNÉES BRUTES'!B$3:B$42,MATCH(_xlfn.AGGREGATE(14,6,'DONNÉES BRUTES'!Z$3:Z$42+ROW('DONNÉES BRUTES'!Z$3:Z$42)/1000,2),'DONNÉES BRUTES'!Z$3:Z$42+ROW('DONNÉES BRUTES'!Z$3:Z$42)/1000,0)),"—")</f>
        <v/>
      </c>
      <c r="D5" s="113">
        <f t="array" ref="D5">IFERROR(INDEX('DONNÉES BRUTES'!C$3:C$42,MATCH(_xlfn.AGGREGATE(14,6,'DONNÉES BRUTES'!Z$3:Z$42+ROW('DONNÉES BRUTES'!Z$3:Z$42)/1000,2),'DONNÉES BRUTES'!Z$3:Z$42+ROW('DONNÉES BRUTES'!Z$3:Z$42)/1000,0)),"—")</f>
        <v/>
      </c>
      <c r="E5" s="114">
        <f t="array" ref="E5">IFERROR(INDEX('DONNÉES BRUTES'!Z$3:Z$42,MATCH(_xlfn.AGGREGATE(14,6,'DONNÉES BRUTES'!Z$3:Z$42+ROW('DONNÉES BRUTES'!Z$3:Z$42)/1000,2),'DONNÉES BRUTES'!Z$3:Z$42+ROW('DONNÉES BRUTES'!Z$3:Z$42)/1000,0))&amp;"/100","—")</f>
        <v/>
      </c>
      <c r="F5" s="112">
        <f t="array" ref="F5">IFERROR(INDEX('DONNÉES BRUTES'!U$3:U$42,MATCH(_xlfn.AGGREGATE(14,6,'DONNÉES BRUTES'!Z$3:Z$42+ROW('DONNÉES BRUTES'!Z$3:Z$42)/1000,2),'DONNÉES BRUTES'!Z$3:Z$42+ROW('DONNÉES BRUTES'!Z$3:Z$42)/1000,0)),"—")</f>
        <v/>
      </c>
      <c r="G5" s="112" t="inlineStr">
        <is>
          <t>—</t>
        </is>
      </c>
      <c r="H5" s="112">
        <f t="array" ref="H5">IFERROR(INDEX('DONNÉES BRUTES'!V$3:V$42,MATCH(_xlfn.AGGREGATE(14,6,'DONNÉES BRUTES'!Z$3:Z$42+ROW('DONNÉES BRUTES'!Z$3:Z$42)/1000,2),'DONNÉES BRUTES'!Z$3:Z$42+ROW('DONNÉES BRUTES'!Z$3:Z$42)/1000,0)),"—")</f>
        <v/>
      </c>
      <c r="I5" s="112" t="inlineStr">
        <is>
          <t>—</t>
        </is>
      </c>
      <c r="J5" s="112">
        <f t="array" ref="J5">IFERROR(INDEX('DONNÉES BRUTES'!N$3:N$42,MATCH(_xlfn.AGGREGATE(14,6,'DONNÉES BRUTES'!Z$3:Z$42+ROW('DONNÉES BRUTES'!Z$3:Z$42)/1000,2),'DONNÉES BRUTES'!Z$3:Z$42+ROW('DONNÉES BRUTES'!Z$3:Z$42)/1000,0)),"—")</f>
        <v/>
      </c>
      <c r="K5" s="112">
        <f t="array" ref="K5">IFERROR(INDEX('DONNÉES BRUTES'!Q$3:Q$42,MATCH(_xlfn.AGGREGATE(14,6,'DONNÉES BRUTES'!Z$3:Z$42+ROW('DONNÉES BRUTES'!Z$3:Z$42)/1000,2),'DONNÉES BRUTES'!Z$3:Z$42+ROW('DONNÉES BRUTES'!Z$3:Z$42)/1000,0)),"—")</f>
        <v/>
      </c>
      <c r="L5" s="115" t="inlineStr">
        <is>
          <t>—</t>
        </is>
      </c>
      <c r="M5" s="122">
        <f t="array" ref="M5">IFERROR(INDEX('DONNÉES BRUTES'!S$3:S$42,MATCH(_xlfn.AGGREGATE(14,6,'DONNÉES BRUTES'!Z$3:Z$42+ROW('DONNÉES BRUTES'!Z$3:Z$42)/1000,2),'DONNÉES BRUTES'!Z$3:Z$42+ROW('DONNÉES BRUTES'!Z$3:Z$42)/1000,0)),"—")</f>
        <v/>
      </c>
      <c r="O5" s="235">
        <f>IF(B7&lt;&gt;"—",LEFT(C7,15),"—")</f>
        <v/>
      </c>
      <c r="P5" s="235">
        <f>IF(E7&lt;&gt;"—",VALUE(LEFT(E7,FIND("/",E7)-1)),"")</f>
        <v/>
      </c>
      <c r="Q5" s="235">
        <f>IF(F7&lt;&gt;"—",F7,"")</f>
        <v/>
      </c>
      <c r="R5" s="235">
        <f>IF(H7&lt;&gt;"—",H7,"")</f>
        <v/>
      </c>
    </row>
    <row r="6" ht="15.95" customHeight="1" thickBot="1">
      <c r="A6" s="125" t="n">
        <v>3</v>
      </c>
      <c r="B6" s="121">
        <f t="array" ref="B6">IFERROR(INDEX('DONNÉES BRUTES'!A$3:A$42,MATCH(_xlfn.AGGREGATE(14,6,'DONNÉES BRUTES'!Z$3:Z$42+ROW('DONNÉES BRUTES'!Z$3:Z$42)/1000,3),'DONNÉES BRUTES'!Z$3:Z$42+ROW('DONNÉES BRUTES'!Z$3:Z$42)/1000,0)),"—")</f>
        <v/>
      </c>
      <c r="C6" s="109">
        <f t="array" ref="C6">IFERROR(INDEX('DONNÉES BRUTES'!B$3:B$42,MATCH(_xlfn.AGGREGATE(14,6,'DONNÉES BRUTES'!Z$3:Z$42+ROW('DONNÉES BRUTES'!Z$3:Z$42)/1000,3),'DONNÉES BRUTES'!Z$3:Z$42+ROW('DONNÉES BRUTES'!Z$3:Z$42)/1000,0)),"—")</f>
        <v/>
      </c>
      <c r="D6" s="109">
        <f t="array" ref="D6">IFERROR(INDEX('DONNÉES BRUTES'!C$3:C$42,MATCH(_xlfn.AGGREGATE(14,6,'DONNÉES BRUTES'!Z$3:Z$42+ROW('DONNÉES BRUTES'!Z$3:Z$42)/1000,3),'DONNÉES BRUTES'!Z$3:Z$42+ROW('DONNÉES BRUTES'!Z$3:Z$42)/1000,0)),"—")</f>
        <v/>
      </c>
      <c r="E6" s="110">
        <f t="array" ref="E6">IFERROR(INDEX('DONNÉES BRUTES'!Z$3:Z$42,MATCH(_xlfn.AGGREGATE(14,6,'DONNÉES BRUTES'!Z$3:Z$42+ROW('DONNÉES BRUTES'!Z$3:Z$42)/1000,3),'DONNÉES BRUTES'!Z$3:Z$42+ROW('DONNÉES BRUTES'!Z$3:Z$42)/1000,0))&amp;"/100","—")</f>
        <v/>
      </c>
      <c r="F6" s="108">
        <f t="array" ref="F6">IFERROR(INDEX('DONNÉES BRUTES'!U$3:U$42,MATCH(_xlfn.AGGREGATE(14,6,'DONNÉES BRUTES'!Z$3:Z$42+ROW('DONNÉES BRUTES'!Z$3:Z$42)/1000,3),'DONNÉES BRUTES'!Z$3:Z$42+ROW('DONNÉES BRUTES'!Z$3:Z$42)/1000,0)),"—")</f>
        <v/>
      </c>
      <c r="G6" s="108" t="inlineStr">
        <is>
          <t>—</t>
        </is>
      </c>
      <c r="H6" s="108">
        <f t="array" ref="H6">IFERROR(INDEX('DONNÉES BRUTES'!V$3:V$42,MATCH(_xlfn.AGGREGATE(14,6,'DONNÉES BRUTES'!Z$3:Z$42+ROW('DONNÉES BRUTES'!Z$3:Z$42)/1000,3),'DONNÉES BRUTES'!Z$3:Z$42+ROW('DONNÉES BRUTES'!Z$3:Z$42)/1000,0)),"—")</f>
        <v/>
      </c>
      <c r="I6" s="108" t="inlineStr">
        <is>
          <t>—</t>
        </is>
      </c>
      <c r="J6" s="108">
        <f t="array" ref="J6">IFERROR(INDEX('DONNÉES BRUTES'!N$3:N$42,MATCH(_xlfn.AGGREGATE(14,6,'DONNÉES BRUTES'!Z$3:Z$42+ROW('DONNÉES BRUTES'!Z$3:Z$42)/1000,3),'DONNÉES BRUTES'!Z$3:Z$42+ROW('DONNÉES BRUTES'!Z$3:Z$42)/1000,0)),"—")</f>
        <v/>
      </c>
      <c r="K6" s="108">
        <f t="array" ref="K6">IFERROR(INDEX('DONNÉES BRUTES'!Q$3:Q$42,MATCH(_xlfn.AGGREGATE(14,6,'DONNÉES BRUTES'!Z$3:Z$42+ROW('DONNÉES BRUTES'!Z$3:Z$42)/1000,3),'DONNÉES BRUTES'!Z$3:Z$42+ROW('DONNÉES BRUTES'!Z$3:Z$42)/1000,0)),"—")</f>
        <v/>
      </c>
      <c r="L6" s="111" t="inlineStr">
        <is>
          <t>—</t>
        </is>
      </c>
      <c r="M6" s="121">
        <f t="array" ref="M6">IFERROR(INDEX('DONNÉES BRUTES'!S$3:S$42,MATCH(_xlfn.AGGREGATE(14,6,'DONNÉES BRUTES'!Z$3:Z$42+ROW('DONNÉES BRUTES'!Z$3:Z$42)/1000,3),'DONNÉES BRUTES'!Z$3:Z$42+ROW('DONNÉES BRUTES'!Z$3:Z$42)/1000,0)),"—")</f>
        <v/>
      </c>
      <c r="O6" s="235">
        <f>IF(B8&lt;&gt;"—",LEFT(C8,15),"—")</f>
        <v/>
      </c>
      <c r="P6" s="235">
        <f>IF(E8&lt;&gt;"—",VALUE(LEFT(E8,FIND("/",E8)-1)),"")</f>
        <v/>
      </c>
      <c r="Q6" s="235">
        <f>IF(F8&lt;&gt;"—",F8,"")</f>
        <v/>
      </c>
      <c r="R6" s="235">
        <f>IF(H8&lt;&gt;"—",H8,"")</f>
        <v/>
      </c>
    </row>
    <row r="7" ht="15.95" customHeight="1" thickBot="1">
      <c r="A7" s="126" t="n">
        <v>4</v>
      </c>
      <c r="B7" s="122">
        <f t="array" ref="B7">IFERROR(INDEX('DONNÉES BRUTES'!A$3:A$42,MATCH(_xlfn.AGGREGATE(14,6,'DONNÉES BRUTES'!Z$3:Z$42+ROW('DONNÉES BRUTES'!Z$3:Z$42)/1000,4),'DONNÉES BRUTES'!Z$3:Z$42+ROW('DONNÉES BRUTES'!Z$3:Z$42)/1000,0)),"—")</f>
        <v/>
      </c>
      <c r="C7" s="113">
        <f t="array" ref="C7">IFERROR(INDEX('DONNÉES BRUTES'!B$3:B$42,MATCH(_xlfn.AGGREGATE(14,6,'DONNÉES BRUTES'!Z$3:Z$42+ROW('DONNÉES BRUTES'!Z$3:Z$42)/1000,4),'DONNÉES BRUTES'!Z$3:Z$42+ROW('DONNÉES BRUTES'!Z$3:Z$42)/1000,0)),"—")</f>
        <v/>
      </c>
      <c r="D7" s="113">
        <f t="array" ref="D7">IFERROR(INDEX('DONNÉES BRUTES'!C$3:C$42,MATCH(_xlfn.AGGREGATE(14,6,'DONNÉES BRUTES'!Z$3:Z$42+ROW('DONNÉES BRUTES'!Z$3:Z$42)/1000,4),'DONNÉES BRUTES'!Z$3:Z$42+ROW('DONNÉES BRUTES'!Z$3:Z$42)/1000,0)),"—")</f>
        <v/>
      </c>
      <c r="E7" s="114">
        <f t="array" ref="E7">IFERROR(INDEX('DONNÉES BRUTES'!Z$3:Z$42,MATCH(_xlfn.AGGREGATE(14,6,'DONNÉES BRUTES'!Z$3:Z$42+ROW('DONNÉES BRUTES'!Z$3:Z$42)/1000,4),'DONNÉES BRUTES'!Z$3:Z$42+ROW('DONNÉES BRUTES'!Z$3:Z$42)/1000,0))&amp;"/100","—")</f>
        <v/>
      </c>
      <c r="F7" s="112">
        <f t="array" ref="F7">IFERROR(INDEX('DONNÉES BRUTES'!U$3:U$42,MATCH(_xlfn.AGGREGATE(14,6,'DONNÉES BRUTES'!Z$3:Z$42+ROW('DONNÉES BRUTES'!Z$3:Z$42)/1000,4),'DONNÉES BRUTES'!Z$3:Z$42+ROW('DONNÉES BRUTES'!Z$3:Z$42)/1000,0)),"—")</f>
        <v/>
      </c>
      <c r="G7" s="112" t="inlineStr">
        <is>
          <t>—</t>
        </is>
      </c>
      <c r="H7" s="112">
        <f t="array" ref="H7">IFERROR(INDEX('DONNÉES BRUTES'!V$3:V$42,MATCH(_xlfn.AGGREGATE(14,6,'DONNÉES BRUTES'!Z$3:Z$42+ROW('DONNÉES BRUTES'!Z$3:Z$42)/1000,4),'DONNÉES BRUTES'!Z$3:Z$42+ROW('DONNÉES BRUTES'!Z$3:Z$42)/1000,0)),"—")</f>
        <v/>
      </c>
      <c r="I7" s="112" t="inlineStr">
        <is>
          <t>—</t>
        </is>
      </c>
      <c r="J7" s="112">
        <f t="array" ref="J7">IFERROR(INDEX('DONNÉES BRUTES'!N$3:N$42,MATCH(_xlfn.AGGREGATE(14,6,'DONNÉES BRUTES'!Z$3:Z$42+ROW('DONNÉES BRUTES'!Z$3:Z$42)/1000,4),'DONNÉES BRUTES'!Z$3:Z$42+ROW('DONNÉES BRUTES'!Z$3:Z$42)/1000,0)),"—")</f>
        <v/>
      </c>
      <c r="K7" s="112">
        <f t="array" ref="K7">IFERROR(INDEX('DONNÉES BRUTES'!Q$3:Q$42,MATCH(_xlfn.AGGREGATE(14,6,'DONNÉES BRUTES'!Z$3:Z$42+ROW('DONNÉES BRUTES'!Z$3:Z$42)/1000,4),'DONNÉES BRUTES'!Z$3:Z$42+ROW('DONNÉES BRUTES'!Z$3:Z$42)/1000,0)),"—")</f>
        <v/>
      </c>
      <c r="L7" s="115" t="inlineStr">
        <is>
          <t>—</t>
        </is>
      </c>
      <c r="M7" s="122">
        <f t="array" ref="M7">IFERROR(INDEX('DONNÉES BRUTES'!S$3:S$42,MATCH(_xlfn.AGGREGATE(14,6,'DONNÉES BRUTES'!Z$3:Z$42+ROW('DONNÉES BRUTES'!Z$3:Z$42)/1000,4),'DONNÉES BRUTES'!Z$3:Z$42+ROW('DONNÉES BRUTES'!Z$3:Z$42)/1000,0)),"—")</f>
        <v/>
      </c>
      <c r="O7" s="235">
        <f>IF(B9&lt;&gt;"—",LEFT(C9,15),"—")</f>
        <v/>
      </c>
      <c r="P7" s="235">
        <f>IF(E9&lt;&gt;"—",VALUE(LEFT(E9,FIND("/",E9)-1)),"")</f>
        <v/>
      </c>
      <c r="Q7" s="235">
        <f>IF(F9&lt;&gt;"—",F9,"")</f>
        <v/>
      </c>
      <c r="R7" s="235">
        <f>IF(H9&lt;&gt;"—",H9,"")</f>
        <v/>
      </c>
    </row>
    <row r="8" ht="15.95" customHeight="1" thickBot="1">
      <c r="A8" s="125" t="n">
        <v>5</v>
      </c>
      <c r="B8" s="121">
        <f t="array" ref="B8">IFERROR(INDEX('DONNÉES BRUTES'!A$3:A$42,MATCH(_xlfn.AGGREGATE(14,6,'DONNÉES BRUTES'!Z$3:Z$42+ROW('DONNÉES BRUTES'!Z$3:Z$42)/1000,5),'DONNÉES BRUTES'!Z$3:Z$42+ROW('DONNÉES BRUTES'!Z$3:Z$42)/1000,0)),"—")</f>
        <v/>
      </c>
      <c r="C8" s="109">
        <f t="array" ref="C8">IFERROR(INDEX('DONNÉES BRUTES'!B$3:B$42,MATCH(_xlfn.AGGREGATE(14,6,'DONNÉES BRUTES'!Z$3:Z$42+ROW('DONNÉES BRUTES'!Z$3:Z$42)/1000,5),'DONNÉES BRUTES'!Z$3:Z$42+ROW('DONNÉES BRUTES'!Z$3:Z$42)/1000,0)),"—")</f>
        <v/>
      </c>
      <c r="D8" s="109">
        <f t="array" ref="D8">IFERROR(INDEX('DONNÉES BRUTES'!C$3:C$42,MATCH(_xlfn.AGGREGATE(14,6,'DONNÉES BRUTES'!Z$3:Z$42+ROW('DONNÉES BRUTES'!Z$3:Z$42)/1000,5),'DONNÉES BRUTES'!Z$3:Z$42+ROW('DONNÉES BRUTES'!Z$3:Z$42)/1000,0)),"—")</f>
        <v/>
      </c>
      <c r="E8" s="110">
        <f t="array" ref="E8">IFERROR(INDEX('DONNÉES BRUTES'!Z$3:Z$42,MATCH(_xlfn.AGGREGATE(14,6,'DONNÉES BRUTES'!Z$3:Z$42+ROW('DONNÉES BRUTES'!Z$3:Z$42)/1000,5),'DONNÉES BRUTES'!Z$3:Z$42+ROW('DONNÉES BRUTES'!Z$3:Z$42)/1000,0))&amp;"/100","—")</f>
        <v/>
      </c>
      <c r="F8" s="108">
        <f t="array" ref="F8">IFERROR(INDEX('DONNÉES BRUTES'!U$3:U$42,MATCH(_xlfn.AGGREGATE(14,6,'DONNÉES BRUTES'!Z$3:Z$42+ROW('DONNÉES BRUTES'!Z$3:Z$42)/1000,5),'DONNÉES BRUTES'!Z$3:Z$42+ROW('DONNÉES BRUTES'!Z$3:Z$42)/1000,0)),"—")</f>
        <v/>
      </c>
      <c r="G8" s="108" t="inlineStr">
        <is>
          <t>—</t>
        </is>
      </c>
      <c r="H8" s="108">
        <f t="array" ref="H8">IFERROR(INDEX('DONNÉES BRUTES'!V$3:V$42,MATCH(_xlfn.AGGREGATE(14,6,'DONNÉES BRUTES'!Z$3:Z$42+ROW('DONNÉES BRUTES'!Z$3:Z$42)/1000,5),'DONNÉES BRUTES'!Z$3:Z$42+ROW('DONNÉES BRUTES'!Z$3:Z$42)/1000,0)),"—")</f>
        <v/>
      </c>
      <c r="I8" s="108" t="inlineStr">
        <is>
          <t>—</t>
        </is>
      </c>
      <c r="J8" s="108">
        <f t="array" ref="J8">IFERROR(INDEX('DONNÉES BRUTES'!N$3:N$42,MATCH(_xlfn.AGGREGATE(14,6,'DONNÉES BRUTES'!Z$3:Z$42+ROW('DONNÉES BRUTES'!Z$3:Z$42)/1000,5),'DONNÉES BRUTES'!Z$3:Z$42+ROW('DONNÉES BRUTES'!Z$3:Z$42)/1000,0)),"—")</f>
        <v/>
      </c>
      <c r="K8" s="108">
        <f t="array" ref="K8">IFERROR(INDEX('DONNÉES BRUTES'!Q$3:Q$42,MATCH(_xlfn.AGGREGATE(14,6,'DONNÉES BRUTES'!Z$3:Z$42+ROW('DONNÉES BRUTES'!Z$3:Z$42)/1000,5),'DONNÉES BRUTES'!Z$3:Z$42+ROW('DONNÉES BRUTES'!Z$3:Z$42)/1000,0)),"—")</f>
        <v/>
      </c>
      <c r="L8" s="111" t="inlineStr">
        <is>
          <t>—</t>
        </is>
      </c>
      <c r="M8" s="121">
        <f t="array" ref="M8">IFERROR(INDEX('DONNÉES BRUTES'!S$3:S$42,MATCH(_xlfn.AGGREGATE(14,6,'DONNÉES BRUTES'!Z$3:Z$42+ROW('DONNÉES BRUTES'!Z$3:Z$42)/1000,5),'DONNÉES BRUTES'!Z$3:Z$42+ROW('DONNÉES BRUTES'!Z$3:Z$42)/1000,0)),"—")</f>
        <v/>
      </c>
      <c r="O8" s="235">
        <f>IF(B10&lt;&gt;"—",LEFT(C10,15),"—")</f>
        <v/>
      </c>
      <c r="P8" s="235">
        <f>IF(E10&lt;&gt;"—",VALUE(LEFT(E10,FIND("/",E10)-1)),"")</f>
        <v/>
      </c>
      <c r="Q8" s="235">
        <f>IF(F10&lt;&gt;"—",F10,"")</f>
        <v/>
      </c>
      <c r="R8" s="235">
        <f>IF(H10&lt;&gt;"—",H10,"")</f>
        <v/>
      </c>
    </row>
    <row r="9" ht="15.95" customHeight="1" thickBot="1">
      <c r="A9" s="126" t="n">
        <v>6</v>
      </c>
      <c r="B9" s="122">
        <f t="array" ref="B9">IFERROR(INDEX('DONNÉES BRUTES'!A$3:A$42,MATCH(_xlfn.AGGREGATE(14,6,'DONNÉES BRUTES'!Z$3:Z$42+ROW('DONNÉES BRUTES'!Z$3:Z$42)/1000,6),'DONNÉES BRUTES'!Z$3:Z$42+ROW('DONNÉES BRUTES'!Z$3:Z$42)/1000,0)),"—")</f>
        <v/>
      </c>
      <c r="C9" s="113">
        <f t="array" ref="C9">IFERROR(INDEX('DONNÉES BRUTES'!B$3:B$42,MATCH(_xlfn.AGGREGATE(14,6,'DONNÉES BRUTES'!Z$3:Z$42+ROW('DONNÉES BRUTES'!Z$3:Z$42)/1000,6),'DONNÉES BRUTES'!Z$3:Z$42+ROW('DONNÉES BRUTES'!Z$3:Z$42)/1000,0)),"—")</f>
        <v/>
      </c>
      <c r="D9" s="113">
        <f t="array" ref="D9">IFERROR(INDEX('DONNÉES BRUTES'!C$3:C$42,MATCH(_xlfn.AGGREGATE(14,6,'DONNÉES BRUTES'!Z$3:Z$42+ROW('DONNÉES BRUTES'!Z$3:Z$42)/1000,6),'DONNÉES BRUTES'!Z$3:Z$42+ROW('DONNÉES BRUTES'!Z$3:Z$42)/1000,0)),"—")</f>
        <v/>
      </c>
      <c r="E9" s="114">
        <f t="array" ref="E9">IFERROR(INDEX('DONNÉES BRUTES'!Z$3:Z$42,MATCH(_xlfn.AGGREGATE(14,6,'DONNÉES BRUTES'!Z$3:Z$42+ROW('DONNÉES BRUTES'!Z$3:Z$42)/1000,6),'DONNÉES BRUTES'!Z$3:Z$42+ROW('DONNÉES BRUTES'!Z$3:Z$42)/1000,0))&amp;"/100","—")</f>
        <v/>
      </c>
      <c r="F9" s="112">
        <f t="array" ref="F9">IFERROR(INDEX('DONNÉES BRUTES'!U$3:U$42,MATCH(_xlfn.AGGREGATE(14,6,'DONNÉES BRUTES'!Z$3:Z$42+ROW('DONNÉES BRUTES'!Z$3:Z$42)/1000,6),'DONNÉES BRUTES'!Z$3:Z$42+ROW('DONNÉES BRUTES'!Z$3:Z$42)/1000,0)),"—")</f>
        <v/>
      </c>
      <c r="G9" s="112" t="inlineStr">
        <is>
          <t>—</t>
        </is>
      </c>
      <c r="H9" s="112">
        <f t="array" ref="H9">IFERROR(INDEX('DONNÉES BRUTES'!V$3:V$42,MATCH(_xlfn.AGGREGATE(14,6,'DONNÉES BRUTES'!Z$3:Z$42+ROW('DONNÉES BRUTES'!Z$3:Z$42)/1000,6),'DONNÉES BRUTES'!Z$3:Z$42+ROW('DONNÉES BRUTES'!Z$3:Z$42)/1000,0)),"—")</f>
        <v/>
      </c>
      <c r="I9" s="112" t="inlineStr">
        <is>
          <t>—</t>
        </is>
      </c>
      <c r="J9" s="112">
        <f t="array" ref="J9">IFERROR(INDEX('DONNÉES BRUTES'!N$3:N$42,MATCH(_xlfn.AGGREGATE(14,6,'DONNÉES BRUTES'!Z$3:Z$42+ROW('DONNÉES BRUTES'!Z$3:Z$42)/1000,6),'DONNÉES BRUTES'!Z$3:Z$42+ROW('DONNÉES BRUTES'!Z$3:Z$42)/1000,0)),"—")</f>
        <v/>
      </c>
      <c r="K9" s="112">
        <f t="array" ref="K9">IFERROR(INDEX('DONNÉES BRUTES'!Q$3:Q$42,MATCH(_xlfn.AGGREGATE(14,6,'DONNÉES BRUTES'!Z$3:Z$42+ROW('DONNÉES BRUTES'!Z$3:Z$42)/1000,6),'DONNÉES BRUTES'!Z$3:Z$42+ROW('DONNÉES BRUTES'!Z$3:Z$42)/1000,0)),"—")</f>
        <v/>
      </c>
      <c r="L9" s="115" t="inlineStr">
        <is>
          <t>—</t>
        </is>
      </c>
      <c r="M9" s="122">
        <f t="array" ref="M9">IFERROR(INDEX('DONNÉES BRUTES'!S$3:S$42,MATCH(_xlfn.AGGREGATE(14,6,'DONNÉES BRUTES'!Z$3:Z$42+ROW('DONNÉES BRUTES'!Z$3:Z$42)/1000,6),'DONNÉES BRUTES'!Z$3:Z$42+ROW('DONNÉES BRUTES'!Z$3:Z$42)/1000,0)),"—")</f>
        <v/>
      </c>
      <c r="O9" s="235">
        <f>IF(B11&lt;&gt;"—",LEFT(C11,15),"—")</f>
        <v/>
      </c>
      <c r="P9" s="235">
        <f>IF(E11&lt;&gt;"—",VALUE(LEFT(E11,FIND("/",E11)-1)),"")</f>
        <v/>
      </c>
      <c r="Q9" s="235">
        <f>IF(F11&lt;&gt;"—",F11,"")</f>
        <v/>
      </c>
      <c r="R9" s="235">
        <f>IF(H11&lt;&gt;"—",H11,"")</f>
        <v/>
      </c>
    </row>
    <row r="10" ht="15.95" customHeight="1" thickBot="1">
      <c r="A10" s="125" t="n">
        <v>7</v>
      </c>
      <c r="B10" s="121">
        <f t="array" ref="B10">IFERROR(INDEX('DONNÉES BRUTES'!A$3:A$42,MATCH(_xlfn.AGGREGATE(14,6,'DONNÉES BRUTES'!Z$3:Z$42+ROW('DONNÉES BRUTES'!Z$3:Z$42)/1000,7),'DONNÉES BRUTES'!Z$3:Z$42+ROW('DONNÉES BRUTES'!Z$3:Z$42)/1000,0)),"—")</f>
        <v/>
      </c>
      <c r="C10" s="109">
        <f t="array" ref="C10">IFERROR(INDEX('DONNÉES BRUTES'!B$3:B$42,MATCH(_xlfn.AGGREGATE(14,6,'DONNÉES BRUTES'!Z$3:Z$42+ROW('DONNÉES BRUTES'!Z$3:Z$42)/1000,7),'DONNÉES BRUTES'!Z$3:Z$42+ROW('DONNÉES BRUTES'!Z$3:Z$42)/1000,0)),"—")</f>
        <v/>
      </c>
      <c r="D10" s="109">
        <f t="array" ref="D10">IFERROR(INDEX('DONNÉES BRUTES'!C$3:C$42,MATCH(_xlfn.AGGREGATE(14,6,'DONNÉES BRUTES'!Z$3:Z$42+ROW('DONNÉES BRUTES'!Z$3:Z$42)/1000,7),'DONNÉES BRUTES'!Z$3:Z$42+ROW('DONNÉES BRUTES'!Z$3:Z$42)/1000,0)),"—")</f>
        <v/>
      </c>
      <c r="E10" s="110">
        <f t="array" ref="E10">IFERROR(INDEX('DONNÉES BRUTES'!Z$3:Z$42,MATCH(_xlfn.AGGREGATE(14,6,'DONNÉES BRUTES'!Z$3:Z$42+ROW('DONNÉES BRUTES'!Z$3:Z$42)/1000,7),'DONNÉES BRUTES'!Z$3:Z$42+ROW('DONNÉES BRUTES'!Z$3:Z$42)/1000,0))&amp;"/100","—")</f>
        <v/>
      </c>
      <c r="F10" s="108">
        <f t="array" ref="F10">IFERROR(INDEX('DONNÉES BRUTES'!U$3:U$42,MATCH(_xlfn.AGGREGATE(14,6,'DONNÉES BRUTES'!Z$3:Z$42+ROW('DONNÉES BRUTES'!Z$3:Z$42)/1000,7),'DONNÉES BRUTES'!Z$3:Z$42+ROW('DONNÉES BRUTES'!Z$3:Z$42)/1000,0)),"—")</f>
        <v/>
      </c>
      <c r="G10" s="108" t="inlineStr">
        <is>
          <t>—</t>
        </is>
      </c>
      <c r="H10" s="108">
        <f t="array" ref="H10">IFERROR(INDEX('DONNÉES BRUTES'!V$3:V$42,MATCH(_xlfn.AGGREGATE(14,6,'DONNÉES BRUTES'!Z$3:Z$42+ROW('DONNÉES BRUTES'!Z$3:Z$42)/1000,7),'DONNÉES BRUTES'!Z$3:Z$42+ROW('DONNÉES BRUTES'!Z$3:Z$42)/1000,0)),"—")</f>
        <v/>
      </c>
      <c r="I10" s="108" t="inlineStr">
        <is>
          <t>—</t>
        </is>
      </c>
      <c r="J10" s="108">
        <f t="array" ref="J10">IFERROR(INDEX('DONNÉES BRUTES'!N$3:N$42,MATCH(_xlfn.AGGREGATE(14,6,'DONNÉES BRUTES'!Z$3:Z$42+ROW('DONNÉES BRUTES'!Z$3:Z$42)/1000,7),'DONNÉES BRUTES'!Z$3:Z$42+ROW('DONNÉES BRUTES'!Z$3:Z$42)/1000,0)),"—")</f>
        <v/>
      </c>
      <c r="K10" s="108">
        <f t="array" ref="K10">IFERROR(INDEX('DONNÉES BRUTES'!Q$3:Q$42,MATCH(_xlfn.AGGREGATE(14,6,'DONNÉES BRUTES'!Z$3:Z$42+ROW('DONNÉES BRUTES'!Z$3:Z$42)/1000,7),'DONNÉES BRUTES'!Z$3:Z$42+ROW('DONNÉES BRUTES'!Z$3:Z$42)/1000,0)),"—")</f>
        <v/>
      </c>
      <c r="L10" s="111" t="inlineStr">
        <is>
          <t>—</t>
        </is>
      </c>
      <c r="M10" s="121">
        <f t="array" ref="M10">IFERROR(INDEX('DONNÉES BRUTES'!S$3:S$42,MATCH(_xlfn.AGGREGATE(14,6,'DONNÉES BRUTES'!Z$3:Z$42+ROW('DONNÉES BRUTES'!Z$3:Z$42)/1000,7),'DONNÉES BRUTES'!Z$3:Z$42+ROW('DONNÉES BRUTES'!Z$3:Z$42)/1000,0)),"—")</f>
        <v/>
      </c>
      <c r="O10" s="235">
        <f>IF(B12&lt;&gt;"—",LEFT(C12,15),"—")</f>
        <v/>
      </c>
      <c r="P10" s="235">
        <f>IF(E12&lt;&gt;"—",VALUE(LEFT(E12,FIND("/",E12)-1)),"")</f>
        <v/>
      </c>
      <c r="Q10" s="235">
        <f>IF(F12&lt;&gt;"—",F12,"")</f>
        <v/>
      </c>
      <c r="R10" s="235">
        <f>IF(H12&lt;&gt;"—",H12,"")</f>
        <v/>
      </c>
    </row>
    <row r="11" ht="15.95" customHeight="1" thickBot="1">
      <c r="A11" s="126" t="n">
        <v>8</v>
      </c>
      <c r="B11" s="122">
        <f t="array" ref="B11">IFERROR(INDEX('DONNÉES BRUTES'!A$3:A$42,MATCH(_xlfn.AGGREGATE(14,6,'DONNÉES BRUTES'!Z$3:Z$42+ROW('DONNÉES BRUTES'!Z$3:Z$42)/1000,8),'DONNÉES BRUTES'!Z$3:Z$42+ROW('DONNÉES BRUTES'!Z$3:Z$42)/1000,0)),"—")</f>
        <v/>
      </c>
      <c r="C11" s="113">
        <f t="array" ref="C11">IFERROR(INDEX('DONNÉES BRUTES'!B$3:B$42,MATCH(_xlfn.AGGREGATE(14,6,'DONNÉES BRUTES'!Z$3:Z$42+ROW('DONNÉES BRUTES'!Z$3:Z$42)/1000,8),'DONNÉES BRUTES'!Z$3:Z$42+ROW('DONNÉES BRUTES'!Z$3:Z$42)/1000,0)),"—")</f>
        <v/>
      </c>
      <c r="D11" s="113">
        <f t="array" ref="D11">IFERROR(INDEX('DONNÉES BRUTES'!C$3:C$42,MATCH(_xlfn.AGGREGATE(14,6,'DONNÉES BRUTES'!Z$3:Z$42+ROW('DONNÉES BRUTES'!Z$3:Z$42)/1000,8),'DONNÉES BRUTES'!Z$3:Z$42+ROW('DONNÉES BRUTES'!Z$3:Z$42)/1000,0)),"—")</f>
        <v/>
      </c>
      <c r="E11" s="114">
        <f t="array" ref="E11">IFERROR(INDEX('DONNÉES BRUTES'!Z$3:Z$42,MATCH(_xlfn.AGGREGATE(14,6,'DONNÉES BRUTES'!Z$3:Z$42+ROW('DONNÉES BRUTES'!Z$3:Z$42)/1000,8),'DONNÉES BRUTES'!Z$3:Z$42+ROW('DONNÉES BRUTES'!Z$3:Z$42)/1000,0))&amp;"/100","—")</f>
        <v/>
      </c>
      <c r="F11" s="112">
        <f t="array" ref="F11">IFERROR(INDEX('DONNÉES BRUTES'!U$3:U$42,MATCH(_xlfn.AGGREGATE(14,6,'DONNÉES BRUTES'!Z$3:Z$42+ROW('DONNÉES BRUTES'!Z$3:Z$42)/1000,8),'DONNÉES BRUTES'!Z$3:Z$42+ROW('DONNÉES BRUTES'!Z$3:Z$42)/1000,0)),"—")</f>
        <v/>
      </c>
      <c r="G11" s="112" t="inlineStr">
        <is>
          <t>—</t>
        </is>
      </c>
      <c r="H11" s="112">
        <f t="array" ref="H11">IFERROR(INDEX('DONNÉES BRUTES'!V$3:V$42,MATCH(_xlfn.AGGREGATE(14,6,'DONNÉES BRUTES'!Z$3:Z$42+ROW('DONNÉES BRUTES'!Z$3:Z$42)/1000,8),'DONNÉES BRUTES'!Z$3:Z$42+ROW('DONNÉES BRUTES'!Z$3:Z$42)/1000,0)),"—")</f>
        <v/>
      </c>
      <c r="I11" s="112" t="inlineStr">
        <is>
          <t>—</t>
        </is>
      </c>
      <c r="J11" s="112">
        <f t="array" ref="J11">IFERROR(INDEX('DONNÉES BRUTES'!N$3:N$42,MATCH(_xlfn.AGGREGATE(14,6,'DONNÉES BRUTES'!Z$3:Z$42+ROW('DONNÉES BRUTES'!Z$3:Z$42)/1000,8),'DONNÉES BRUTES'!Z$3:Z$42+ROW('DONNÉES BRUTES'!Z$3:Z$42)/1000,0)),"—")</f>
        <v/>
      </c>
      <c r="K11" s="112">
        <f t="array" ref="K11">IFERROR(INDEX('DONNÉES BRUTES'!Q$3:Q$42,MATCH(_xlfn.AGGREGATE(14,6,'DONNÉES BRUTES'!Z$3:Z$42+ROW('DONNÉES BRUTES'!Z$3:Z$42)/1000,8),'DONNÉES BRUTES'!Z$3:Z$42+ROW('DONNÉES BRUTES'!Z$3:Z$42)/1000,0)),"—")</f>
        <v/>
      </c>
      <c r="L11" s="115" t="inlineStr">
        <is>
          <t>—</t>
        </is>
      </c>
      <c r="M11" s="122">
        <f t="array" ref="M11">IFERROR(INDEX('DONNÉES BRUTES'!S$3:S$42,MATCH(_xlfn.AGGREGATE(14,6,'DONNÉES BRUTES'!Z$3:Z$42+ROW('DONNÉES BRUTES'!Z$3:Z$42)/1000,8),'DONNÉES BRUTES'!Z$3:Z$42+ROW('DONNÉES BRUTES'!Z$3:Z$42)/1000,0)),"—")</f>
        <v/>
      </c>
      <c r="O11" s="235">
        <f>IF(B13&lt;&gt;"—",LEFT(C13,15),"—")</f>
        <v/>
      </c>
      <c r="P11" s="235">
        <f>IF(E13&lt;&gt;"—",VALUE(LEFT(E13,FIND("/",E13)-1)),"")</f>
        <v/>
      </c>
      <c r="Q11" s="235">
        <f>IF(F13&lt;&gt;"—",F13,"")</f>
        <v/>
      </c>
      <c r="R11" s="235">
        <f>IF(H13&lt;&gt;"—",H13,"")</f>
        <v/>
      </c>
    </row>
    <row r="12" ht="15.95" customHeight="1" thickBot="1">
      <c r="A12" s="125" t="n">
        <v>9</v>
      </c>
      <c r="B12" s="121">
        <f t="array" ref="B12">IFERROR(INDEX('DONNÉES BRUTES'!A$3:A$42,MATCH(_xlfn.AGGREGATE(14,6,'DONNÉES BRUTES'!Z$3:Z$42+ROW('DONNÉES BRUTES'!Z$3:Z$42)/1000,9),'DONNÉES BRUTES'!Z$3:Z$42+ROW('DONNÉES BRUTES'!Z$3:Z$42)/1000,0)),"—")</f>
        <v/>
      </c>
      <c r="C12" s="109">
        <f t="array" ref="C12">IFERROR(INDEX('DONNÉES BRUTES'!B$3:B$42,MATCH(_xlfn.AGGREGATE(14,6,'DONNÉES BRUTES'!Z$3:Z$42+ROW('DONNÉES BRUTES'!Z$3:Z$42)/1000,9),'DONNÉES BRUTES'!Z$3:Z$42+ROW('DONNÉES BRUTES'!Z$3:Z$42)/1000,0)),"—")</f>
        <v/>
      </c>
      <c r="D12" s="109">
        <f t="array" ref="D12">IFERROR(INDEX('DONNÉES BRUTES'!C$3:C$42,MATCH(_xlfn.AGGREGATE(14,6,'DONNÉES BRUTES'!Z$3:Z$42+ROW('DONNÉES BRUTES'!Z$3:Z$42)/1000,9),'DONNÉES BRUTES'!Z$3:Z$42+ROW('DONNÉES BRUTES'!Z$3:Z$42)/1000,0)),"—")</f>
        <v/>
      </c>
      <c r="E12" s="110">
        <f t="array" ref="E12">IFERROR(INDEX('DONNÉES BRUTES'!Z$3:Z$42,MATCH(_xlfn.AGGREGATE(14,6,'DONNÉES BRUTES'!Z$3:Z$42+ROW('DONNÉES BRUTES'!Z$3:Z$42)/1000,9),'DONNÉES BRUTES'!Z$3:Z$42+ROW('DONNÉES BRUTES'!Z$3:Z$42)/1000,0))&amp;"/100","—")</f>
        <v/>
      </c>
      <c r="F12" s="108">
        <f t="array" ref="F12">IFERROR(INDEX('DONNÉES BRUTES'!U$3:U$42,MATCH(_xlfn.AGGREGATE(14,6,'DONNÉES BRUTES'!Z$3:Z$42+ROW('DONNÉES BRUTES'!Z$3:Z$42)/1000,9),'DONNÉES BRUTES'!Z$3:Z$42+ROW('DONNÉES BRUTES'!Z$3:Z$42)/1000,0)),"—")</f>
        <v/>
      </c>
      <c r="G12" s="108" t="inlineStr">
        <is>
          <t>—</t>
        </is>
      </c>
      <c r="H12" s="108">
        <f t="array" ref="H12">IFERROR(INDEX('DONNÉES BRUTES'!V$3:V$42,MATCH(_xlfn.AGGREGATE(14,6,'DONNÉES BRUTES'!Z$3:Z$42+ROW('DONNÉES BRUTES'!Z$3:Z$42)/1000,9),'DONNÉES BRUTES'!Z$3:Z$42+ROW('DONNÉES BRUTES'!Z$3:Z$42)/1000,0)),"—")</f>
        <v/>
      </c>
      <c r="I12" s="108" t="inlineStr">
        <is>
          <t>—</t>
        </is>
      </c>
      <c r="J12" s="108">
        <f t="array" ref="J12">IFERROR(INDEX('DONNÉES BRUTES'!N$3:N$42,MATCH(_xlfn.AGGREGATE(14,6,'DONNÉES BRUTES'!Z$3:Z$42+ROW('DONNÉES BRUTES'!Z$3:Z$42)/1000,9),'DONNÉES BRUTES'!Z$3:Z$42+ROW('DONNÉES BRUTES'!Z$3:Z$42)/1000,0)),"—")</f>
        <v/>
      </c>
      <c r="K12" s="108">
        <f t="array" ref="K12">IFERROR(INDEX('DONNÉES BRUTES'!Q$3:Q$42,MATCH(_xlfn.AGGREGATE(14,6,'DONNÉES BRUTES'!Z$3:Z$42+ROW('DONNÉES BRUTES'!Z$3:Z$42)/1000,9),'DONNÉES BRUTES'!Z$3:Z$42+ROW('DONNÉES BRUTES'!Z$3:Z$42)/1000,0)),"—")</f>
        <v/>
      </c>
      <c r="L12" s="111" t="inlineStr">
        <is>
          <t>—</t>
        </is>
      </c>
      <c r="M12" s="121">
        <f t="array" ref="M12">IFERROR(INDEX('DONNÉES BRUTES'!S$3:S$42,MATCH(_xlfn.AGGREGATE(14,6,'DONNÉES BRUTES'!Z$3:Z$42+ROW('DONNÉES BRUTES'!Z$3:Z$42)/1000,9),'DONNÉES BRUTES'!Z$3:Z$42+ROW('DONNÉES BRUTES'!Z$3:Z$42)/1000,0)),"—")</f>
        <v/>
      </c>
    </row>
    <row r="13" ht="15.95" customHeight="1" thickBot="1">
      <c r="A13" s="126" t="n">
        <v>10</v>
      </c>
      <c r="B13" s="122">
        <f t="array" ref="B13">IFERROR(INDEX('DONNÉES BRUTES'!A$3:A$42,MATCH(_xlfn.AGGREGATE(14,6,'DONNÉES BRUTES'!Z$3:Z$42+ROW('DONNÉES BRUTES'!Z$3:Z$42)/1000,10),'DONNÉES BRUTES'!Z$3:Z$42+ROW('DONNÉES BRUTES'!Z$3:Z$42)/1000,0)),"—")</f>
        <v/>
      </c>
      <c r="C13" s="113">
        <f t="array" ref="C13">IFERROR(INDEX('DONNÉES BRUTES'!B$3:B$42,MATCH(_xlfn.AGGREGATE(14,6,'DONNÉES BRUTES'!Z$3:Z$42+ROW('DONNÉES BRUTES'!Z$3:Z$42)/1000,10),'DONNÉES BRUTES'!Z$3:Z$42+ROW('DONNÉES BRUTES'!Z$3:Z$42)/1000,0)),"—")</f>
        <v/>
      </c>
      <c r="D13" s="113">
        <f t="array" ref="D13">IFERROR(INDEX('DONNÉES BRUTES'!C$3:C$42,MATCH(_xlfn.AGGREGATE(14,6,'DONNÉES BRUTES'!Z$3:Z$42+ROW('DONNÉES BRUTES'!Z$3:Z$42)/1000,10),'DONNÉES BRUTES'!Z$3:Z$42+ROW('DONNÉES BRUTES'!Z$3:Z$42)/1000,0)),"—")</f>
        <v/>
      </c>
      <c r="E13" s="114">
        <f t="array" ref="E13">IFERROR(INDEX('DONNÉES BRUTES'!Z$3:Z$42,MATCH(_xlfn.AGGREGATE(14,6,'DONNÉES BRUTES'!Z$3:Z$42+ROW('DONNÉES BRUTES'!Z$3:Z$42)/1000,10),'DONNÉES BRUTES'!Z$3:Z$42+ROW('DONNÉES BRUTES'!Z$3:Z$42)/1000,0))&amp;"/100","—")</f>
        <v/>
      </c>
      <c r="F13" s="112">
        <f t="array" ref="F13">IFERROR(INDEX('DONNÉES BRUTES'!U$3:U$42,MATCH(_xlfn.AGGREGATE(14,6,'DONNÉES BRUTES'!Z$3:Z$42+ROW('DONNÉES BRUTES'!Z$3:Z$42)/1000,10),'DONNÉES BRUTES'!Z$3:Z$42+ROW('DONNÉES BRUTES'!Z$3:Z$42)/1000,0)),"—")</f>
        <v/>
      </c>
      <c r="G13" s="112" t="inlineStr">
        <is>
          <t>—</t>
        </is>
      </c>
      <c r="H13" s="112">
        <f t="array" ref="H13">IFERROR(INDEX('DONNÉES BRUTES'!V$3:V$42,MATCH(_xlfn.AGGREGATE(14,6,'DONNÉES BRUTES'!Z$3:Z$42+ROW('DONNÉES BRUTES'!Z$3:Z$42)/1000,10),'DONNÉES BRUTES'!Z$3:Z$42+ROW('DONNÉES BRUTES'!Z$3:Z$42)/1000,0)),"—")</f>
        <v/>
      </c>
      <c r="I13" s="112" t="inlineStr">
        <is>
          <t>—</t>
        </is>
      </c>
      <c r="J13" s="112">
        <f t="array" ref="J13">IFERROR(INDEX('DONNÉES BRUTES'!N$3:N$42,MATCH(_xlfn.AGGREGATE(14,6,'DONNÉES BRUTES'!Z$3:Z$42+ROW('DONNÉES BRUTES'!Z$3:Z$42)/1000,10),'DONNÉES BRUTES'!Z$3:Z$42+ROW('DONNÉES BRUTES'!Z$3:Z$42)/1000,0)),"—")</f>
        <v/>
      </c>
      <c r="K13" s="112">
        <f t="array" ref="K13">IFERROR(INDEX('DONNÉES BRUTES'!Q$3:Q$42,MATCH(_xlfn.AGGREGATE(14,6,'DONNÉES BRUTES'!Z$3:Z$42+ROW('DONNÉES BRUTES'!Z$3:Z$42)/1000,10),'DONNÉES BRUTES'!Z$3:Z$42+ROW('DONNÉES BRUTES'!Z$3:Z$42)/1000,0)),"—")</f>
        <v/>
      </c>
      <c r="L13" s="115" t="inlineStr">
        <is>
          <t>—</t>
        </is>
      </c>
      <c r="M13" s="122">
        <f t="array" ref="M13">IFERROR(INDEX('DONNÉES BRUTES'!S$3:S$42,MATCH(_xlfn.AGGREGATE(14,6,'DONNÉES BRUTES'!Z$3:Z$42+ROW('DONNÉES BRUTES'!Z$3:Z$42)/1000,10),'DONNÉES BRUTES'!Z$3:Z$42+ROW('DONNÉES BRUTES'!Z$3:Z$42)/1000,0)),"—")</f>
        <v/>
      </c>
    </row>
    <row r="14" ht="15.95" customHeight="1" thickBot="1">
      <c r="A14" s="125" t="n">
        <v>11</v>
      </c>
      <c r="B14" s="121">
        <f t="array" ref="B14">IFERROR(INDEX('DONNÉES BRUTES'!A$3:A$42,MATCH(_xlfn.AGGREGATE(14,6,'DONNÉES BRUTES'!Z$3:Z$42+ROW('DONNÉES BRUTES'!Z$3:Z$42)/1000,11),'DONNÉES BRUTES'!Z$3:Z$42+ROW('DONNÉES BRUTES'!Z$3:Z$42)/1000,0)),"—")</f>
        <v/>
      </c>
      <c r="C14" s="109">
        <f t="array" ref="C14">IFERROR(INDEX('DONNÉES BRUTES'!B$3:B$42,MATCH(_xlfn.AGGREGATE(14,6,'DONNÉES BRUTES'!Z$3:Z$42+ROW('DONNÉES BRUTES'!Z$3:Z$42)/1000,11),'DONNÉES BRUTES'!Z$3:Z$42+ROW('DONNÉES BRUTES'!Z$3:Z$42)/1000,0)),"—")</f>
        <v/>
      </c>
      <c r="D14" s="109">
        <f t="array" ref="D14">IFERROR(INDEX('DONNÉES BRUTES'!C$3:C$42,MATCH(_xlfn.AGGREGATE(14,6,'DONNÉES BRUTES'!Z$3:Z$42+ROW('DONNÉES BRUTES'!Z$3:Z$42)/1000,11),'DONNÉES BRUTES'!Z$3:Z$42+ROW('DONNÉES BRUTES'!Z$3:Z$42)/1000,0)),"—")</f>
        <v/>
      </c>
      <c r="E14" s="110">
        <f t="array" ref="E14">IFERROR(INDEX('DONNÉES BRUTES'!Z$3:Z$42,MATCH(_xlfn.AGGREGATE(14,6,'DONNÉES BRUTES'!Z$3:Z$42+ROW('DONNÉES BRUTES'!Z$3:Z$42)/1000,11),'DONNÉES BRUTES'!Z$3:Z$42+ROW('DONNÉES BRUTES'!Z$3:Z$42)/1000,0))&amp;"/100","—")</f>
        <v/>
      </c>
      <c r="F14" s="108">
        <f t="array" ref="F14">IFERROR(INDEX('DONNÉES BRUTES'!U$3:U$42,MATCH(_xlfn.AGGREGATE(14,6,'DONNÉES BRUTES'!Z$3:Z$42+ROW('DONNÉES BRUTES'!Z$3:Z$42)/1000,11),'DONNÉES BRUTES'!Z$3:Z$42+ROW('DONNÉES BRUTES'!Z$3:Z$42)/1000,0)),"—")</f>
        <v/>
      </c>
      <c r="G14" s="108" t="inlineStr">
        <is>
          <t>—</t>
        </is>
      </c>
      <c r="H14" s="108">
        <f t="array" ref="H14">IFERROR(INDEX('DONNÉES BRUTES'!V$3:V$42,MATCH(_xlfn.AGGREGATE(14,6,'DONNÉES BRUTES'!Z$3:Z$42+ROW('DONNÉES BRUTES'!Z$3:Z$42)/1000,11),'DONNÉES BRUTES'!Z$3:Z$42+ROW('DONNÉES BRUTES'!Z$3:Z$42)/1000,0)),"—")</f>
        <v/>
      </c>
      <c r="I14" s="108" t="inlineStr">
        <is>
          <t>—</t>
        </is>
      </c>
      <c r="J14" s="108">
        <f t="array" ref="J14">IFERROR(INDEX('DONNÉES BRUTES'!N$3:N$42,MATCH(_xlfn.AGGREGATE(14,6,'DONNÉES BRUTES'!Z$3:Z$42+ROW('DONNÉES BRUTES'!Z$3:Z$42)/1000,11),'DONNÉES BRUTES'!Z$3:Z$42+ROW('DONNÉES BRUTES'!Z$3:Z$42)/1000,0)),"—")</f>
        <v/>
      </c>
      <c r="K14" s="108">
        <f t="array" ref="K14">IFERROR(INDEX('DONNÉES BRUTES'!Q$3:Q$42,MATCH(_xlfn.AGGREGATE(14,6,'DONNÉES BRUTES'!Z$3:Z$42+ROW('DONNÉES BRUTES'!Z$3:Z$42)/1000,11),'DONNÉES BRUTES'!Z$3:Z$42+ROW('DONNÉES BRUTES'!Z$3:Z$42)/1000,0)),"—")</f>
        <v/>
      </c>
      <c r="L14" s="111" t="inlineStr">
        <is>
          <t>—</t>
        </is>
      </c>
      <c r="M14" s="121">
        <f t="array" ref="M14">IFERROR(INDEX('DONNÉES BRUTES'!S$3:S$42,MATCH(_xlfn.AGGREGATE(14,6,'DONNÉES BRUTES'!Z$3:Z$42+ROW('DONNÉES BRUTES'!Z$3:Z$42)/1000,11),'DONNÉES BRUTES'!Z$3:Z$42+ROW('DONNÉES BRUTES'!Z$3:Z$42)/1000,0)),"—")</f>
        <v/>
      </c>
    </row>
    <row r="15" ht="15.95" customHeight="1" thickBot="1">
      <c r="A15" s="126" t="n">
        <v>12</v>
      </c>
      <c r="B15" s="122">
        <f t="array" ref="B15">IFERROR(INDEX('DONNÉES BRUTES'!A$3:A$42,MATCH(_xlfn.AGGREGATE(14,6,'DONNÉES BRUTES'!Z$3:Z$42+ROW('DONNÉES BRUTES'!Z$3:Z$42)/1000,12),'DONNÉES BRUTES'!Z$3:Z$42+ROW('DONNÉES BRUTES'!Z$3:Z$42)/1000,0)),"—")</f>
        <v/>
      </c>
      <c r="C15" s="113">
        <f t="array" ref="C15">IFERROR(INDEX('DONNÉES BRUTES'!B$3:B$42,MATCH(_xlfn.AGGREGATE(14,6,'DONNÉES BRUTES'!Z$3:Z$42+ROW('DONNÉES BRUTES'!Z$3:Z$42)/1000,12),'DONNÉES BRUTES'!Z$3:Z$42+ROW('DONNÉES BRUTES'!Z$3:Z$42)/1000,0)),"—")</f>
        <v/>
      </c>
      <c r="D15" s="113">
        <f t="array" ref="D15">IFERROR(INDEX('DONNÉES BRUTES'!C$3:C$42,MATCH(_xlfn.AGGREGATE(14,6,'DONNÉES BRUTES'!Z$3:Z$42+ROW('DONNÉES BRUTES'!Z$3:Z$42)/1000,12),'DONNÉES BRUTES'!Z$3:Z$42+ROW('DONNÉES BRUTES'!Z$3:Z$42)/1000,0)),"—")</f>
        <v/>
      </c>
      <c r="E15" s="114">
        <f t="array" ref="E15">IFERROR(INDEX('DONNÉES BRUTES'!Z$3:Z$42,MATCH(_xlfn.AGGREGATE(14,6,'DONNÉES BRUTES'!Z$3:Z$42+ROW('DONNÉES BRUTES'!Z$3:Z$42)/1000,12),'DONNÉES BRUTES'!Z$3:Z$42+ROW('DONNÉES BRUTES'!Z$3:Z$42)/1000,0))&amp;"/100","—")</f>
        <v/>
      </c>
      <c r="F15" s="112">
        <f t="array" ref="F15">IFERROR(INDEX('DONNÉES BRUTES'!U$3:U$42,MATCH(_xlfn.AGGREGATE(14,6,'DONNÉES BRUTES'!Z$3:Z$42+ROW('DONNÉES BRUTES'!Z$3:Z$42)/1000,12),'DONNÉES BRUTES'!Z$3:Z$42+ROW('DONNÉES BRUTES'!Z$3:Z$42)/1000,0)),"—")</f>
        <v/>
      </c>
      <c r="G15" s="112" t="inlineStr">
        <is>
          <t>—</t>
        </is>
      </c>
      <c r="H15" s="112">
        <f t="array" ref="H15">IFERROR(INDEX('DONNÉES BRUTES'!V$3:V$42,MATCH(_xlfn.AGGREGATE(14,6,'DONNÉES BRUTES'!Z$3:Z$42+ROW('DONNÉES BRUTES'!Z$3:Z$42)/1000,12),'DONNÉES BRUTES'!Z$3:Z$42+ROW('DONNÉES BRUTES'!Z$3:Z$42)/1000,0)),"—")</f>
        <v/>
      </c>
      <c r="I15" s="112" t="inlineStr">
        <is>
          <t>—</t>
        </is>
      </c>
      <c r="J15" s="112">
        <f t="array" ref="J15">IFERROR(INDEX('DONNÉES BRUTES'!N$3:N$42,MATCH(_xlfn.AGGREGATE(14,6,'DONNÉES BRUTES'!Z$3:Z$42+ROW('DONNÉES BRUTES'!Z$3:Z$42)/1000,12),'DONNÉES BRUTES'!Z$3:Z$42+ROW('DONNÉES BRUTES'!Z$3:Z$42)/1000,0)),"—")</f>
        <v/>
      </c>
      <c r="K15" s="112">
        <f t="array" ref="K15">IFERROR(INDEX('DONNÉES BRUTES'!Q$3:Q$42,MATCH(_xlfn.AGGREGATE(14,6,'DONNÉES BRUTES'!Z$3:Z$42+ROW('DONNÉES BRUTES'!Z$3:Z$42)/1000,12),'DONNÉES BRUTES'!Z$3:Z$42+ROW('DONNÉES BRUTES'!Z$3:Z$42)/1000,0)),"—")</f>
        <v/>
      </c>
      <c r="L15" s="115" t="inlineStr">
        <is>
          <t>—</t>
        </is>
      </c>
      <c r="M15" s="122">
        <f t="array" ref="M15">IFERROR(INDEX('DONNÉES BRUTES'!S$3:S$42,MATCH(_xlfn.AGGREGATE(14,6,'DONNÉES BRUTES'!Z$3:Z$42+ROW('DONNÉES BRUTES'!Z$3:Z$42)/1000,12),'DONNÉES BRUTES'!Z$3:Z$42+ROW('DONNÉES BRUTES'!Z$3:Z$42)/1000,0)),"—")</f>
        <v/>
      </c>
    </row>
    <row r="16" ht="15.95" customHeight="1" thickBot="1">
      <c r="A16" s="125" t="n">
        <v>13</v>
      </c>
      <c r="B16" s="121">
        <f t="array" ref="B16">IFERROR(INDEX('DONNÉES BRUTES'!A$3:A$42,MATCH(_xlfn.AGGREGATE(14,6,'DONNÉES BRUTES'!Z$3:Z$42+ROW('DONNÉES BRUTES'!Z$3:Z$42)/1000,13),'DONNÉES BRUTES'!Z$3:Z$42+ROW('DONNÉES BRUTES'!Z$3:Z$42)/1000,0)),"—")</f>
        <v/>
      </c>
      <c r="C16" s="109">
        <f t="array" ref="C16">IFERROR(INDEX('DONNÉES BRUTES'!B$3:B$42,MATCH(_xlfn.AGGREGATE(14,6,'DONNÉES BRUTES'!Z$3:Z$42+ROW('DONNÉES BRUTES'!Z$3:Z$42)/1000,13),'DONNÉES BRUTES'!Z$3:Z$42+ROW('DONNÉES BRUTES'!Z$3:Z$42)/1000,0)),"—")</f>
        <v/>
      </c>
      <c r="D16" s="109">
        <f t="array" ref="D16">IFERROR(INDEX('DONNÉES BRUTES'!C$3:C$42,MATCH(_xlfn.AGGREGATE(14,6,'DONNÉES BRUTES'!Z$3:Z$42+ROW('DONNÉES BRUTES'!Z$3:Z$42)/1000,13),'DONNÉES BRUTES'!Z$3:Z$42+ROW('DONNÉES BRUTES'!Z$3:Z$42)/1000,0)),"—")</f>
        <v/>
      </c>
      <c r="E16" s="110">
        <f t="array" ref="E16">IFERROR(INDEX('DONNÉES BRUTES'!Z$3:Z$42,MATCH(_xlfn.AGGREGATE(14,6,'DONNÉES BRUTES'!Z$3:Z$42+ROW('DONNÉES BRUTES'!Z$3:Z$42)/1000,13),'DONNÉES BRUTES'!Z$3:Z$42+ROW('DONNÉES BRUTES'!Z$3:Z$42)/1000,0))&amp;"/100","—")</f>
        <v/>
      </c>
      <c r="F16" s="108">
        <f t="array" ref="F16">IFERROR(INDEX('DONNÉES BRUTES'!U$3:U$42,MATCH(_xlfn.AGGREGATE(14,6,'DONNÉES BRUTES'!Z$3:Z$42+ROW('DONNÉES BRUTES'!Z$3:Z$42)/1000,13),'DONNÉES BRUTES'!Z$3:Z$42+ROW('DONNÉES BRUTES'!Z$3:Z$42)/1000,0)),"—")</f>
        <v/>
      </c>
      <c r="G16" s="108" t="inlineStr">
        <is>
          <t>—</t>
        </is>
      </c>
      <c r="H16" s="108">
        <f t="array" ref="H16">IFERROR(INDEX('DONNÉES BRUTES'!V$3:V$42,MATCH(_xlfn.AGGREGATE(14,6,'DONNÉES BRUTES'!Z$3:Z$42+ROW('DONNÉES BRUTES'!Z$3:Z$42)/1000,13),'DONNÉES BRUTES'!Z$3:Z$42+ROW('DONNÉES BRUTES'!Z$3:Z$42)/1000,0)),"—")</f>
        <v/>
      </c>
      <c r="I16" s="108" t="inlineStr">
        <is>
          <t>—</t>
        </is>
      </c>
      <c r="J16" s="108">
        <f t="array" ref="J16">IFERROR(INDEX('DONNÉES BRUTES'!N$3:N$42,MATCH(_xlfn.AGGREGATE(14,6,'DONNÉES BRUTES'!Z$3:Z$42+ROW('DONNÉES BRUTES'!Z$3:Z$42)/1000,13),'DONNÉES BRUTES'!Z$3:Z$42+ROW('DONNÉES BRUTES'!Z$3:Z$42)/1000,0)),"—")</f>
        <v/>
      </c>
      <c r="K16" s="108">
        <f t="array" ref="K16">IFERROR(INDEX('DONNÉES BRUTES'!Q$3:Q$42,MATCH(_xlfn.AGGREGATE(14,6,'DONNÉES BRUTES'!Z$3:Z$42+ROW('DONNÉES BRUTES'!Z$3:Z$42)/1000,13),'DONNÉES BRUTES'!Z$3:Z$42+ROW('DONNÉES BRUTES'!Z$3:Z$42)/1000,0)),"—")</f>
        <v/>
      </c>
      <c r="L16" s="111" t="inlineStr">
        <is>
          <t>—</t>
        </is>
      </c>
      <c r="M16" s="121">
        <f t="array" ref="M16">IFERROR(INDEX('DONNÉES BRUTES'!S$3:S$42,MATCH(_xlfn.AGGREGATE(14,6,'DONNÉES BRUTES'!Z$3:Z$42+ROW('DONNÉES BRUTES'!Z$3:Z$42)/1000,13),'DONNÉES BRUTES'!Z$3:Z$42+ROW('DONNÉES BRUTES'!Z$3:Z$42)/1000,0)),"—")</f>
        <v/>
      </c>
    </row>
    <row r="17" ht="15.95" customHeight="1" thickBot="1">
      <c r="A17" s="126" t="n">
        <v>14</v>
      </c>
      <c r="B17" s="122">
        <f t="array" ref="B17">IFERROR(INDEX('DONNÉES BRUTES'!A$3:A$42,MATCH(_xlfn.AGGREGATE(14,6,'DONNÉES BRUTES'!Z$3:Z$42+ROW('DONNÉES BRUTES'!Z$3:Z$42)/1000,14),'DONNÉES BRUTES'!Z$3:Z$42+ROW('DONNÉES BRUTES'!Z$3:Z$42)/1000,0)),"—")</f>
        <v/>
      </c>
      <c r="C17" s="113">
        <f t="array" ref="C17">IFERROR(INDEX('DONNÉES BRUTES'!B$3:B$42,MATCH(_xlfn.AGGREGATE(14,6,'DONNÉES BRUTES'!Z$3:Z$42+ROW('DONNÉES BRUTES'!Z$3:Z$42)/1000,14),'DONNÉES BRUTES'!Z$3:Z$42+ROW('DONNÉES BRUTES'!Z$3:Z$42)/1000,0)),"—")</f>
        <v/>
      </c>
      <c r="D17" s="113">
        <f t="array" ref="D17">IFERROR(INDEX('DONNÉES BRUTES'!C$3:C$42,MATCH(_xlfn.AGGREGATE(14,6,'DONNÉES BRUTES'!Z$3:Z$42+ROW('DONNÉES BRUTES'!Z$3:Z$42)/1000,14),'DONNÉES BRUTES'!Z$3:Z$42+ROW('DONNÉES BRUTES'!Z$3:Z$42)/1000,0)),"—")</f>
        <v/>
      </c>
      <c r="E17" s="114">
        <f t="array" ref="E17">IFERROR(INDEX('DONNÉES BRUTES'!Z$3:Z$42,MATCH(_xlfn.AGGREGATE(14,6,'DONNÉES BRUTES'!Z$3:Z$42+ROW('DONNÉES BRUTES'!Z$3:Z$42)/1000,14),'DONNÉES BRUTES'!Z$3:Z$42+ROW('DONNÉES BRUTES'!Z$3:Z$42)/1000,0))&amp;"/100","—")</f>
        <v/>
      </c>
      <c r="F17" s="112">
        <f t="array" ref="F17">IFERROR(INDEX('DONNÉES BRUTES'!U$3:U$42,MATCH(_xlfn.AGGREGATE(14,6,'DONNÉES BRUTES'!Z$3:Z$42+ROW('DONNÉES BRUTES'!Z$3:Z$42)/1000,14),'DONNÉES BRUTES'!Z$3:Z$42+ROW('DONNÉES BRUTES'!Z$3:Z$42)/1000,0)),"—")</f>
        <v/>
      </c>
      <c r="G17" s="112" t="inlineStr">
        <is>
          <t>—</t>
        </is>
      </c>
      <c r="H17" s="112">
        <f t="array" ref="H17">IFERROR(INDEX('DONNÉES BRUTES'!V$3:V$42,MATCH(_xlfn.AGGREGATE(14,6,'DONNÉES BRUTES'!Z$3:Z$42+ROW('DONNÉES BRUTES'!Z$3:Z$42)/1000,14),'DONNÉES BRUTES'!Z$3:Z$42+ROW('DONNÉES BRUTES'!Z$3:Z$42)/1000,0)),"—")</f>
        <v/>
      </c>
      <c r="I17" s="112" t="inlineStr">
        <is>
          <t>—</t>
        </is>
      </c>
      <c r="J17" s="112">
        <f t="array" ref="J17">IFERROR(INDEX('DONNÉES BRUTES'!N$3:N$42,MATCH(_xlfn.AGGREGATE(14,6,'DONNÉES BRUTES'!Z$3:Z$42+ROW('DONNÉES BRUTES'!Z$3:Z$42)/1000,14),'DONNÉES BRUTES'!Z$3:Z$42+ROW('DONNÉES BRUTES'!Z$3:Z$42)/1000,0)),"—")</f>
        <v/>
      </c>
      <c r="K17" s="112">
        <f t="array" ref="K17">IFERROR(INDEX('DONNÉES BRUTES'!Q$3:Q$42,MATCH(_xlfn.AGGREGATE(14,6,'DONNÉES BRUTES'!Z$3:Z$42+ROW('DONNÉES BRUTES'!Z$3:Z$42)/1000,14),'DONNÉES BRUTES'!Z$3:Z$42+ROW('DONNÉES BRUTES'!Z$3:Z$42)/1000,0)),"—")</f>
        <v/>
      </c>
      <c r="L17" s="115" t="inlineStr">
        <is>
          <t>—</t>
        </is>
      </c>
      <c r="M17" s="122">
        <f t="array" ref="M17">IFERROR(INDEX('DONNÉES BRUTES'!S$3:S$42,MATCH(_xlfn.AGGREGATE(14,6,'DONNÉES BRUTES'!Z$3:Z$42+ROW('DONNÉES BRUTES'!Z$3:Z$42)/1000,14),'DONNÉES BRUTES'!Z$3:Z$42+ROW('DONNÉES BRUTES'!Z$3:Z$42)/1000,0)),"—")</f>
        <v/>
      </c>
    </row>
    <row r="18" ht="15.95" customHeight="1">
      <c r="A18" s="127" t="n">
        <v>15</v>
      </c>
      <c r="B18" s="123">
        <f t="array" ref="B18">IFERROR(INDEX('DONNÉES BRUTES'!A$3:A$42,MATCH(_xlfn.AGGREGATE(14,6,'DONNÉES BRUTES'!Z$3:Z$42+ROW('DONNÉES BRUTES'!Z$3:Z$42)/1000,15),'DONNÉES BRUTES'!Z$3:Z$42+ROW('DONNÉES BRUTES'!Z$3:Z$42)/1000,0)),"—")</f>
        <v/>
      </c>
      <c r="C18" s="117">
        <f t="array" ref="C18">IFERROR(INDEX('DONNÉES BRUTES'!B$3:B$42,MATCH(_xlfn.AGGREGATE(14,6,'DONNÉES BRUTES'!Z$3:Z$42+ROW('DONNÉES BRUTES'!Z$3:Z$42)/1000,15),'DONNÉES BRUTES'!Z$3:Z$42+ROW('DONNÉES BRUTES'!Z$3:Z$42)/1000,0)),"—")</f>
        <v/>
      </c>
      <c r="D18" s="117">
        <f t="array" ref="D18">IFERROR(INDEX('DONNÉES BRUTES'!C$3:C$42,MATCH(_xlfn.AGGREGATE(14,6,'DONNÉES BRUTES'!Z$3:Z$42+ROW('DONNÉES BRUTES'!Z$3:Z$42)/1000,15),'DONNÉES BRUTES'!Z$3:Z$42+ROW('DONNÉES BRUTES'!Z$3:Z$42)/1000,0)),"—")</f>
        <v/>
      </c>
      <c r="E18" s="118">
        <f t="array" ref="E18">IFERROR(INDEX('DONNÉES BRUTES'!Z$3:Z$42,MATCH(_xlfn.AGGREGATE(14,6,'DONNÉES BRUTES'!Z$3:Z$42+ROW('DONNÉES BRUTES'!Z$3:Z$42)/1000,15),'DONNÉES BRUTES'!Z$3:Z$42+ROW('DONNÉES BRUTES'!Z$3:Z$42)/1000,0))&amp;"/100","—")</f>
        <v/>
      </c>
      <c r="F18" s="116">
        <f t="array" ref="F18">IFERROR(INDEX('DONNÉES BRUTES'!U$3:U$42,MATCH(_xlfn.AGGREGATE(14,6,'DONNÉES BRUTES'!Z$3:Z$42+ROW('DONNÉES BRUTES'!Z$3:Z$42)/1000,15),'DONNÉES BRUTES'!Z$3:Z$42+ROW('DONNÉES BRUTES'!Z$3:Z$42)/1000,0)),"—")</f>
        <v/>
      </c>
      <c r="G18" s="116" t="inlineStr">
        <is>
          <t>—</t>
        </is>
      </c>
      <c r="H18" s="116">
        <f t="array" ref="H18">IFERROR(INDEX('DONNÉES BRUTES'!V$3:V$42,MATCH(_xlfn.AGGREGATE(14,6,'DONNÉES BRUTES'!Z$3:Z$42+ROW('DONNÉES BRUTES'!Z$3:Z$42)/1000,15),'DONNÉES BRUTES'!Z$3:Z$42+ROW('DONNÉES BRUTES'!Z$3:Z$42)/1000,0)),"—")</f>
        <v/>
      </c>
      <c r="I18" s="116" t="inlineStr">
        <is>
          <t>—</t>
        </is>
      </c>
      <c r="J18" s="116">
        <f t="array" ref="J18">IFERROR(INDEX('DONNÉES BRUTES'!N$3:N$42,MATCH(_xlfn.AGGREGATE(14,6,'DONNÉES BRUTES'!Z$3:Z$42+ROW('DONNÉES BRUTES'!Z$3:Z$42)/1000,15),'DONNÉES BRUTES'!Z$3:Z$42+ROW('DONNÉES BRUTES'!Z$3:Z$42)/1000,0)),"—")</f>
        <v/>
      </c>
      <c r="K18" s="116">
        <f t="array" ref="K18">IFERROR(INDEX('DONNÉES BRUTES'!Q$3:Q$42,MATCH(_xlfn.AGGREGATE(14,6,'DONNÉES BRUTES'!Z$3:Z$42+ROW('DONNÉES BRUTES'!Z$3:Z$42)/1000,15),'DONNÉES BRUTES'!Z$3:Z$42+ROW('DONNÉES BRUTES'!Z$3:Z$42)/1000,0)),"—")</f>
        <v/>
      </c>
      <c r="L18" s="119" t="inlineStr">
        <is>
          <t>—</t>
        </is>
      </c>
      <c r="M18" s="123">
        <f t="array" ref="M18">IFERROR(INDEX('DONNÉES BRUTES'!S$3:S$42,MATCH(_xlfn.AGGREGATE(14,6,'DONNÉES BRUTES'!Z$3:Z$42+ROW('DONNÉES BRUTES'!Z$3:Z$42)/1000,15),'DONNÉES BRUTES'!Z$3:Z$42+ROW('DONNÉES BRUTES'!Z$3:Z$42)/1000,0)),"—")</f>
        <v/>
      </c>
    </row>
    <row r="19" ht="15.95" customHeight="1">
      <c r="A19" s="128" t="n"/>
      <c r="B19" s="128" t="n"/>
      <c r="C19" s="128" t="n"/>
      <c r="D19" s="128" t="n"/>
      <c r="E19" s="128" t="n"/>
      <c r="F19" s="128" t="n"/>
      <c r="G19" s="128" t="n"/>
      <c r="H19" s="128" t="n"/>
      <c r="I19" s="128" t="n"/>
      <c r="J19" s="128" t="n"/>
      <c r="K19" s="128" t="n"/>
      <c r="L19" s="128" t="n"/>
      <c r="M19" s="128" t="n"/>
    </row>
    <row r="20" ht="6" customHeight="1">
      <c r="A20" s="131" t="n"/>
      <c r="B20" s="130" t="n"/>
      <c r="C20" s="130" t="n"/>
      <c r="D20" s="130" t="n"/>
      <c r="E20" s="130" t="n"/>
      <c r="F20" s="130" t="n"/>
      <c r="G20" s="130" t="n"/>
      <c r="H20" s="130" t="n"/>
      <c r="I20" s="130" t="n"/>
      <c r="J20" s="130" t="n"/>
      <c r="K20" s="130" t="n"/>
      <c r="L20" s="130" t="n"/>
      <c r="M20" s="132" t="n"/>
    </row>
    <row r="21" ht="15.95" customHeight="1">
      <c r="A21" s="145" t="n"/>
      <c r="B21" s="145" t="n"/>
      <c r="C21" s="145" t="n"/>
      <c r="D21" s="145" t="n"/>
      <c r="E21" s="145" t="n"/>
      <c r="F21" s="145" t="n"/>
      <c r="G21" s="145" t="n"/>
      <c r="H21" s="145" t="n"/>
      <c r="I21" s="145" t="n"/>
      <c r="J21" s="145" t="n"/>
      <c r="K21" s="145" t="n"/>
      <c r="L21" s="145" t="n"/>
      <c r="M21" s="145" t="n"/>
    </row>
    <row r="22" ht="15.95" customHeight="1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</row>
    <row r="23" ht="13.9" customHeight="1"/>
    <row r="24" ht="13.9" customHeight="1"/>
    <row r="25" ht="13.9" customHeight="1"/>
    <row r="26" ht="13.9" customHeight="1"/>
    <row r="27" ht="13.9" customHeight="1"/>
    <row r="28" ht="13.9" customHeight="1"/>
    <row r="29" ht="13.9" customHeight="1"/>
    <row r="30" ht="13.9" customHeight="1"/>
    <row r="31" ht="13.9" customHeight="1"/>
    <row r="32" ht="13.9" customHeight="1"/>
    <row r="33" ht="13.9" customHeight="1"/>
    <row r="34" ht="13.9" customHeight="1"/>
    <row r="35" ht="13.9" customHeight="1"/>
    <row r="36" ht="13.9" customHeight="1"/>
    <row r="37" ht="13.9" customHeight="1"/>
    <row r="38" ht="13.9" customHeight="1"/>
    <row r="39" ht="13.9" customHeight="1"/>
    <row r="40" ht="13.9" customHeight="1"/>
    <row r="41" ht="13.9" customHeight="1"/>
    <row r="42" ht="13.9" customHeight="1"/>
    <row r="44" ht="16.15" customHeight="1"/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2"/>
  <sheetViews>
    <sheetView showGridLines="0" zoomScale="90" workbookViewId="0">
      <selection activeCell="A2" sqref="A2"/>
    </sheetView>
  </sheetViews>
  <sheetFormatPr baseColWidth="10" defaultColWidth="8.85546875" defaultRowHeight="15"/>
  <cols>
    <col width="5.28515625" customWidth="1" min="1" max="1"/>
    <col width="9.140625" customWidth="1" min="2" max="2"/>
    <col width="26.7109375" customWidth="1" min="3" max="3"/>
    <col width="15.28515625" customWidth="1" min="4" max="4"/>
    <col width="9.140625" customWidth="1" min="5" max="5"/>
    <col width="12.42578125" customWidth="1" min="6" max="9"/>
    <col width="15.28515625" customWidth="1" min="10" max="10"/>
    <col width="12.42578125" customWidth="1" min="11" max="11"/>
    <col width="8.85546875" customWidth="1" style="235" min="15" max="16"/>
  </cols>
  <sheetData>
    <row r="1" ht="32.1" customHeight="1" thickBot="1">
      <c r="A1" s="102" t="inlineStr">
        <is>
          <t>FinSight IA  ·  Analyse MOMENTUM  ·  CAC 40  ·  22/03/2026</t>
        </is>
      </c>
      <c r="B1" s="102" t="n"/>
      <c r="C1" s="102" t="n"/>
      <c r="D1" s="102" t="n"/>
      <c r="E1" s="102" t="n"/>
      <c r="F1" s="102" t="n"/>
      <c r="G1" s="102" t="n"/>
      <c r="H1" s="102" t="n"/>
      <c r="I1" s="102" t="n"/>
      <c r="J1" s="102" t="n"/>
      <c r="K1" s="102" t="n"/>
      <c r="O1" s="235" t="inlineStr">
        <is>
          <t>Société</t>
        </is>
      </c>
      <c r="P1" s="235" t="inlineStr">
        <is>
          <t>Score Mom</t>
        </is>
      </c>
    </row>
    <row r="2">
      <c r="A2" s="22" t="inlineStr">
        <is>
          <t>Usage confidentiel  ·  Calculs Python/NumPy depuis cache Supabase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O2" s="235">
        <f>IF(B4&lt;&gt;"—",LEFT(C4,18),"—")</f>
        <v/>
      </c>
      <c r="P2" s="235">
        <f>IF(E4&lt;&gt;"—",VALUE(LEFT(E4,FIND("/",E4)-1)),"")</f>
        <v/>
      </c>
    </row>
    <row r="3" ht="18" customHeight="1" thickBot="1">
      <c r="A3" s="142" t="inlineStr">
        <is>
          <t>Rang</t>
        </is>
      </c>
      <c r="B3" s="141" t="inlineStr">
        <is>
          <t>Ticker</t>
        </is>
      </c>
      <c r="C3" s="139" t="inlineStr">
        <is>
          <t>Société</t>
        </is>
      </c>
      <c r="D3" s="139" t="inlineStr">
        <is>
          <t>Secteur</t>
        </is>
      </c>
      <c r="E3" s="138" t="inlineStr">
        <is>
          <t>Score</t>
        </is>
      </c>
      <c r="F3" s="138" t="inlineStr">
        <is>
          <t>Momentum 52W</t>
        </is>
      </c>
      <c r="G3" s="138" t="inlineStr">
        <is>
          <t>Cours actuel (€)</t>
        </is>
      </c>
      <c r="H3" s="138" t="inlineStr">
        <is>
          <t>Mkt Cap (Mds€)</t>
        </is>
      </c>
      <c r="I3" s="138" t="inlineStr">
        <is>
          <t>Score Global</t>
        </is>
      </c>
      <c r="J3" s="138" t="inlineStr">
        <is>
          <t>Next Earnings</t>
        </is>
      </c>
      <c r="K3" s="140" t="inlineStr">
        <is>
          <t>Signal</t>
        </is>
      </c>
      <c r="O3" s="235">
        <f>IF(B5&lt;&gt;"—",LEFT(C5,18),"—")</f>
        <v/>
      </c>
      <c r="P3" s="235">
        <f>IF(E5&lt;&gt;"—",VALUE(LEFT(E5,FIND("/",E5)-1)),"")</f>
        <v/>
      </c>
    </row>
    <row r="4" ht="15.95" customHeight="1" thickBot="1">
      <c r="A4" s="125" t="n">
        <v>1</v>
      </c>
      <c r="B4" s="121">
        <f t="array" ref="B4">IFERROR(INDEX('DONNÉES BRUTES'!A$3:A$42,MATCH(_xlfn.AGGREGATE(14,6,'DONNÉES BRUTES'!AA$3:AA$42+ROW('DONNÉES BRUTES'!AA$3:AA$42)/1000,1),'DONNÉES BRUTES'!AA$3:AA$42+ROW('DONNÉES BRUTES'!AA$3:AA$42)/1000,0)),"—")</f>
        <v/>
      </c>
      <c r="C4" s="109">
        <f t="array" ref="C4">IFERROR(INDEX('DONNÉES BRUTES'!B$3:B$42,MATCH(_xlfn.AGGREGATE(14,6,'DONNÉES BRUTES'!AA$3:AA$42+ROW('DONNÉES BRUTES'!AA$3:AA$42)/1000,1),'DONNÉES BRUTES'!AA$3:AA$42+ROW('DONNÉES BRUTES'!AA$3:AA$42)/1000,0)),"—")</f>
        <v/>
      </c>
      <c r="D4" s="109">
        <f t="array" ref="D4">IFERROR(INDEX('DONNÉES BRUTES'!C$3:C$42,MATCH(_xlfn.AGGREGATE(14,6,'DONNÉES BRUTES'!AA$3:AA$42+ROW('DONNÉES BRUTES'!AA$3:AA$42)/1000,1),'DONNÉES BRUTES'!AA$3:AA$42+ROW('DONNÉES BRUTES'!AA$3:AA$42)/1000,0)),"—")</f>
        <v/>
      </c>
      <c r="E4" s="110">
        <f t="array" ref="E4">IFERROR(INDEX('DONNÉES BRUTES'!AA$3:AA$42,MATCH(_xlfn.AGGREGATE(14,6,'DONNÉES BRUTES'!AA$3:AA$42+ROW('DONNÉES BRUTES'!AA$3:AA$42)/1000,1),'DONNÉES BRUTES'!AA$3:AA$42+ROW('DONNÉES BRUTES'!AA$3:AA$42)/1000,0))&amp;"/100","—")</f>
        <v/>
      </c>
      <c r="F4" s="108">
        <f t="array" ref="F4">IFERROR(INDEX('DONNÉES BRUTES'!W$3:W$42,MATCH(_xlfn.AGGREGATE(14,6,'DONNÉES BRUTES'!AA$3:AA$42+ROW('DONNÉES BRUTES'!AA$3:AA$42)/1000,1),'DONNÉES BRUTES'!AA$3:AA$42+ROW('DONNÉES BRUTES'!AA$3:AA$42)/1000,0)),"—")</f>
        <v/>
      </c>
      <c r="G4" s="108">
        <f t="array" ref="G4">IFERROR(INDEX('DONNÉES BRUTES'!D$3:D$42,MATCH(_xlfn.AGGREGATE(14,6,'DONNÉES BRUTES'!AA$3:AA$42+ROW('DONNÉES BRUTES'!AA$3:AA$42)/1000,1),'DONNÉES BRUTES'!AA$3:AA$42+ROW('DONNÉES BRUTES'!AA$3:AA$42)/1000,0)),"—")</f>
        <v/>
      </c>
      <c r="H4" s="108">
        <f t="array" ref="H4">IFERROR(INDEX('DONNÉES BRUTES'!E$3:E$42,MATCH(_xlfn.AGGREGATE(14,6,'DONNÉES BRUTES'!AA$3:AA$42+ROW('DONNÉES BRUTES'!AA$3:AA$42)/1000,1),'DONNÉES BRUTES'!AA$3:AA$42+ROW('DONNÉES BRUTES'!AA$3:AA$42)/1000,0)),"—")</f>
        <v/>
      </c>
      <c r="I4" s="108">
        <f t="array" ref="I4">IFERROR(INDEX('DONNÉES BRUTES'!AB$3:AB$42,MATCH(_xlfn.AGGREGATE(14,6,'DONNÉES BRUTES'!AA$3:AA$42+ROW('DONNÉES BRUTES'!AA$3:AA$42)/1000,1),'DONNÉES BRUTES'!AA$3:AA$42+ROW('DONNÉES BRUTES'!AA$3:AA$42)/1000,0)),"—")</f>
        <v/>
      </c>
      <c r="J4" s="108">
        <f t="array" ref="J4">IFERROR(INDEX('DONNÉES BRUTES'!AC$3:AC$42,MATCH(_xlfn.AGGREGATE(14,6,'DONNÉES BRUTES'!AA$3:AA$42+ROW('DONNÉES BRUTES'!AA$3:AA$42)/1000,1),'DONNÉES BRUTES'!AA$3:AA$42+ROW('DONNÉES BRUTES'!AA$3:AA$42)/1000,0)),"—")</f>
        <v/>
      </c>
      <c r="K4" s="108">
        <f t="array" ref="K4">IFERROR(INDEX('DONNÉES BRUTES'!AD$3:AD$42,MATCH(_xlfn.AGGREGATE(14,6,'DONNÉES BRUTES'!AA$3:AA$42+ROW('DONNÉES BRUTES'!AA$3:AA$42)/1000,1),'DONNÉES BRUTES'!AA$3:AA$42+ROW('DONNÉES BRUTES'!AA$3:AA$42)/1000,0)),"—")</f>
        <v/>
      </c>
      <c r="O4" s="235">
        <f>IF(B6&lt;&gt;"—",LEFT(C6,18),"—")</f>
        <v/>
      </c>
      <c r="P4" s="235">
        <f>IF(E6&lt;&gt;"—",VALUE(LEFT(E6,FIND("/",E6)-1)),"")</f>
        <v/>
      </c>
    </row>
    <row r="5" ht="15.95" customHeight="1" thickBot="1">
      <c r="A5" s="126" t="n">
        <v>2</v>
      </c>
      <c r="B5" s="122">
        <f t="array" ref="B5">IFERROR(INDEX('DONNÉES BRUTES'!A$3:A$42,MATCH(_xlfn.AGGREGATE(14,6,'DONNÉES BRUTES'!AA$3:AA$42+ROW('DONNÉES BRUTES'!AA$3:AA$42)/1000,2),'DONNÉES BRUTES'!AA$3:AA$42+ROW('DONNÉES BRUTES'!AA$3:AA$42)/1000,0)),"—")</f>
        <v/>
      </c>
      <c r="C5" s="113">
        <f t="array" ref="C5">IFERROR(INDEX('DONNÉES BRUTES'!B$3:B$42,MATCH(_xlfn.AGGREGATE(14,6,'DONNÉES BRUTES'!AA$3:AA$42+ROW('DONNÉES BRUTES'!AA$3:AA$42)/1000,2),'DONNÉES BRUTES'!AA$3:AA$42+ROW('DONNÉES BRUTES'!AA$3:AA$42)/1000,0)),"—")</f>
        <v/>
      </c>
      <c r="D5" s="113">
        <f t="array" ref="D5">IFERROR(INDEX('DONNÉES BRUTES'!C$3:C$42,MATCH(_xlfn.AGGREGATE(14,6,'DONNÉES BRUTES'!AA$3:AA$42+ROW('DONNÉES BRUTES'!AA$3:AA$42)/1000,2),'DONNÉES BRUTES'!AA$3:AA$42+ROW('DONNÉES BRUTES'!AA$3:AA$42)/1000,0)),"—")</f>
        <v/>
      </c>
      <c r="E5" s="114">
        <f t="array" ref="E5">IFERROR(INDEX('DONNÉES BRUTES'!AA$3:AA$42,MATCH(_xlfn.AGGREGATE(14,6,'DONNÉES BRUTES'!AA$3:AA$42+ROW('DONNÉES BRUTES'!AA$3:AA$42)/1000,2),'DONNÉES BRUTES'!AA$3:AA$42+ROW('DONNÉES BRUTES'!AA$3:AA$42)/1000,0))&amp;"/100","—")</f>
        <v/>
      </c>
      <c r="F5" s="112">
        <f t="array" ref="F5">IFERROR(INDEX('DONNÉES BRUTES'!W$3:W$42,MATCH(_xlfn.AGGREGATE(14,6,'DONNÉES BRUTES'!AA$3:AA$42+ROW('DONNÉES BRUTES'!AA$3:AA$42)/1000,2),'DONNÉES BRUTES'!AA$3:AA$42+ROW('DONNÉES BRUTES'!AA$3:AA$42)/1000,0)),"—")</f>
        <v/>
      </c>
      <c r="G5" s="112">
        <f t="array" ref="G5">IFERROR(INDEX('DONNÉES BRUTES'!D$3:D$42,MATCH(_xlfn.AGGREGATE(14,6,'DONNÉES BRUTES'!AA$3:AA$42+ROW('DONNÉES BRUTES'!AA$3:AA$42)/1000,2),'DONNÉES BRUTES'!AA$3:AA$42+ROW('DONNÉES BRUTES'!AA$3:AA$42)/1000,0)),"—")</f>
        <v/>
      </c>
      <c r="H5" s="112">
        <f t="array" ref="H5">IFERROR(INDEX('DONNÉES BRUTES'!E$3:E$42,MATCH(_xlfn.AGGREGATE(14,6,'DONNÉES BRUTES'!AA$3:AA$42+ROW('DONNÉES BRUTES'!AA$3:AA$42)/1000,2),'DONNÉES BRUTES'!AA$3:AA$42+ROW('DONNÉES BRUTES'!AA$3:AA$42)/1000,0)),"—")</f>
        <v/>
      </c>
      <c r="I5" s="112">
        <f t="array" ref="I5">IFERROR(INDEX('DONNÉES BRUTES'!AB$3:AB$42,MATCH(_xlfn.AGGREGATE(14,6,'DONNÉES BRUTES'!AA$3:AA$42+ROW('DONNÉES BRUTES'!AA$3:AA$42)/1000,2),'DONNÉES BRUTES'!AA$3:AA$42+ROW('DONNÉES BRUTES'!AA$3:AA$42)/1000,0)),"—")</f>
        <v/>
      </c>
      <c r="J5" s="112">
        <f t="array" ref="J5">IFERROR(INDEX('DONNÉES BRUTES'!AC$3:AC$42,MATCH(_xlfn.AGGREGATE(14,6,'DONNÉES BRUTES'!AA$3:AA$42+ROW('DONNÉES BRUTES'!AA$3:AA$42)/1000,2),'DONNÉES BRUTES'!AA$3:AA$42+ROW('DONNÉES BRUTES'!AA$3:AA$42)/1000,0)),"—")</f>
        <v/>
      </c>
      <c r="K5" s="112">
        <f t="array" ref="K5">IFERROR(INDEX('DONNÉES BRUTES'!AD$3:AD$42,MATCH(_xlfn.AGGREGATE(14,6,'DONNÉES BRUTES'!AA$3:AA$42+ROW('DONNÉES BRUTES'!AA$3:AA$42)/1000,2),'DONNÉES BRUTES'!AA$3:AA$42+ROW('DONNÉES BRUTES'!AA$3:AA$42)/1000,0)),"—")</f>
        <v/>
      </c>
      <c r="O5" s="235">
        <f>IF(B7&lt;&gt;"—",LEFT(C7,18),"—")</f>
        <v/>
      </c>
      <c r="P5" s="235">
        <f>IF(E7&lt;&gt;"—",VALUE(LEFT(E7,FIND("/",E7)-1)),"")</f>
        <v/>
      </c>
    </row>
    <row r="6" ht="15.95" customHeight="1" thickBot="1">
      <c r="A6" s="125" t="n">
        <v>3</v>
      </c>
      <c r="B6" s="121">
        <f t="array" ref="B6">IFERROR(INDEX('DONNÉES BRUTES'!A$3:A$42,MATCH(_xlfn.AGGREGATE(14,6,'DONNÉES BRUTES'!AA$3:AA$42+ROW('DONNÉES BRUTES'!AA$3:AA$42)/1000,3),'DONNÉES BRUTES'!AA$3:AA$42+ROW('DONNÉES BRUTES'!AA$3:AA$42)/1000,0)),"—")</f>
        <v/>
      </c>
      <c r="C6" s="109">
        <f t="array" ref="C6">IFERROR(INDEX('DONNÉES BRUTES'!B$3:B$42,MATCH(_xlfn.AGGREGATE(14,6,'DONNÉES BRUTES'!AA$3:AA$42+ROW('DONNÉES BRUTES'!AA$3:AA$42)/1000,3),'DONNÉES BRUTES'!AA$3:AA$42+ROW('DONNÉES BRUTES'!AA$3:AA$42)/1000,0)),"—")</f>
        <v/>
      </c>
      <c r="D6" s="109">
        <f t="array" ref="D6">IFERROR(INDEX('DONNÉES BRUTES'!C$3:C$42,MATCH(_xlfn.AGGREGATE(14,6,'DONNÉES BRUTES'!AA$3:AA$42+ROW('DONNÉES BRUTES'!AA$3:AA$42)/1000,3),'DONNÉES BRUTES'!AA$3:AA$42+ROW('DONNÉES BRUTES'!AA$3:AA$42)/1000,0)),"—")</f>
        <v/>
      </c>
      <c r="E6" s="110">
        <f t="array" ref="E6">IFERROR(INDEX('DONNÉES BRUTES'!AA$3:AA$42,MATCH(_xlfn.AGGREGATE(14,6,'DONNÉES BRUTES'!AA$3:AA$42+ROW('DONNÉES BRUTES'!AA$3:AA$42)/1000,3),'DONNÉES BRUTES'!AA$3:AA$42+ROW('DONNÉES BRUTES'!AA$3:AA$42)/1000,0))&amp;"/100","—")</f>
        <v/>
      </c>
      <c r="F6" s="108">
        <f t="array" ref="F6">IFERROR(INDEX('DONNÉES BRUTES'!W$3:W$42,MATCH(_xlfn.AGGREGATE(14,6,'DONNÉES BRUTES'!AA$3:AA$42+ROW('DONNÉES BRUTES'!AA$3:AA$42)/1000,3),'DONNÉES BRUTES'!AA$3:AA$42+ROW('DONNÉES BRUTES'!AA$3:AA$42)/1000,0)),"—")</f>
        <v/>
      </c>
      <c r="G6" s="108">
        <f t="array" ref="G6">IFERROR(INDEX('DONNÉES BRUTES'!D$3:D$42,MATCH(_xlfn.AGGREGATE(14,6,'DONNÉES BRUTES'!AA$3:AA$42+ROW('DONNÉES BRUTES'!AA$3:AA$42)/1000,3),'DONNÉES BRUTES'!AA$3:AA$42+ROW('DONNÉES BRUTES'!AA$3:AA$42)/1000,0)),"—")</f>
        <v/>
      </c>
      <c r="H6" s="108">
        <f t="array" ref="H6">IFERROR(INDEX('DONNÉES BRUTES'!E$3:E$42,MATCH(_xlfn.AGGREGATE(14,6,'DONNÉES BRUTES'!AA$3:AA$42+ROW('DONNÉES BRUTES'!AA$3:AA$42)/1000,3),'DONNÉES BRUTES'!AA$3:AA$42+ROW('DONNÉES BRUTES'!AA$3:AA$42)/1000,0)),"—")</f>
        <v/>
      </c>
      <c r="I6" s="108">
        <f t="array" ref="I6">IFERROR(INDEX('DONNÉES BRUTES'!AB$3:AB$42,MATCH(_xlfn.AGGREGATE(14,6,'DONNÉES BRUTES'!AA$3:AA$42+ROW('DONNÉES BRUTES'!AA$3:AA$42)/1000,3),'DONNÉES BRUTES'!AA$3:AA$42+ROW('DONNÉES BRUTES'!AA$3:AA$42)/1000,0)),"—")</f>
        <v/>
      </c>
      <c r="J6" s="108">
        <f t="array" ref="J6">IFERROR(INDEX('DONNÉES BRUTES'!AC$3:AC$42,MATCH(_xlfn.AGGREGATE(14,6,'DONNÉES BRUTES'!AA$3:AA$42+ROW('DONNÉES BRUTES'!AA$3:AA$42)/1000,3),'DONNÉES BRUTES'!AA$3:AA$42+ROW('DONNÉES BRUTES'!AA$3:AA$42)/1000,0)),"—")</f>
        <v/>
      </c>
      <c r="K6" s="108">
        <f t="array" ref="K6">IFERROR(INDEX('DONNÉES BRUTES'!AD$3:AD$42,MATCH(_xlfn.AGGREGATE(14,6,'DONNÉES BRUTES'!AA$3:AA$42+ROW('DONNÉES BRUTES'!AA$3:AA$42)/1000,3),'DONNÉES BRUTES'!AA$3:AA$42+ROW('DONNÉES BRUTES'!AA$3:AA$42)/1000,0)),"—")</f>
        <v/>
      </c>
      <c r="O6" s="235">
        <f>IF(B8&lt;&gt;"—",LEFT(C8,18),"—")</f>
        <v/>
      </c>
      <c r="P6" s="235">
        <f>IF(E8&lt;&gt;"—",VALUE(LEFT(E8,FIND("/",E8)-1)),"")</f>
        <v/>
      </c>
    </row>
    <row r="7" ht="15.95" customHeight="1" thickBot="1">
      <c r="A7" s="126" t="n">
        <v>4</v>
      </c>
      <c r="B7" s="122">
        <f t="array" ref="B7">IFERROR(INDEX('DONNÉES BRUTES'!A$3:A$42,MATCH(_xlfn.AGGREGATE(14,6,'DONNÉES BRUTES'!AA$3:AA$42+ROW('DONNÉES BRUTES'!AA$3:AA$42)/1000,4),'DONNÉES BRUTES'!AA$3:AA$42+ROW('DONNÉES BRUTES'!AA$3:AA$42)/1000,0)),"—")</f>
        <v/>
      </c>
      <c r="C7" s="113">
        <f t="array" ref="C7">IFERROR(INDEX('DONNÉES BRUTES'!B$3:B$42,MATCH(_xlfn.AGGREGATE(14,6,'DONNÉES BRUTES'!AA$3:AA$42+ROW('DONNÉES BRUTES'!AA$3:AA$42)/1000,4),'DONNÉES BRUTES'!AA$3:AA$42+ROW('DONNÉES BRUTES'!AA$3:AA$42)/1000,0)),"—")</f>
        <v/>
      </c>
      <c r="D7" s="113">
        <f t="array" ref="D7">IFERROR(INDEX('DONNÉES BRUTES'!C$3:C$42,MATCH(_xlfn.AGGREGATE(14,6,'DONNÉES BRUTES'!AA$3:AA$42+ROW('DONNÉES BRUTES'!AA$3:AA$42)/1000,4),'DONNÉES BRUTES'!AA$3:AA$42+ROW('DONNÉES BRUTES'!AA$3:AA$42)/1000,0)),"—")</f>
        <v/>
      </c>
      <c r="E7" s="114">
        <f t="array" ref="E7">IFERROR(INDEX('DONNÉES BRUTES'!AA$3:AA$42,MATCH(_xlfn.AGGREGATE(14,6,'DONNÉES BRUTES'!AA$3:AA$42+ROW('DONNÉES BRUTES'!AA$3:AA$42)/1000,4),'DONNÉES BRUTES'!AA$3:AA$42+ROW('DONNÉES BRUTES'!AA$3:AA$42)/1000,0))&amp;"/100","—")</f>
        <v/>
      </c>
      <c r="F7" s="112">
        <f t="array" ref="F7">IFERROR(INDEX('DONNÉES BRUTES'!W$3:W$42,MATCH(_xlfn.AGGREGATE(14,6,'DONNÉES BRUTES'!AA$3:AA$42+ROW('DONNÉES BRUTES'!AA$3:AA$42)/1000,4),'DONNÉES BRUTES'!AA$3:AA$42+ROW('DONNÉES BRUTES'!AA$3:AA$42)/1000,0)),"—")</f>
        <v/>
      </c>
      <c r="G7" s="112">
        <f t="array" ref="G7">IFERROR(INDEX('DONNÉES BRUTES'!D$3:D$42,MATCH(_xlfn.AGGREGATE(14,6,'DONNÉES BRUTES'!AA$3:AA$42+ROW('DONNÉES BRUTES'!AA$3:AA$42)/1000,4),'DONNÉES BRUTES'!AA$3:AA$42+ROW('DONNÉES BRUTES'!AA$3:AA$42)/1000,0)),"—")</f>
        <v/>
      </c>
      <c r="H7" s="112">
        <f t="array" ref="H7">IFERROR(INDEX('DONNÉES BRUTES'!E$3:E$42,MATCH(_xlfn.AGGREGATE(14,6,'DONNÉES BRUTES'!AA$3:AA$42+ROW('DONNÉES BRUTES'!AA$3:AA$42)/1000,4),'DONNÉES BRUTES'!AA$3:AA$42+ROW('DONNÉES BRUTES'!AA$3:AA$42)/1000,0)),"—")</f>
        <v/>
      </c>
      <c r="I7" s="112">
        <f t="array" ref="I7">IFERROR(INDEX('DONNÉES BRUTES'!AB$3:AB$42,MATCH(_xlfn.AGGREGATE(14,6,'DONNÉES BRUTES'!AA$3:AA$42+ROW('DONNÉES BRUTES'!AA$3:AA$42)/1000,4),'DONNÉES BRUTES'!AA$3:AA$42+ROW('DONNÉES BRUTES'!AA$3:AA$42)/1000,0)),"—")</f>
        <v/>
      </c>
      <c r="J7" s="112">
        <f t="array" ref="J7">IFERROR(INDEX('DONNÉES BRUTES'!AC$3:AC$42,MATCH(_xlfn.AGGREGATE(14,6,'DONNÉES BRUTES'!AA$3:AA$42+ROW('DONNÉES BRUTES'!AA$3:AA$42)/1000,4),'DONNÉES BRUTES'!AA$3:AA$42+ROW('DONNÉES BRUTES'!AA$3:AA$42)/1000,0)),"—")</f>
        <v/>
      </c>
      <c r="K7" s="112">
        <f t="array" ref="K7">IFERROR(INDEX('DONNÉES BRUTES'!AD$3:AD$42,MATCH(_xlfn.AGGREGATE(14,6,'DONNÉES BRUTES'!AA$3:AA$42+ROW('DONNÉES BRUTES'!AA$3:AA$42)/1000,4),'DONNÉES BRUTES'!AA$3:AA$42+ROW('DONNÉES BRUTES'!AA$3:AA$42)/1000,0)),"—")</f>
        <v/>
      </c>
      <c r="O7" s="235">
        <f>IF(B9&lt;&gt;"—",LEFT(C9,18),"—")</f>
        <v/>
      </c>
      <c r="P7" s="235">
        <f>IF(E9&lt;&gt;"—",VALUE(LEFT(E9,FIND("/",E9)-1)),"")</f>
        <v/>
      </c>
    </row>
    <row r="8" ht="15.95" customHeight="1" thickBot="1">
      <c r="A8" s="125" t="n">
        <v>5</v>
      </c>
      <c r="B8" s="121">
        <f t="array" ref="B8">IFERROR(INDEX('DONNÉES BRUTES'!A$3:A$42,MATCH(_xlfn.AGGREGATE(14,6,'DONNÉES BRUTES'!AA$3:AA$42+ROW('DONNÉES BRUTES'!AA$3:AA$42)/1000,5),'DONNÉES BRUTES'!AA$3:AA$42+ROW('DONNÉES BRUTES'!AA$3:AA$42)/1000,0)),"—")</f>
        <v/>
      </c>
      <c r="C8" s="109">
        <f t="array" ref="C8">IFERROR(INDEX('DONNÉES BRUTES'!B$3:B$42,MATCH(_xlfn.AGGREGATE(14,6,'DONNÉES BRUTES'!AA$3:AA$42+ROW('DONNÉES BRUTES'!AA$3:AA$42)/1000,5),'DONNÉES BRUTES'!AA$3:AA$42+ROW('DONNÉES BRUTES'!AA$3:AA$42)/1000,0)),"—")</f>
        <v/>
      </c>
      <c r="D8" s="109">
        <f t="array" ref="D8">IFERROR(INDEX('DONNÉES BRUTES'!C$3:C$42,MATCH(_xlfn.AGGREGATE(14,6,'DONNÉES BRUTES'!AA$3:AA$42+ROW('DONNÉES BRUTES'!AA$3:AA$42)/1000,5),'DONNÉES BRUTES'!AA$3:AA$42+ROW('DONNÉES BRUTES'!AA$3:AA$42)/1000,0)),"—")</f>
        <v/>
      </c>
      <c r="E8" s="110">
        <f t="array" ref="E8">IFERROR(INDEX('DONNÉES BRUTES'!AA$3:AA$42,MATCH(_xlfn.AGGREGATE(14,6,'DONNÉES BRUTES'!AA$3:AA$42+ROW('DONNÉES BRUTES'!AA$3:AA$42)/1000,5),'DONNÉES BRUTES'!AA$3:AA$42+ROW('DONNÉES BRUTES'!AA$3:AA$42)/1000,0))&amp;"/100","—")</f>
        <v/>
      </c>
      <c r="F8" s="108">
        <f t="array" ref="F8">IFERROR(INDEX('DONNÉES BRUTES'!W$3:W$42,MATCH(_xlfn.AGGREGATE(14,6,'DONNÉES BRUTES'!AA$3:AA$42+ROW('DONNÉES BRUTES'!AA$3:AA$42)/1000,5),'DONNÉES BRUTES'!AA$3:AA$42+ROW('DONNÉES BRUTES'!AA$3:AA$42)/1000,0)),"—")</f>
        <v/>
      </c>
      <c r="G8" s="108">
        <f t="array" ref="G8">IFERROR(INDEX('DONNÉES BRUTES'!D$3:D$42,MATCH(_xlfn.AGGREGATE(14,6,'DONNÉES BRUTES'!AA$3:AA$42+ROW('DONNÉES BRUTES'!AA$3:AA$42)/1000,5),'DONNÉES BRUTES'!AA$3:AA$42+ROW('DONNÉES BRUTES'!AA$3:AA$42)/1000,0)),"—")</f>
        <v/>
      </c>
      <c r="H8" s="108">
        <f t="array" ref="H8">IFERROR(INDEX('DONNÉES BRUTES'!E$3:E$42,MATCH(_xlfn.AGGREGATE(14,6,'DONNÉES BRUTES'!AA$3:AA$42+ROW('DONNÉES BRUTES'!AA$3:AA$42)/1000,5),'DONNÉES BRUTES'!AA$3:AA$42+ROW('DONNÉES BRUTES'!AA$3:AA$42)/1000,0)),"—")</f>
        <v/>
      </c>
      <c r="I8" s="108">
        <f t="array" ref="I8">IFERROR(INDEX('DONNÉES BRUTES'!AB$3:AB$42,MATCH(_xlfn.AGGREGATE(14,6,'DONNÉES BRUTES'!AA$3:AA$42+ROW('DONNÉES BRUTES'!AA$3:AA$42)/1000,5),'DONNÉES BRUTES'!AA$3:AA$42+ROW('DONNÉES BRUTES'!AA$3:AA$42)/1000,0)),"—")</f>
        <v/>
      </c>
      <c r="J8" s="108">
        <f t="array" ref="J8">IFERROR(INDEX('DONNÉES BRUTES'!AC$3:AC$42,MATCH(_xlfn.AGGREGATE(14,6,'DONNÉES BRUTES'!AA$3:AA$42+ROW('DONNÉES BRUTES'!AA$3:AA$42)/1000,5),'DONNÉES BRUTES'!AA$3:AA$42+ROW('DONNÉES BRUTES'!AA$3:AA$42)/1000,0)),"—")</f>
        <v/>
      </c>
      <c r="K8" s="108">
        <f t="array" ref="K8">IFERROR(INDEX('DONNÉES BRUTES'!AD$3:AD$42,MATCH(_xlfn.AGGREGATE(14,6,'DONNÉES BRUTES'!AA$3:AA$42+ROW('DONNÉES BRUTES'!AA$3:AA$42)/1000,5),'DONNÉES BRUTES'!AA$3:AA$42+ROW('DONNÉES BRUTES'!AA$3:AA$42)/1000,0)),"—")</f>
        <v/>
      </c>
      <c r="O8" s="235">
        <f>IF(B10&lt;&gt;"—",LEFT(C10,18),"—")</f>
        <v/>
      </c>
      <c r="P8" s="235">
        <f>IF(E10&lt;&gt;"—",VALUE(LEFT(E10,FIND("/",E10)-1)),"")</f>
        <v/>
      </c>
    </row>
    <row r="9" ht="15.95" customHeight="1" thickBot="1">
      <c r="A9" s="126" t="n">
        <v>6</v>
      </c>
      <c r="B9" s="122">
        <f t="array" ref="B9">IFERROR(INDEX('DONNÉES BRUTES'!A$3:A$42,MATCH(_xlfn.AGGREGATE(14,6,'DONNÉES BRUTES'!AA$3:AA$42+ROW('DONNÉES BRUTES'!AA$3:AA$42)/1000,6),'DONNÉES BRUTES'!AA$3:AA$42+ROW('DONNÉES BRUTES'!AA$3:AA$42)/1000,0)),"—")</f>
        <v/>
      </c>
      <c r="C9" s="113">
        <f t="array" ref="C9">IFERROR(INDEX('DONNÉES BRUTES'!B$3:B$42,MATCH(_xlfn.AGGREGATE(14,6,'DONNÉES BRUTES'!AA$3:AA$42+ROW('DONNÉES BRUTES'!AA$3:AA$42)/1000,6),'DONNÉES BRUTES'!AA$3:AA$42+ROW('DONNÉES BRUTES'!AA$3:AA$42)/1000,0)),"—")</f>
        <v/>
      </c>
      <c r="D9" s="113">
        <f t="array" ref="D9">IFERROR(INDEX('DONNÉES BRUTES'!C$3:C$42,MATCH(_xlfn.AGGREGATE(14,6,'DONNÉES BRUTES'!AA$3:AA$42+ROW('DONNÉES BRUTES'!AA$3:AA$42)/1000,6),'DONNÉES BRUTES'!AA$3:AA$42+ROW('DONNÉES BRUTES'!AA$3:AA$42)/1000,0)),"—")</f>
        <v/>
      </c>
      <c r="E9" s="114">
        <f t="array" ref="E9">IFERROR(INDEX('DONNÉES BRUTES'!AA$3:AA$42,MATCH(_xlfn.AGGREGATE(14,6,'DONNÉES BRUTES'!AA$3:AA$42+ROW('DONNÉES BRUTES'!AA$3:AA$42)/1000,6),'DONNÉES BRUTES'!AA$3:AA$42+ROW('DONNÉES BRUTES'!AA$3:AA$42)/1000,0))&amp;"/100","—")</f>
        <v/>
      </c>
      <c r="F9" s="112">
        <f t="array" ref="F9">IFERROR(INDEX('DONNÉES BRUTES'!W$3:W$42,MATCH(_xlfn.AGGREGATE(14,6,'DONNÉES BRUTES'!AA$3:AA$42+ROW('DONNÉES BRUTES'!AA$3:AA$42)/1000,6),'DONNÉES BRUTES'!AA$3:AA$42+ROW('DONNÉES BRUTES'!AA$3:AA$42)/1000,0)),"—")</f>
        <v/>
      </c>
      <c r="G9" s="112">
        <f t="array" ref="G9">IFERROR(INDEX('DONNÉES BRUTES'!D$3:D$42,MATCH(_xlfn.AGGREGATE(14,6,'DONNÉES BRUTES'!AA$3:AA$42+ROW('DONNÉES BRUTES'!AA$3:AA$42)/1000,6),'DONNÉES BRUTES'!AA$3:AA$42+ROW('DONNÉES BRUTES'!AA$3:AA$42)/1000,0)),"—")</f>
        <v/>
      </c>
      <c r="H9" s="112">
        <f t="array" ref="H9">IFERROR(INDEX('DONNÉES BRUTES'!E$3:E$42,MATCH(_xlfn.AGGREGATE(14,6,'DONNÉES BRUTES'!AA$3:AA$42+ROW('DONNÉES BRUTES'!AA$3:AA$42)/1000,6),'DONNÉES BRUTES'!AA$3:AA$42+ROW('DONNÉES BRUTES'!AA$3:AA$42)/1000,0)),"—")</f>
        <v/>
      </c>
      <c r="I9" s="112">
        <f t="array" ref="I9">IFERROR(INDEX('DONNÉES BRUTES'!AB$3:AB$42,MATCH(_xlfn.AGGREGATE(14,6,'DONNÉES BRUTES'!AA$3:AA$42+ROW('DONNÉES BRUTES'!AA$3:AA$42)/1000,6),'DONNÉES BRUTES'!AA$3:AA$42+ROW('DONNÉES BRUTES'!AA$3:AA$42)/1000,0)),"—")</f>
        <v/>
      </c>
      <c r="J9" s="112">
        <f t="array" ref="J9">IFERROR(INDEX('DONNÉES BRUTES'!AC$3:AC$42,MATCH(_xlfn.AGGREGATE(14,6,'DONNÉES BRUTES'!AA$3:AA$42+ROW('DONNÉES BRUTES'!AA$3:AA$42)/1000,6),'DONNÉES BRUTES'!AA$3:AA$42+ROW('DONNÉES BRUTES'!AA$3:AA$42)/1000,0)),"—")</f>
        <v/>
      </c>
      <c r="K9" s="112">
        <f t="array" ref="K9">IFERROR(INDEX('DONNÉES BRUTES'!AD$3:AD$42,MATCH(_xlfn.AGGREGATE(14,6,'DONNÉES BRUTES'!AA$3:AA$42+ROW('DONNÉES BRUTES'!AA$3:AA$42)/1000,6),'DONNÉES BRUTES'!AA$3:AA$42+ROW('DONNÉES BRUTES'!AA$3:AA$42)/1000,0)),"—")</f>
        <v/>
      </c>
      <c r="O9" s="235">
        <f>IF(B11&lt;&gt;"—",LEFT(C11,18),"—")</f>
        <v/>
      </c>
      <c r="P9" s="235">
        <f>IF(E11&lt;&gt;"—",VALUE(LEFT(E11,FIND("/",E11)-1)),"")</f>
        <v/>
      </c>
    </row>
    <row r="10" ht="15.95" customHeight="1" thickBot="1">
      <c r="A10" s="125" t="n">
        <v>7</v>
      </c>
      <c r="B10" s="121">
        <f t="array" ref="B10">IFERROR(INDEX('DONNÉES BRUTES'!A$3:A$42,MATCH(_xlfn.AGGREGATE(14,6,'DONNÉES BRUTES'!AA$3:AA$42+ROW('DONNÉES BRUTES'!AA$3:AA$42)/1000,7),'DONNÉES BRUTES'!AA$3:AA$42+ROW('DONNÉES BRUTES'!AA$3:AA$42)/1000,0)),"—")</f>
        <v/>
      </c>
      <c r="C10" s="109">
        <f t="array" ref="C10">IFERROR(INDEX('DONNÉES BRUTES'!B$3:B$42,MATCH(_xlfn.AGGREGATE(14,6,'DONNÉES BRUTES'!AA$3:AA$42+ROW('DONNÉES BRUTES'!AA$3:AA$42)/1000,7),'DONNÉES BRUTES'!AA$3:AA$42+ROW('DONNÉES BRUTES'!AA$3:AA$42)/1000,0)),"—")</f>
        <v/>
      </c>
      <c r="D10" s="109">
        <f t="array" ref="D10">IFERROR(INDEX('DONNÉES BRUTES'!C$3:C$42,MATCH(_xlfn.AGGREGATE(14,6,'DONNÉES BRUTES'!AA$3:AA$42+ROW('DONNÉES BRUTES'!AA$3:AA$42)/1000,7),'DONNÉES BRUTES'!AA$3:AA$42+ROW('DONNÉES BRUTES'!AA$3:AA$42)/1000,0)),"—")</f>
        <v/>
      </c>
      <c r="E10" s="110">
        <f t="array" ref="E10">IFERROR(INDEX('DONNÉES BRUTES'!AA$3:AA$42,MATCH(_xlfn.AGGREGATE(14,6,'DONNÉES BRUTES'!AA$3:AA$42+ROW('DONNÉES BRUTES'!AA$3:AA$42)/1000,7),'DONNÉES BRUTES'!AA$3:AA$42+ROW('DONNÉES BRUTES'!AA$3:AA$42)/1000,0))&amp;"/100","—")</f>
        <v/>
      </c>
      <c r="F10" s="108">
        <f t="array" ref="F10">IFERROR(INDEX('DONNÉES BRUTES'!W$3:W$42,MATCH(_xlfn.AGGREGATE(14,6,'DONNÉES BRUTES'!AA$3:AA$42+ROW('DONNÉES BRUTES'!AA$3:AA$42)/1000,7),'DONNÉES BRUTES'!AA$3:AA$42+ROW('DONNÉES BRUTES'!AA$3:AA$42)/1000,0)),"—")</f>
        <v/>
      </c>
      <c r="G10" s="108">
        <f t="array" ref="G10">IFERROR(INDEX('DONNÉES BRUTES'!D$3:D$42,MATCH(_xlfn.AGGREGATE(14,6,'DONNÉES BRUTES'!AA$3:AA$42+ROW('DONNÉES BRUTES'!AA$3:AA$42)/1000,7),'DONNÉES BRUTES'!AA$3:AA$42+ROW('DONNÉES BRUTES'!AA$3:AA$42)/1000,0)),"—")</f>
        <v/>
      </c>
      <c r="H10" s="108">
        <f t="array" ref="H10">IFERROR(INDEX('DONNÉES BRUTES'!E$3:E$42,MATCH(_xlfn.AGGREGATE(14,6,'DONNÉES BRUTES'!AA$3:AA$42+ROW('DONNÉES BRUTES'!AA$3:AA$42)/1000,7),'DONNÉES BRUTES'!AA$3:AA$42+ROW('DONNÉES BRUTES'!AA$3:AA$42)/1000,0)),"—")</f>
        <v/>
      </c>
      <c r="I10" s="108">
        <f t="array" ref="I10">IFERROR(INDEX('DONNÉES BRUTES'!AB$3:AB$42,MATCH(_xlfn.AGGREGATE(14,6,'DONNÉES BRUTES'!AA$3:AA$42+ROW('DONNÉES BRUTES'!AA$3:AA$42)/1000,7),'DONNÉES BRUTES'!AA$3:AA$42+ROW('DONNÉES BRUTES'!AA$3:AA$42)/1000,0)),"—")</f>
        <v/>
      </c>
      <c r="J10" s="108">
        <f t="array" ref="J10">IFERROR(INDEX('DONNÉES BRUTES'!AC$3:AC$42,MATCH(_xlfn.AGGREGATE(14,6,'DONNÉES BRUTES'!AA$3:AA$42+ROW('DONNÉES BRUTES'!AA$3:AA$42)/1000,7),'DONNÉES BRUTES'!AA$3:AA$42+ROW('DONNÉES BRUTES'!AA$3:AA$42)/1000,0)),"—")</f>
        <v/>
      </c>
      <c r="K10" s="108">
        <f t="array" ref="K10">IFERROR(INDEX('DONNÉES BRUTES'!AD$3:AD$42,MATCH(_xlfn.AGGREGATE(14,6,'DONNÉES BRUTES'!AA$3:AA$42+ROW('DONNÉES BRUTES'!AA$3:AA$42)/1000,7),'DONNÉES BRUTES'!AA$3:AA$42+ROW('DONNÉES BRUTES'!AA$3:AA$42)/1000,0)),"—")</f>
        <v/>
      </c>
      <c r="O10" s="235">
        <f>IF(B12&lt;&gt;"—",LEFT(C12,18),"—")</f>
        <v/>
      </c>
      <c r="P10" s="235">
        <f>IF(E12&lt;&gt;"—",VALUE(LEFT(E12,FIND("/",E12)-1)),"")</f>
        <v/>
      </c>
    </row>
    <row r="11" ht="15.95" customHeight="1" thickBot="1">
      <c r="A11" s="126" t="n">
        <v>8</v>
      </c>
      <c r="B11" s="122">
        <f t="array" ref="B11">IFERROR(INDEX('DONNÉES BRUTES'!A$3:A$42,MATCH(_xlfn.AGGREGATE(14,6,'DONNÉES BRUTES'!AA$3:AA$42+ROW('DONNÉES BRUTES'!AA$3:AA$42)/1000,8),'DONNÉES BRUTES'!AA$3:AA$42+ROW('DONNÉES BRUTES'!AA$3:AA$42)/1000,0)),"—")</f>
        <v/>
      </c>
      <c r="C11" s="113">
        <f t="array" ref="C11">IFERROR(INDEX('DONNÉES BRUTES'!B$3:B$42,MATCH(_xlfn.AGGREGATE(14,6,'DONNÉES BRUTES'!AA$3:AA$42+ROW('DONNÉES BRUTES'!AA$3:AA$42)/1000,8),'DONNÉES BRUTES'!AA$3:AA$42+ROW('DONNÉES BRUTES'!AA$3:AA$42)/1000,0)),"—")</f>
        <v/>
      </c>
      <c r="D11" s="113">
        <f t="array" ref="D11">IFERROR(INDEX('DONNÉES BRUTES'!C$3:C$42,MATCH(_xlfn.AGGREGATE(14,6,'DONNÉES BRUTES'!AA$3:AA$42+ROW('DONNÉES BRUTES'!AA$3:AA$42)/1000,8),'DONNÉES BRUTES'!AA$3:AA$42+ROW('DONNÉES BRUTES'!AA$3:AA$42)/1000,0)),"—")</f>
        <v/>
      </c>
      <c r="E11" s="114">
        <f t="array" ref="E11">IFERROR(INDEX('DONNÉES BRUTES'!AA$3:AA$42,MATCH(_xlfn.AGGREGATE(14,6,'DONNÉES BRUTES'!AA$3:AA$42+ROW('DONNÉES BRUTES'!AA$3:AA$42)/1000,8),'DONNÉES BRUTES'!AA$3:AA$42+ROW('DONNÉES BRUTES'!AA$3:AA$42)/1000,0))&amp;"/100","—")</f>
        <v/>
      </c>
      <c r="F11" s="112">
        <f t="array" ref="F11">IFERROR(INDEX('DONNÉES BRUTES'!W$3:W$42,MATCH(_xlfn.AGGREGATE(14,6,'DONNÉES BRUTES'!AA$3:AA$42+ROW('DONNÉES BRUTES'!AA$3:AA$42)/1000,8),'DONNÉES BRUTES'!AA$3:AA$42+ROW('DONNÉES BRUTES'!AA$3:AA$42)/1000,0)),"—")</f>
        <v/>
      </c>
      <c r="G11" s="112">
        <f t="array" ref="G11">IFERROR(INDEX('DONNÉES BRUTES'!D$3:D$42,MATCH(_xlfn.AGGREGATE(14,6,'DONNÉES BRUTES'!AA$3:AA$42+ROW('DONNÉES BRUTES'!AA$3:AA$42)/1000,8),'DONNÉES BRUTES'!AA$3:AA$42+ROW('DONNÉES BRUTES'!AA$3:AA$42)/1000,0)),"—")</f>
        <v/>
      </c>
      <c r="H11" s="112">
        <f t="array" ref="H11">IFERROR(INDEX('DONNÉES BRUTES'!E$3:E$42,MATCH(_xlfn.AGGREGATE(14,6,'DONNÉES BRUTES'!AA$3:AA$42+ROW('DONNÉES BRUTES'!AA$3:AA$42)/1000,8),'DONNÉES BRUTES'!AA$3:AA$42+ROW('DONNÉES BRUTES'!AA$3:AA$42)/1000,0)),"—")</f>
        <v/>
      </c>
      <c r="I11" s="112">
        <f t="array" ref="I11">IFERROR(INDEX('DONNÉES BRUTES'!AB$3:AB$42,MATCH(_xlfn.AGGREGATE(14,6,'DONNÉES BRUTES'!AA$3:AA$42+ROW('DONNÉES BRUTES'!AA$3:AA$42)/1000,8),'DONNÉES BRUTES'!AA$3:AA$42+ROW('DONNÉES BRUTES'!AA$3:AA$42)/1000,0)),"—")</f>
        <v/>
      </c>
      <c r="J11" s="112">
        <f t="array" ref="J11">IFERROR(INDEX('DONNÉES BRUTES'!AC$3:AC$42,MATCH(_xlfn.AGGREGATE(14,6,'DONNÉES BRUTES'!AA$3:AA$42+ROW('DONNÉES BRUTES'!AA$3:AA$42)/1000,8),'DONNÉES BRUTES'!AA$3:AA$42+ROW('DONNÉES BRUTES'!AA$3:AA$42)/1000,0)),"—")</f>
        <v/>
      </c>
      <c r="K11" s="112">
        <f t="array" ref="K11">IFERROR(INDEX('DONNÉES BRUTES'!AD$3:AD$42,MATCH(_xlfn.AGGREGATE(14,6,'DONNÉES BRUTES'!AA$3:AA$42+ROW('DONNÉES BRUTES'!AA$3:AA$42)/1000,8),'DONNÉES BRUTES'!AA$3:AA$42+ROW('DONNÉES BRUTES'!AA$3:AA$42)/1000,0)),"—")</f>
        <v/>
      </c>
      <c r="O11" s="235">
        <f>IF(B13&lt;&gt;"—",LEFT(C13,18),"—")</f>
        <v/>
      </c>
      <c r="P11" s="235">
        <f>IF(E13&lt;&gt;"—",VALUE(LEFT(E13,FIND("/",E13)-1)),"")</f>
        <v/>
      </c>
    </row>
    <row r="12" ht="15.95" customHeight="1" thickBot="1">
      <c r="A12" s="125" t="n">
        <v>9</v>
      </c>
      <c r="B12" s="121">
        <f t="array" ref="B12">IFERROR(INDEX('DONNÉES BRUTES'!A$3:A$42,MATCH(_xlfn.AGGREGATE(14,6,'DONNÉES BRUTES'!AA$3:AA$42+ROW('DONNÉES BRUTES'!AA$3:AA$42)/1000,9),'DONNÉES BRUTES'!AA$3:AA$42+ROW('DONNÉES BRUTES'!AA$3:AA$42)/1000,0)),"—")</f>
        <v/>
      </c>
      <c r="C12" s="109">
        <f t="array" ref="C12">IFERROR(INDEX('DONNÉES BRUTES'!B$3:B$42,MATCH(_xlfn.AGGREGATE(14,6,'DONNÉES BRUTES'!AA$3:AA$42+ROW('DONNÉES BRUTES'!AA$3:AA$42)/1000,9),'DONNÉES BRUTES'!AA$3:AA$42+ROW('DONNÉES BRUTES'!AA$3:AA$42)/1000,0)),"—")</f>
        <v/>
      </c>
      <c r="D12" s="109">
        <f t="array" ref="D12">IFERROR(INDEX('DONNÉES BRUTES'!C$3:C$42,MATCH(_xlfn.AGGREGATE(14,6,'DONNÉES BRUTES'!AA$3:AA$42+ROW('DONNÉES BRUTES'!AA$3:AA$42)/1000,9),'DONNÉES BRUTES'!AA$3:AA$42+ROW('DONNÉES BRUTES'!AA$3:AA$42)/1000,0)),"—")</f>
        <v/>
      </c>
      <c r="E12" s="110">
        <f t="array" ref="E12">IFERROR(INDEX('DONNÉES BRUTES'!AA$3:AA$42,MATCH(_xlfn.AGGREGATE(14,6,'DONNÉES BRUTES'!AA$3:AA$42+ROW('DONNÉES BRUTES'!AA$3:AA$42)/1000,9),'DONNÉES BRUTES'!AA$3:AA$42+ROW('DONNÉES BRUTES'!AA$3:AA$42)/1000,0))&amp;"/100","—")</f>
        <v/>
      </c>
      <c r="F12" s="108">
        <f t="array" ref="F12">IFERROR(INDEX('DONNÉES BRUTES'!W$3:W$42,MATCH(_xlfn.AGGREGATE(14,6,'DONNÉES BRUTES'!AA$3:AA$42+ROW('DONNÉES BRUTES'!AA$3:AA$42)/1000,9),'DONNÉES BRUTES'!AA$3:AA$42+ROW('DONNÉES BRUTES'!AA$3:AA$42)/1000,0)),"—")</f>
        <v/>
      </c>
      <c r="G12" s="108">
        <f t="array" ref="G12">IFERROR(INDEX('DONNÉES BRUTES'!D$3:D$42,MATCH(_xlfn.AGGREGATE(14,6,'DONNÉES BRUTES'!AA$3:AA$42+ROW('DONNÉES BRUTES'!AA$3:AA$42)/1000,9),'DONNÉES BRUTES'!AA$3:AA$42+ROW('DONNÉES BRUTES'!AA$3:AA$42)/1000,0)),"—")</f>
        <v/>
      </c>
      <c r="H12" s="108">
        <f t="array" ref="H12">IFERROR(INDEX('DONNÉES BRUTES'!E$3:E$42,MATCH(_xlfn.AGGREGATE(14,6,'DONNÉES BRUTES'!AA$3:AA$42+ROW('DONNÉES BRUTES'!AA$3:AA$42)/1000,9),'DONNÉES BRUTES'!AA$3:AA$42+ROW('DONNÉES BRUTES'!AA$3:AA$42)/1000,0)),"—")</f>
        <v/>
      </c>
      <c r="I12" s="108">
        <f t="array" ref="I12">IFERROR(INDEX('DONNÉES BRUTES'!AB$3:AB$42,MATCH(_xlfn.AGGREGATE(14,6,'DONNÉES BRUTES'!AA$3:AA$42+ROW('DONNÉES BRUTES'!AA$3:AA$42)/1000,9),'DONNÉES BRUTES'!AA$3:AA$42+ROW('DONNÉES BRUTES'!AA$3:AA$42)/1000,0)),"—")</f>
        <v/>
      </c>
      <c r="J12" s="108">
        <f t="array" ref="J12">IFERROR(INDEX('DONNÉES BRUTES'!AC$3:AC$42,MATCH(_xlfn.AGGREGATE(14,6,'DONNÉES BRUTES'!AA$3:AA$42+ROW('DONNÉES BRUTES'!AA$3:AA$42)/1000,9),'DONNÉES BRUTES'!AA$3:AA$42+ROW('DONNÉES BRUTES'!AA$3:AA$42)/1000,0)),"—")</f>
        <v/>
      </c>
      <c r="K12" s="108">
        <f t="array" ref="K12">IFERROR(INDEX('DONNÉES BRUTES'!AD$3:AD$42,MATCH(_xlfn.AGGREGATE(14,6,'DONNÉES BRUTES'!AA$3:AA$42+ROW('DONNÉES BRUTES'!AA$3:AA$42)/1000,9),'DONNÉES BRUTES'!AA$3:AA$42+ROW('DONNÉES BRUTES'!AA$3:AA$42)/1000,0)),"—")</f>
        <v/>
      </c>
    </row>
    <row r="13" ht="15.95" customHeight="1" thickBot="1">
      <c r="A13" s="126" t="n">
        <v>10</v>
      </c>
      <c r="B13" s="122">
        <f t="array" ref="B13">IFERROR(INDEX('DONNÉES BRUTES'!A$3:A$42,MATCH(_xlfn.AGGREGATE(14,6,'DONNÉES BRUTES'!AA$3:AA$42+ROW('DONNÉES BRUTES'!AA$3:AA$42)/1000,10),'DONNÉES BRUTES'!AA$3:AA$42+ROW('DONNÉES BRUTES'!AA$3:AA$42)/1000,0)),"—")</f>
        <v/>
      </c>
      <c r="C13" s="113">
        <f t="array" ref="C13">IFERROR(INDEX('DONNÉES BRUTES'!B$3:B$42,MATCH(_xlfn.AGGREGATE(14,6,'DONNÉES BRUTES'!AA$3:AA$42+ROW('DONNÉES BRUTES'!AA$3:AA$42)/1000,10),'DONNÉES BRUTES'!AA$3:AA$42+ROW('DONNÉES BRUTES'!AA$3:AA$42)/1000,0)),"—")</f>
        <v/>
      </c>
      <c r="D13" s="113">
        <f t="array" ref="D13">IFERROR(INDEX('DONNÉES BRUTES'!C$3:C$42,MATCH(_xlfn.AGGREGATE(14,6,'DONNÉES BRUTES'!AA$3:AA$42+ROW('DONNÉES BRUTES'!AA$3:AA$42)/1000,10),'DONNÉES BRUTES'!AA$3:AA$42+ROW('DONNÉES BRUTES'!AA$3:AA$42)/1000,0)),"—")</f>
        <v/>
      </c>
      <c r="E13" s="114">
        <f t="array" ref="E13">IFERROR(INDEX('DONNÉES BRUTES'!AA$3:AA$42,MATCH(_xlfn.AGGREGATE(14,6,'DONNÉES BRUTES'!AA$3:AA$42+ROW('DONNÉES BRUTES'!AA$3:AA$42)/1000,10),'DONNÉES BRUTES'!AA$3:AA$42+ROW('DONNÉES BRUTES'!AA$3:AA$42)/1000,0))&amp;"/100","—")</f>
        <v/>
      </c>
      <c r="F13" s="112">
        <f t="array" ref="F13">IFERROR(INDEX('DONNÉES BRUTES'!W$3:W$42,MATCH(_xlfn.AGGREGATE(14,6,'DONNÉES BRUTES'!AA$3:AA$42+ROW('DONNÉES BRUTES'!AA$3:AA$42)/1000,10),'DONNÉES BRUTES'!AA$3:AA$42+ROW('DONNÉES BRUTES'!AA$3:AA$42)/1000,0)),"—")</f>
        <v/>
      </c>
      <c r="G13" s="112">
        <f t="array" ref="G13">IFERROR(INDEX('DONNÉES BRUTES'!D$3:D$42,MATCH(_xlfn.AGGREGATE(14,6,'DONNÉES BRUTES'!AA$3:AA$42+ROW('DONNÉES BRUTES'!AA$3:AA$42)/1000,10),'DONNÉES BRUTES'!AA$3:AA$42+ROW('DONNÉES BRUTES'!AA$3:AA$42)/1000,0)),"—")</f>
        <v/>
      </c>
      <c r="H13" s="112">
        <f t="array" ref="H13">IFERROR(INDEX('DONNÉES BRUTES'!E$3:E$42,MATCH(_xlfn.AGGREGATE(14,6,'DONNÉES BRUTES'!AA$3:AA$42+ROW('DONNÉES BRUTES'!AA$3:AA$42)/1000,10),'DONNÉES BRUTES'!AA$3:AA$42+ROW('DONNÉES BRUTES'!AA$3:AA$42)/1000,0)),"—")</f>
        <v/>
      </c>
      <c r="I13" s="112">
        <f t="array" ref="I13">IFERROR(INDEX('DONNÉES BRUTES'!AB$3:AB$42,MATCH(_xlfn.AGGREGATE(14,6,'DONNÉES BRUTES'!AA$3:AA$42+ROW('DONNÉES BRUTES'!AA$3:AA$42)/1000,10),'DONNÉES BRUTES'!AA$3:AA$42+ROW('DONNÉES BRUTES'!AA$3:AA$42)/1000,0)),"—")</f>
        <v/>
      </c>
      <c r="J13" s="112">
        <f t="array" ref="J13">IFERROR(INDEX('DONNÉES BRUTES'!AC$3:AC$42,MATCH(_xlfn.AGGREGATE(14,6,'DONNÉES BRUTES'!AA$3:AA$42+ROW('DONNÉES BRUTES'!AA$3:AA$42)/1000,10),'DONNÉES BRUTES'!AA$3:AA$42+ROW('DONNÉES BRUTES'!AA$3:AA$42)/1000,0)),"—")</f>
        <v/>
      </c>
      <c r="K13" s="112">
        <f t="array" ref="K13">IFERROR(INDEX('DONNÉES BRUTES'!AD$3:AD$42,MATCH(_xlfn.AGGREGATE(14,6,'DONNÉES BRUTES'!AA$3:AA$42+ROW('DONNÉES BRUTES'!AA$3:AA$42)/1000,10),'DONNÉES BRUTES'!AA$3:AA$42+ROW('DONNÉES BRUTES'!AA$3:AA$42)/1000,0)),"—")</f>
        <v/>
      </c>
    </row>
    <row r="14" ht="15.95" customHeight="1" thickBot="1">
      <c r="A14" s="125" t="n">
        <v>11</v>
      </c>
      <c r="B14" s="121">
        <f t="array" ref="B14">IFERROR(INDEX('DONNÉES BRUTES'!A$3:A$42,MATCH(_xlfn.AGGREGATE(14,6,'DONNÉES BRUTES'!AA$3:AA$42+ROW('DONNÉES BRUTES'!AA$3:AA$42)/1000,11),'DONNÉES BRUTES'!AA$3:AA$42+ROW('DONNÉES BRUTES'!AA$3:AA$42)/1000,0)),"—")</f>
        <v/>
      </c>
      <c r="C14" s="109">
        <f t="array" ref="C14">IFERROR(INDEX('DONNÉES BRUTES'!B$3:B$42,MATCH(_xlfn.AGGREGATE(14,6,'DONNÉES BRUTES'!AA$3:AA$42+ROW('DONNÉES BRUTES'!AA$3:AA$42)/1000,11),'DONNÉES BRUTES'!AA$3:AA$42+ROW('DONNÉES BRUTES'!AA$3:AA$42)/1000,0)),"—")</f>
        <v/>
      </c>
      <c r="D14" s="109">
        <f t="array" ref="D14">IFERROR(INDEX('DONNÉES BRUTES'!C$3:C$42,MATCH(_xlfn.AGGREGATE(14,6,'DONNÉES BRUTES'!AA$3:AA$42+ROW('DONNÉES BRUTES'!AA$3:AA$42)/1000,11),'DONNÉES BRUTES'!AA$3:AA$42+ROW('DONNÉES BRUTES'!AA$3:AA$42)/1000,0)),"—")</f>
        <v/>
      </c>
      <c r="E14" s="110">
        <f t="array" ref="E14">IFERROR(INDEX('DONNÉES BRUTES'!AA$3:AA$42,MATCH(_xlfn.AGGREGATE(14,6,'DONNÉES BRUTES'!AA$3:AA$42+ROW('DONNÉES BRUTES'!AA$3:AA$42)/1000,11),'DONNÉES BRUTES'!AA$3:AA$42+ROW('DONNÉES BRUTES'!AA$3:AA$42)/1000,0))&amp;"/100","—")</f>
        <v/>
      </c>
      <c r="F14" s="108">
        <f t="array" ref="F14">IFERROR(INDEX('DONNÉES BRUTES'!W$3:W$42,MATCH(_xlfn.AGGREGATE(14,6,'DONNÉES BRUTES'!AA$3:AA$42+ROW('DONNÉES BRUTES'!AA$3:AA$42)/1000,11),'DONNÉES BRUTES'!AA$3:AA$42+ROW('DONNÉES BRUTES'!AA$3:AA$42)/1000,0)),"—")</f>
        <v/>
      </c>
      <c r="G14" s="108">
        <f t="array" ref="G14">IFERROR(INDEX('DONNÉES BRUTES'!D$3:D$42,MATCH(_xlfn.AGGREGATE(14,6,'DONNÉES BRUTES'!AA$3:AA$42+ROW('DONNÉES BRUTES'!AA$3:AA$42)/1000,11),'DONNÉES BRUTES'!AA$3:AA$42+ROW('DONNÉES BRUTES'!AA$3:AA$42)/1000,0)),"—")</f>
        <v/>
      </c>
      <c r="H14" s="108">
        <f t="array" ref="H14">IFERROR(INDEX('DONNÉES BRUTES'!E$3:E$42,MATCH(_xlfn.AGGREGATE(14,6,'DONNÉES BRUTES'!AA$3:AA$42+ROW('DONNÉES BRUTES'!AA$3:AA$42)/1000,11),'DONNÉES BRUTES'!AA$3:AA$42+ROW('DONNÉES BRUTES'!AA$3:AA$42)/1000,0)),"—")</f>
        <v/>
      </c>
      <c r="I14" s="108">
        <f t="array" ref="I14">IFERROR(INDEX('DONNÉES BRUTES'!AB$3:AB$42,MATCH(_xlfn.AGGREGATE(14,6,'DONNÉES BRUTES'!AA$3:AA$42+ROW('DONNÉES BRUTES'!AA$3:AA$42)/1000,11),'DONNÉES BRUTES'!AA$3:AA$42+ROW('DONNÉES BRUTES'!AA$3:AA$42)/1000,0)),"—")</f>
        <v/>
      </c>
      <c r="J14" s="108">
        <f t="array" ref="J14">IFERROR(INDEX('DONNÉES BRUTES'!AC$3:AC$42,MATCH(_xlfn.AGGREGATE(14,6,'DONNÉES BRUTES'!AA$3:AA$42+ROW('DONNÉES BRUTES'!AA$3:AA$42)/1000,11),'DONNÉES BRUTES'!AA$3:AA$42+ROW('DONNÉES BRUTES'!AA$3:AA$42)/1000,0)),"—")</f>
        <v/>
      </c>
      <c r="K14" s="108">
        <f t="array" ref="K14">IFERROR(INDEX('DONNÉES BRUTES'!AD$3:AD$42,MATCH(_xlfn.AGGREGATE(14,6,'DONNÉES BRUTES'!AA$3:AA$42+ROW('DONNÉES BRUTES'!AA$3:AA$42)/1000,11),'DONNÉES BRUTES'!AA$3:AA$42+ROW('DONNÉES BRUTES'!AA$3:AA$42)/1000,0)),"—")</f>
        <v/>
      </c>
    </row>
    <row r="15" ht="15.95" customHeight="1" thickBot="1">
      <c r="A15" s="126" t="n">
        <v>12</v>
      </c>
      <c r="B15" s="122">
        <f t="array" ref="B15">IFERROR(INDEX('DONNÉES BRUTES'!A$3:A$42,MATCH(_xlfn.AGGREGATE(14,6,'DONNÉES BRUTES'!AA$3:AA$42+ROW('DONNÉES BRUTES'!AA$3:AA$42)/1000,12),'DONNÉES BRUTES'!AA$3:AA$42+ROW('DONNÉES BRUTES'!AA$3:AA$42)/1000,0)),"—")</f>
        <v/>
      </c>
      <c r="C15" s="113">
        <f t="array" ref="C15">IFERROR(INDEX('DONNÉES BRUTES'!B$3:B$42,MATCH(_xlfn.AGGREGATE(14,6,'DONNÉES BRUTES'!AA$3:AA$42+ROW('DONNÉES BRUTES'!AA$3:AA$42)/1000,12),'DONNÉES BRUTES'!AA$3:AA$42+ROW('DONNÉES BRUTES'!AA$3:AA$42)/1000,0)),"—")</f>
        <v/>
      </c>
      <c r="D15" s="113">
        <f t="array" ref="D15">IFERROR(INDEX('DONNÉES BRUTES'!C$3:C$42,MATCH(_xlfn.AGGREGATE(14,6,'DONNÉES BRUTES'!AA$3:AA$42+ROW('DONNÉES BRUTES'!AA$3:AA$42)/1000,12),'DONNÉES BRUTES'!AA$3:AA$42+ROW('DONNÉES BRUTES'!AA$3:AA$42)/1000,0)),"—")</f>
        <v/>
      </c>
      <c r="E15" s="114">
        <f t="array" ref="E15">IFERROR(INDEX('DONNÉES BRUTES'!AA$3:AA$42,MATCH(_xlfn.AGGREGATE(14,6,'DONNÉES BRUTES'!AA$3:AA$42+ROW('DONNÉES BRUTES'!AA$3:AA$42)/1000,12),'DONNÉES BRUTES'!AA$3:AA$42+ROW('DONNÉES BRUTES'!AA$3:AA$42)/1000,0))&amp;"/100","—")</f>
        <v/>
      </c>
      <c r="F15" s="112">
        <f t="array" ref="F15">IFERROR(INDEX('DONNÉES BRUTES'!W$3:W$42,MATCH(_xlfn.AGGREGATE(14,6,'DONNÉES BRUTES'!AA$3:AA$42+ROW('DONNÉES BRUTES'!AA$3:AA$42)/1000,12),'DONNÉES BRUTES'!AA$3:AA$42+ROW('DONNÉES BRUTES'!AA$3:AA$42)/1000,0)),"—")</f>
        <v/>
      </c>
      <c r="G15" s="112">
        <f t="array" ref="G15">IFERROR(INDEX('DONNÉES BRUTES'!D$3:D$42,MATCH(_xlfn.AGGREGATE(14,6,'DONNÉES BRUTES'!AA$3:AA$42+ROW('DONNÉES BRUTES'!AA$3:AA$42)/1000,12),'DONNÉES BRUTES'!AA$3:AA$42+ROW('DONNÉES BRUTES'!AA$3:AA$42)/1000,0)),"—")</f>
        <v/>
      </c>
      <c r="H15" s="112">
        <f t="array" ref="H15">IFERROR(INDEX('DONNÉES BRUTES'!E$3:E$42,MATCH(_xlfn.AGGREGATE(14,6,'DONNÉES BRUTES'!AA$3:AA$42+ROW('DONNÉES BRUTES'!AA$3:AA$42)/1000,12),'DONNÉES BRUTES'!AA$3:AA$42+ROW('DONNÉES BRUTES'!AA$3:AA$42)/1000,0)),"—")</f>
        <v/>
      </c>
      <c r="I15" s="112">
        <f t="array" ref="I15">IFERROR(INDEX('DONNÉES BRUTES'!AB$3:AB$42,MATCH(_xlfn.AGGREGATE(14,6,'DONNÉES BRUTES'!AA$3:AA$42+ROW('DONNÉES BRUTES'!AA$3:AA$42)/1000,12),'DONNÉES BRUTES'!AA$3:AA$42+ROW('DONNÉES BRUTES'!AA$3:AA$42)/1000,0)),"—")</f>
        <v/>
      </c>
      <c r="J15" s="112">
        <f t="array" ref="J15">IFERROR(INDEX('DONNÉES BRUTES'!AC$3:AC$42,MATCH(_xlfn.AGGREGATE(14,6,'DONNÉES BRUTES'!AA$3:AA$42+ROW('DONNÉES BRUTES'!AA$3:AA$42)/1000,12),'DONNÉES BRUTES'!AA$3:AA$42+ROW('DONNÉES BRUTES'!AA$3:AA$42)/1000,0)),"—")</f>
        <v/>
      </c>
      <c r="K15" s="112">
        <f t="array" ref="K15">IFERROR(INDEX('DONNÉES BRUTES'!AD$3:AD$42,MATCH(_xlfn.AGGREGATE(14,6,'DONNÉES BRUTES'!AA$3:AA$42+ROW('DONNÉES BRUTES'!AA$3:AA$42)/1000,12),'DONNÉES BRUTES'!AA$3:AA$42+ROW('DONNÉES BRUTES'!AA$3:AA$42)/1000,0)),"—")</f>
        <v/>
      </c>
      <c r="R15" s="235" t="n"/>
    </row>
    <row r="16" ht="15.95" customHeight="1" thickBot="1">
      <c r="A16" s="125" t="n">
        <v>13</v>
      </c>
      <c r="B16" s="121">
        <f t="array" ref="B16">IFERROR(INDEX('DONNÉES BRUTES'!A$3:A$42,MATCH(_xlfn.AGGREGATE(14,6,'DONNÉES BRUTES'!AA$3:AA$42+ROW('DONNÉES BRUTES'!AA$3:AA$42)/1000,13),'DONNÉES BRUTES'!AA$3:AA$42+ROW('DONNÉES BRUTES'!AA$3:AA$42)/1000,0)),"—")</f>
        <v/>
      </c>
      <c r="C16" s="109">
        <f t="array" ref="C16">IFERROR(INDEX('DONNÉES BRUTES'!B$3:B$42,MATCH(_xlfn.AGGREGATE(14,6,'DONNÉES BRUTES'!AA$3:AA$42+ROW('DONNÉES BRUTES'!AA$3:AA$42)/1000,13),'DONNÉES BRUTES'!AA$3:AA$42+ROW('DONNÉES BRUTES'!AA$3:AA$42)/1000,0)),"—")</f>
        <v/>
      </c>
      <c r="D16" s="109">
        <f t="array" ref="D16">IFERROR(INDEX('DONNÉES BRUTES'!C$3:C$42,MATCH(_xlfn.AGGREGATE(14,6,'DONNÉES BRUTES'!AA$3:AA$42+ROW('DONNÉES BRUTES'!AA$3:AA$42)/1000,13),'DONNÉES BRUTES'!AA$3:AA$42+ROW('DONNÉES BRUTES'!AA$3:AA$42)/1000,0)),"—")</f>
        <v/>
      </c>
      <c r="E16" s="110">
        <f t="array" ref="E16">IFERROR(INDEX('DONNÉES BRUTES'!AA$3:AA$42,MATCH(_xlfn.AGGREGATE(14,6,'DONNÉES BRUTES'!AA$3:AA$42+ROW('DONNÉES BRUTES'!AA$3:AA$42)/1000,13),'DONNÉES BRUTES'!AA$3:AA$42+ROW('DONNÉES BRUTES'!AA$3:AA$42)/1000,0))&amp;"/100","—")</f>
        <v/>
      </c>
      <c r="F16" s="108">
        <f t="array" ref="F16">IFERROR(INDEX('DONNÉES BRUTES'!W$3:W$42,MATCH(_xlfn.AGGREGATE(14,6,'DONNÉES BRUTES'!AA$3:AA$42+ROW('DONNÉES BRUTES'!AA$3:AA$42)/1000,13),'DONNÉES BRUTES'!AA$3:AA$42+ROW('DONNÉES BRUTES'!AA$3:AA$42)/1000,0)),"—")</f>
        <v/>
      </c>
      <c r="G16" s="108">
        <f t="array" ref="G16">IFERROR(INDEX('DONNÉES BRUTES'!D$3:D$42,MATCH(_xlfn.AGGREGATE(14,6,'DONNÉES BRUTES'!AA$3:AA$42+ROW('DONNÉES BRUTES'!AA$3:AA$42)/1000,13),'DONNÉES BRUTES'!AA$3:AA$42+ROW('DONNÉES BRUTES'!AA$3:AA$42)/1000,0)),"—")</f>
        <v/>
      </c>
      <c r="H16" s="108">
        <f t="array" ref="H16">IFERROR(INDEX('DONNÉES BRUTES'!E$3:E$42,MATCH(_xlfn.AGGREGATE(14,6,'DONNÉES BRUTES'!AA$3:AA$42+ROW('DONNÉES BRUTES'!AA$3:AA$42)/1000,13),'DONNÉES BRUTES'!AA$3:AA$42+ROW('DONNÉES BRUTES'!AA$3:AA$42)/1000,0)),"—")</f>
        <v/>
      </c>
      <c r="I16" s="108">
        <f t="array" ref="I16">IFERROR(INDEX('DONNÉES BRUTES'!AB$3:AB$42,MATCH(_xlfn.AGGREGATE(14,6,'DONNÉES BRUTES'!AA$3:AA$42+ROW('DONNÉES BRUTES'!AA$3:AA$42)/1000,13),'DONNÉES BRUTES'!AA$3:AA$42+ROW('DONNÉES BRUTES'!AA$3:AA$42)/1000,0)),"—")</f>
        <v/>
      </c>
      <c r="J16" s="108">
        <f t="array" ref="J16">IFERROR(INDEX('DONNÉES BRUTES'!AC$3:AC$42,MATCH(_xlfn.AGGREGATE(14,6,'DONNÉES BRUTES'!AA$3:AA$42+ROW('DONNÉES BRUTES'!AA$3:AA$42)/1000,13),'DONNÉES BRUTES'!AA$3:AA$42+ROW('DONNÉES BRUTES'!AA$3:AA$42)/1000,0)),"—")</f>
        <v/>
      </c>
      <c r="K16" s="108">
        <f t="array" ref="K16">IFERROR(INDEX('DONNÉES BRUTES'!AD$3:AD$42,MATCH(_xlfn.AGGREGATE(14,6,'DONNÉES BRUTES'!AA$3:AA$42+ROW('DONNÉES BRUTES'!AA$3:AA$42)/1000,13),'DONNÉES BRUTES'!AA$3:AA$42+ROW('DONNÉES BRUTES'!AA$3:AA$42)/1000,0)),"—")</f>
        <v/>
      </c>
    </row>
    <row r="17" ht="15.95" customHeight="1" thickBot="1">
      <c r="A17" s="126" t="n">
        <v>14</v>
      </c>
      <c r="B17" s="122">
        <f t="array" ref="B17">IFERROR(INDEX('DONNÉES BRUTES'!A$3:A$42,MATCH(_xlfn.AGGREGATE(14,6,'DONNÉES BRUTES'!AA$3:AA$42+ROW('DONNÉES BRUTES'!AA$3:AA$42)/1000,14),'DONNÉES BRUTES'!AA$3:AA$42+ROW('DONNÉES BRUTES'!AA$3:AA$42)/1000,0)),"—")</f>
        <v/>
      </c>
      <c r="C17" s="113">
        <f t="array" ref="C17">IFERROR(INDEX('DONNÉES BRUTES'!B$3:B$42,MATCH(_xlfn.AGGREGATE(14,6,'DONNÉES BRUTES'!AA$3:AA$42+ROW('DONNÉES BRUTES'!AA$3:AA$42)/1000,14),'DONNÉES BRUTES'!AA$3:AA$42+ROW('DONNÉES BRUTES'!AA$3:AA$42)/1000,0)),"—")</f>
        <v/>
      </c>
      <c r="D17" s="113">
        <f t="array" ref="D17">IFERROR(INDEX('DONNÉES BRUTES'!C$3:C$42,MATCH(_xlfn.AGGREGATE(14,6,'DONNÉES BRUTES'!AA$3:AA$42+ROW('DONNÉES BRUTES'!AA$3:AA$42)/1000,14),'DONNÉES BRUTES'!AA$3:AA$42+ROW('DONNÉES BRUTES'!AA$3:AA$42)/1000,0)),"—")</f>
        <v/>
      </c>
      <c r="E17" s="114">
        <f t="array" ref="E17">IFERROR(INDEX('DONNÉES BRUTES'!AA$3:AA$42,MATCH(_xlfn.AGGREGATE(14,6,'DONNÉES BRUTES'!AA$3:AA$42+ROW('DONNÉES BRUTES'!AA$3:AA$42)/1000,14),'DONNÉES BRUTES'!AA$3:AA$42+ROW('DONNÉES BRUTES'!AA$3:AA$42)/1000,0))&amp;"/100","—")</f>
        <v/>
      </c>
      <c r="F17" s="112">
        <f t="array" ref="F17">IFERROR(INDEX('DONNÉES BRUTES'!W$3:W$42,MATCH(_xlfn.AGGREGATE(14,6,'DONNÉES BRUTES'!AA$3:AA$42+ROW('DONNÉES BRUTES'!AA$3:AA$42)/1000,14),'DONNÉES BRUTES'!AA$3:AA$42+ROW('DONNÉES BRUTES'!AA$3:AA$42)/1000,0)),"—")</f>
        <v/>
      </c>
      <c r="G17" s="112">
        <f t="array" ref="G17">IFERROR(INDEX('DONNÉES BRUTES'!D$3:D$42,MATCH(_xlfn.AGGREGATE(14,6,'DONNÉES BRUTES'!AA$3:AA$42+ROW('DONNÉES BRUTES'!AA$3:AA$42)/1000,14),'DONNÉES BRUTES'!AA$3:AA$42+ROW('DONNÉES BRUTES'!AA$3:AA$42)/1000,0)),"—")</f>
        <v/>
      </c>
      <c r="H17" s="112">
        <f t="array" ref="H17">IFERROR(INDEX('DONNÉES BRUTES'!E$3:E$42,MATCH(_xlfn.AGGREGATE(14,6,'DONNÉES BRUTES'!AA$3:AA$42+ROW('DONNÉES BRUTES'!AA$3:AA$42)/1000,14),'DONNÉES BRUTES'!AA$3:AA$42+ROW('DONNÉES BRUTES'!AA$3:AA$42)/1000,0)),"—")</f>
        <v/>
      </c>
      <c r="I17" s="112">
        <f t="array" ref="I17">IFERROR(INDEX('DONNÉES BRUTES'!AB$3:AB$42,MATCH(_xlfn.AGGREGATE(14,6,'DONNÉES BRUTES'!AA$3:AA$42+ROW('DONNÉES BRUTES'!AA$3:AA$42)/1000,14),'DONNÉES BRUTES'!AA$3:AA$42+ROW('DONNÉES BRUTES'!AA$3:AA$42)/1000,0)),"—")</f>
        <v/>
      </c>
      <c r="J17" s="112">
        <f t="array" ref="J17">IFERROR(INDEX('DONNÉES BRUTES'!AC$3:AC$42,MATCH(_xlfn.AGGREGATE(14,6,'DONNÉES BRUTES'!AA$3:AA$42+ROW('DONNÉES BRUTES'!AA$3:AA$42)/1000,14),'DONNÉES BRUTES'!AA$3:AA$42+ROW('DONNÉES BRUTES'!AA$3:AA$42)/1000,0)),"—")</f>
        <v/>
      </c>
      <c r="K17" s="112">
        <f t="array" ref="K17">IFERROR(INDEX('DONNÉES BRUTES'!AD$3:AD$42,MATCH(_xlfn.AGGREGATE(14,6,'DONNÉES BRUTES'!AA$3:AA$42+ROW('DONNÉES BRUTES'!AA$3:AA$42)/1000,14),'DONNÉES BRUTES'!AA$3:AA$42+ROW('DONNÉES BRUTES'!AA$3:AA$42)/1000,0)),"—")</f>
        <v/>
      </c>
    </row>
    <row r="18" ht="15.95" customHeight="1">
      <c r="A18" s="127" t="n">
        <v>15</v>
      </c>
      <c r="B18" s="123">
        <f t="array" ref="B18">IFERROR(INDEX('DONNÉES BRUTES'!A$3:A$42,MATCH(_xlfn.AGGREGATE(14,6,'DONNÉES BRUTES'!AA$3:AA$42+ROW('DONNÉES BRUTES'!AA$3:AA$42)/1000,15),'DONNÉES BRUTES'!AA$3:AA$42+ROW('DONNÉES BRUTES'!AA$3:AA$42)/1000,0)),"—")</f>
        <v/>
      </c>
      <c r="C18" s="117">
        <f t="array" ref="C18">IFERROR(INDEX('DONNÉES BRUTES'!B$3:B$42,MATCH(_xlfn.AGGREGATE(14,6,'DONNÉES BRUTES'!AA$3:AA$42+ROW('DONNÉES BRUTES'!AA$3:AA$42)/1000,15),'DONNÉES BRUTES'!AA$3:AA$42+ROW('DONNÉES BRUTES'!AA$3:AA$42)/1000,0)),"—")</f>
        <v/>
      </c>
      <c r="D18" s="117">
        <f t="array" ref="D18">IFERROR(INDEX('DONNÉES BRUTES'!C$3:C$42,MATCH(_xlfn.AGGREGATE(14,6,'DONNÉES BRUTES'!AA$3:AA$42+ROW('DONNÉES BRUTES'!AA$3:AA$42)/1000,15),'DONNÉES BRUTES'!AA$3:AA$42+ROW('DONNÉES BRUTES'!AA$3:AA$42)/1000,0)),"—")</f>
        <v/>
      </c>
      <c r="E18" s="118">
        <f t="array" ref="E18">IFERROR(INDEX('DONNÉES BRUTES'!AA$3:AA$42,MATCH(_xlfn.AGGREGATE(14,6,'DONNÉES BRUTES'!AA$3:AA$42+ROW('DONNÉES BRUTES'!AA$3:AA$42)/1000,15),'DONNÉES BRUTES'!AA$3:AA$42+ROW('DONNÉES BRUTES'!AA$3:AA$42)/1000,0))&amp;"/100","—")</f>
        <v/>
      </c>
      <c r="F18" s="116">
        <f t="array" ref="F18">IFERROR(INDEX('DONNÉES BRUTES'!W$3:W$42,MATCH(_xlfn.AGGREGATE(14,6,'DONNÉES BRUTES'!AA$3:AA$42+ROW('DONNÉES BRUTES'!AA$3:AA$42)/1000,15),'DONNÉES BRUTES'!AA$3:AA$42+ROW('DONNÉES BRUTES'!AA$3:AA$42)/1000,0)),"—")</f>
        <v/>
      </c>
      <c r="G18" s="116">
        <f t="array" ref="G18">IFERROR(INDEX('DONNÉES BRUTES'!D$3:D$42,MATCH(_xlfn.AGGREGATE(14,6,'DONNÉES BRUTES'!AA$3:AA$42+ROW('DONNÉES BRUTES'!AA$3:AA$42)/1000,15),'DONNÉES BRUTES'!AA$3:AA$42+ROW('DONNÉES BRUTES'!AA$3:AA$42)/1000,0)),"—")</f>
        <v/>
      </c>
      <c r="H18" s="116">
        <f t="array" ref="H18">IFERROR(INDEX('DONNÉES BRUTES'!E$3:E$42,MATCH(_xlfn.AGGREGATE(14,6,'DONNÉES BRUTES'!AA$3:AA$42+ROW('DONNÉES BRUTES'!AA$3:AA$42)/1000,15),'DONNÉES BRUTES'!AA$3:AA$42+ROW('DONNÉES BRUTES'!AA$3:AA$42)/1000,0)),"—")</f>
        <v/>
      </c>
      <c r="I18" s="116">
        <f t="array" ref="I18">IFERROR(INDEX('DONNÉES BRUTES'!AB$3:AB$42,MATCH(_xlfn.AGGREGATE(14,6,'DONNÉES BRUTES'!AA$3:AA$42+ROW('DONNÉES BRUTES'!AA$3:AA$42)/1000,15),'DONNÉES BRUTES'!AA$3:AA$42+ROW('DONNÉES BRUTES'!AA$3:AA$42)/1000,0)),"—")</f>
        <v/>
      </c>
      <c r="J18" s="116">
        <f t="array" ref="J18">IFERROR(INDEX('DONNÉES BRUTES'!AC$3:AC$42,MATCH(_xlfn.AGGREGATE(14,6,'DONNÉES BRUTES'!AA$3:AA$42+ROW('DONNÉES BRUTES'!AA$3:AA$42)/1000,15),'DONNÉES BRUTES'!AA$3:AA$42+ROW('DONNÉES BRUTES'!AA$3:AA$42)/1000,0)),"—")</f>
        <v/>
      </c>
      <c r="K18" s="116">
        <f t="array" ref="K18">IFERROR(INDEX('DONNÉES BRUTES'!AD$3:AD$42,MATCH(_xlfn.AGGREGATE(14,6,'DONNÉES BRUTES'!AA$3:AA$42+ROW('DONNÉES BRUTES'!AA$3:AA$42)/1000,15),'DONNÉES BRUTES'!AA$3:AA$42+ROW('DONNÉES BRUTES'!AA$3:AA$42)/1000,0)),"—")</f>
        <v/>
      </c>
    </row>
    <row r="19" ht="15.95" customHeight="1">
      <c r="A19" s="128" t="n"/>
      <c r="B19" s="128" t="n"/>
      <c r="C19" s="128" t="n"/>
      <c r="D19" s="128" t="n"/>
      <c r="E19" s="128" t="n"/>
      <c r="F19" s="128" t="n"/>
      <c r="G19" s="128" t="n"/>
      <c r="H19" s="128" t="n"/>
      <c r="I19" s="128" t="n"/>
      <c r="J19" s="128" t="n"/>
      <c r="K19" s="128" t="n"/>
    </row>
    <row r="20" ht="6" customHeight="1">
      <c r="A20" s="131" t="n"/>
      <c r="B20" s="130" t="n"/>
      <c r="C20" s="130" t="n"/>
      <c r="D20" s="130" t="n"/>
      <c r="E20" s="130" t="n"/>
      <c r="F20" s="130" t="n"/>
      <c r="G20" s="130" t="n"/>
      <c r="H20" s="130" t="n"/>
      <c r="I20" s="130" t="n"/>
      <c r="J20" s="130" t="n"/>
      <c r="K20" s="132" t="n"/>
    </row>
    <row r="21" ht="15.95" customHeight="1">
      <c r="A21" s="143" t="n"/>
      <c r="B21" s="143" t="n"/>
      <c r="C21" s="144" t="n"/>
      <c r="D21" s="144" t="n"/>
      <c r="E21" s="144" t="n"/>
      <c r="F21" s="144" t="n"/>
      <c r="G21" s="144" t="n"/>
      <c r="H21" s="144" t="n"/>
      <c r="I21" s="144" t="n"/>
      <c r="J21" s="144" t="n"/>
      <c r="K21" s="144" t="n"/>
    </row>
    <row r="22" ht="15.95" customHeight="1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</row>
    <row r="23" ht="13.9" customHeight="1"/>
    <row r="24" ht="13.9" customHeight="1"/>
    <row r="25" ht="13.9" customHeight="1"/>
    <row r="26" ht="13.9" customHeight="1"/>
    <row r="27" ht="13.9" customHeight="1"/>
    <row r="28" ht="13.9" customHeight="1"/>
    <row r="29" ht="13.9" customHeight="1"/>
    <row r="30" ht="13.9" customHeight="1"/>
    <row r="31" ht="13.9" customHeight="1"/>
    <row r="32" ht="13.9" customHeight="1"/>
    <row r="33" ht="13.9" customHeight="1"/>
    <row r="34" ht="13.9" customHeight="1"/>
    <row r="35" ht="13.9" customHeight="1"/>
    <row r="36" ht="13.9" customHeight="1"/>
    <row r="37" ht="13.9" customHeight="1"/>
    <row r="38" ht="13.9" customHeight="1"/>
    <row r="39" ht="13.9" customHeight="1"/>
    <row r="40" ht="13.9" customHeight="1"/>
    <row r="41" ht="13.9" customHeight="1"/>
    <row r="42" ht="13.9" customHeight="1"/>
    <row r="44" ht="16.15" customHeight="1"/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showGridLines="0" zoomScale="90" workbookViewId="0">
      <selection activeCell="P20" sqref="P20"/>
    </sheetView>
  </sheetViews>
  <sheetFormatPr baseColWidth="10" defaultColWidth="8.85546875" defaultRowHeight="15"/>
  <cols>
    <col width="1.140625" customWidth="1" min="1" max="1"/>
    <col width="17.140625" customWidth="1" min="2" max="2"/>
    <col width="7.28515625" customWidth="1" min="3" max="3"/>
    <col width="9.5703125" customWidth="1" min="4" max="4"/>
    <col width="10.42578125" customWidth="1" min="5" max="5"/>
    <col width="24.7109375" customWidth="1" min="6" max="6"/>
    <col width="12.42578125" customWidth="1" min="7" max="9"/>
    <col width="13.7109375" customWidth="1" min="10" max="10"/>
    <col width="1.140625" customWidth="1" style="235" min="11" max="12"/>
    <col width="10.42578125" customWidth="1" style="235" min="13" max="13"/>
    <col width="1.140625" customWidth="1" min="14" max="16"/>
  </cols>
  <sheetData>
    <row r="1" ht="32.1" customHeight="1" thickBot="1">
      <c r="A1" s="223" t="n"/>
      <c r="B1" s="223" t="inlineStr">
        <is>
          <t>FinSight IA  ·  CAC 40 — Vue Macro Sectorielle</t>
        </is>
      </c>
      <c r="C1" s="223" t="n"/>
      <c r="D1" s="223" t="n"/>
      <c r="E1" s="223" t="n"/>
      <c r="F1" s="223" t="n"/>
      <c r="G1" s="223" t="n"/>
      <c r="H1" s="225" t="inlineStr">
        <is>
          <t>22/03/2026</t>
        </is>
      </c>
      <c r="I1" s="225" t="n"/>
      <c r="J1" s="225" t="n"/>
      <c r="L1" s="235" t="inlineStr">
        <is>
          <t>Secteur</t>
        </is>
      </c>
      <c r="M1" s="235" t="inlineStr">
        <is>
          <t>Score</t>
        </is>
      </c>
    </row>
    <row r="2">
      <c r="A2" s="22" t="inlineStr">
        <is>
          <t>Usage confidentiel  ·  Calculs Python/NumPy depuis cache Supabase</t>
        </is>
      </c>
      <c r="B2" s="146" t="n"/>
      <c r="C2" s="146" t="n"/>
      <c r="D2" s="146" t="n"/>
      <c r="E2" s="146" t="n"/>
      <c r="F2" s="146" t="n"/>
      <c r="G2" s="146" t="n"/>
      <c r="H2" s="146" t="n"/>
      <c r="I2" s="146" t="n"/>
      <c r="J2" s="146" t="n"/>
      <c r="L2" s="235" t="inlineStr">
        <is>
          <t>Healthcare</t>
        </is>
      </c>
      <c r="M2" s="235" t="n">
        <v>72</v>
      </c>
    </row>
    <row r="3" ht="15.95" customHeight="1">
      <c r="A3" s="224" t="n"/>
      <c r="B3" s="224" t="inlineStr">
        <is>
          <t>Scoring composite Value / Growth / Quality / Momentum  ·  Métriques médianes par secteur  ·  Usage confidentiel</t>
        </is>
      </c>
      <c r="C3" s="224" t="n"/>
      <c r="D3" s="224" t="n"/>
      <c r="E3" s="224" t="n"/>
      <c r="F3" s="224" t="n"/>
      <c r="G3" s="224" t="n"/>
      <c r="H3" s="224" t="n"/>
      <c r="I3" s="224" t="n"/>
      <c r="J3" s="224" t="n"/>
      <c r="L3" s="235" t="inlineStr">
        <is>
          <t>Real Estate</t>
        </is>
      </c>
      <c r="M3" s="235" t="n">
        <v>69</v>
      </c>
    </row>
    <row r="4" ht="8.1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L4" s="235" t="inlineStr">
        <is>
          <t>Financials</t>
        </is>
      </c>
      <c r="M4" s="235" t="n">
        <v>63</v>
      </c>
    </row>
    <row r="5" ht="20.1" customHeight="1">
      <c r="A5" s="148" t="n"/>
      <c r="B5" s="148" t="inlineStr">
        <is>
          <t>SCORECARD SECTORIELLE  ·  Score composite, métriques médianes, signal d'investissement — CAC 40</t>
        </is>
      </c>
      <c r="C5" s="148" t="n"/>
      <c r="D5" s="148" t="n"/>
      <c r="E5" s="148" t="n"/>
      <c r="F5" s="148" t="n"/>
      <c r="G5" s="148" t="n"/>
      <c r="H5" s="148" t="n"/>
      <c r="I5" s="148" t="n"/>
      <c r="J5" s="148" t="n"/>
      <c r="L5" s="235" t="inlineStr">
        <is>
          <t>Industrials</t>
        </is>
      </c>
      <c r="M5" s="235" t="n">
        <v>57</v>
      </c>
    </row>
    <row r="6" ht="5.1" customHeight="1">
      <c r="A6" s="60" t="n"/>
      <c r="B6" s="60" t="n"/>
      <c r="C6" s="60" t="n"/>
      <c r="D6" s="60" t="n"/>
      <c r="E6" s="60" t="n"/>
      <c r="F6" s="60" t="n"/>
      <c r="G6" s="60" t="n"/>
      <c r="H6" s="60" t="n"/>
      <c r="I6" s="60" t="n"/>
      <c r="J6" s="60" t="n"/>
      <c r="L6" s="235" t="inlineStr">
        <is>
          <t>Consumer Staples</t>
        </is>
      </c>
      <c r="M6" s="235" t="n">
        <v>55</v>
      </c>
    </row>
    <row r="7" ht="20.1" customHeight="1">
      <c r="A7" s="152" t="n"/>
      <c r="B7" s="151" t="inlineStr">
        <is>
          <t>Secteur</t>
        </is>
      </c>
      <c r="C7" s="152" t="inlineStr">
        <is>
          <t># Soc.</t>
        </is>
      </c>
      <c r="D7" s="152" t="inlineStr">
        <is>
          <t>Score</t>
        </is>
      </c>
      <c r="E7" s="151" t="inlineStr">
        <is>
          <t xml:space="preserve">  Score (indicateur)  </t>
        </is>
      </c>
      <c r="F7" s="151" t="inlineStr">
        <is>
          <t>Top Société</t>
        </is>
      </c>
      <c r="G7" s="152" t="inlineStr">
        <is>
          <t>Mg. EBITDA</t>
        </is>
      </c>
      <c r="H7" s="152" t="inlineStr">
        <is>
          <t>Croiss. Rev.</t>
        </is>
      </c>
      <c r="I7" s="152" t="inlineStr">
        <is>
          <t>Altman Z</t>
        </is>
      </c>
      <c r="J7" s="152" t="inlineStr">
        <is>
          <t>Signal</t>
        </is>
      </c>
      <c r="L7" s="235" t="inlineStr">
        <is>
          <t>Consumer Disc.</t>
        </is>
      </c>
      <c r="M7" s="235" t="n">
        <v>54</v>
      </c>
    </row>
    <row r="8" ht="20.1" customHeight="1">
      <c r="A8" s="154" t="n"/>
      <c r="B8" s="153" t="inlineStr">
        <is>
          <t>Consumer Disc.</t>
        </is>
      </c>
      <c r="C8" s="154" t="n">
        <v>5</v>
      </c>
      <c r="D8" s="155" t="n">
        <v>54</v>
      </c>
      <c r="E8" s="156" t="inlineStr">
        <is>
          <t>█████░░░░░</t>
        </is>
      </c>
      <c r="F8" s="157" t="inlineStr">
        <is>
          <t>Hermès International</t>
        </is>
      </c>
      <c r="G8" s="158" t="n">
        <v>0.25</v>
      </c>
      <c r="H8" s="159" t="n">
        <v>-0.021</v>
      </c>
      <c r="I8" s="154" t="n">
        <v>1.68</v>
      </c>
      <c r="J8" s="155" t="inlineStr">
        <is>
          <t>Sous-pondérer</t>
        </is>
      </c>
      <c r="L8" s="235" t="inlineStr">
        <is>
          <t>Materials</t>
        </is>
      </c>
      <c r="M8" s="235" t="n">
        <v>53</v>
      </c>
    </row>
    <row r="9" ht="20.1" customHeight="1">
      <c r="A9" s="162" t="n"/>
      <c r="B9" s="161" t="inlineStr">
        <is>
          <t>Materials</t>
        </is>
      </c>
      <c r="C9" s="162" t="n">
        <v>2</v>
      </c>
      <c r="D9" s="163" t="n">
        <v>53</v>
      </c>
      <c r="E9" s="164" t="inlineStr">
        <is>
          <t>█████░░░░░</t>
        </is>
      </c>
      <c r="F9" s="165" t="inlineStr">
        <is>
          <t>L'Air Liquide</t>
        </is>
      </c>
      <c r="G9" s="166" t="n">
        <v>0.198</v>
      </c>
      <c r="H9" s="167" t="n">
        <v>-0.011</v>
      </c>
      <c r="I9" s="162" t="n">
        <v>3.58</v>
      </c>
      <c r="J9" s="163" t="inlineStr">
        <is>
          <t>Sous-pondérer</t>
        </is>
      </c>
      <c r="L9" s="235" t="inlineStr">
        <is>
          <t>Comm. Services</t>
        </is>
      </c>
      <c r="M9" s="235" t="n">
        <v>38</v>
      </c>
    </row>
    <row r="10" ht="20.1" customHeight="1">
      <c r="A10" s="154" t="n"/>
      <c r="B10" s="153" t="inlineStr">
        <is>
          <t>Technology</t>
        </is>
      </c>
      <c r="C10" s="154" t="n">
        <v>4</v>
      </c>
      <c r="D10" s="155" t="n">
        <v>35</v>
      </c>
      <c r="E10" s="156" t="inlineStr">
        <is>
          <t>████░░░░░░</t>
        </is>
      </c>
      <c r="F10" s="157" t="inlineStr">
        <is>
          <t>Dassault Systèmes</t>
        </is>
      </c>
      <c r="G10" s="158" t="n">
        <v>0.166</v>
      </c>
      <c r="H10" s="159" t="n">
        <v>-0.014</v>
      </c>
      <c r="I10" s="154" t="n">
        <v>2.44</v>
      </c>
      <c r="J10" s="155" t="inlineStr">
        <is>
          <t>Sous-pondérer</t>
        </is>
      </c>
      <c r="L10" s="235" t="inlineStr">
        <is>
          <t>Technology</t>
        </is>
      </c>
      <c r="M10" s="235" t="n">
        <v>36</v>
      </c>
    </row>
    <row r="11" ht="20.1" customHeight="1">
      <c r="A11" s="162" t="n"/>
      <c r="B11" s="161" t="inlineStr">
        <is>
          <t>Healthcare</t>
        </is>
      </c>
      <c r="C11" s="162" t="n">
        <v>3</v>
      </c>
      <c r="D11" s="170" t="n">
        <v>72</v>
      </c>
      <c r="E11" s="171" t="inlineStr">
        <is>
          <t>███████░░░</t>
        </is>
      </c>
      <c r="F11" s="165" t="inlineStr">
        <is>
          <t>Eurofins Scientific</t>
        </is>
      </c>
      <c r="G11" s="166" t="n">
        <v>0.232</v>
      </c>
      <c r="H11" s="172" t="n">
        <v>0.055</v>
      </c>
      <c r="I11" s="162" t="n">
        <v>2.27</v>
      </c>
      <c r="J11" s="173" t="inlineStr">
        <is>
          <t>Neutre</t>
        </is>
      </c>
      <c r="L11" s="235" t="inlineStr">
        <is>
          <t>Energy</t>
        </is>
      </c>
      <c r="M11" s="235" t="n">
        <v>18</v>
      </c>
    </row>
    <row r="12" ht="20.1" customHeight="1">
      <c r="A12" s="154" t="n"/>
      <c r="B12" s="153" t="inlineStr">
        <is>
          <t>Industrials</t>
        </is>
      </c>
      <c r="C12" s="154" t="n">
        <v>11</v>
      </c>
      <c r="D12" s="174" t="n">
        <v>57</v>
      </c>
      <c r="E12" s="175" t="inlineStr">
        <is>
          <t>██████░░░░</t>
        </is>
      </c>
      <c r="F12" s="157" t="inlineStr">
        <is>
          <t>Alstom SA</t>
        </is>
      </c>
      <c r="G12" s="158" t="n">
        <v>0.162</v>
      </c>
      <c r="H12" s="176" t="n">
        <v>0.049</v>
      </c>
      <c r="I12" s="154" t="n">
        <v>1.03</v>
      </c>
      <c r="J12" s="177" t="inlineStr">
        <is>
          <t>Neutre</t>
        </is>
      </c>
      <c r="L12" s="235" t="inlineStr">
        <is>
          <t>Utilities</t>
        </is>
      </c>
      <c r="M12" s="235" t="n">
        <v>46</v>
      </c>
    </row>
    <row r="13" ht="20.1" customHeight="1">
      <c r="A13" s="162" t="n"/>
      <c r="B13" s="161" t="inlineStr">
        <is>
          <t>Real Estate</t>
        </is>
      </c>
      <c r="C13" s="162" t="n">
        <v>1</v>
      </c>
      <c r="D13" s="178" t="n">
        <v>69</v>
      </c>
      <c r="E13" s="179" t="inlineStr">
        <is>
          <t>███████░░░</t>
        </is>
      </c>
      <c r="F13" s="165" t="inlineStr">
        <is>
          <t>Unibail-Rodamco-WE</t>
        </is>
      </c>
      <c r="G13" s="166" t="n">
        <v>0.891</v>
      </c>
      <c r="H13" s="167" t="n">
        <v>-0.061</v>
      </c>
      <c r="I13" s="162" t="n">
        <v>1.22</v>
      </c>
      <c r="J13" s="173" t="inlineStr">
        <is>
          <t>Neutre</t>
        </is>
      </c>
      <c r="L13" s="235" t="inlineStr">
        <is>
          <t>Secteur</t>
        </is>
      </c>
      <c r="M13" s="235" t="inlineStr">
        <is>
          <t>Mg EBITDA Méd.</t>
        </is>
      </c>
    </row>
    <row r="14" ht="20.1" customHeight="1">
      <c r="A14" s="154" t="n"/>
      <c r="B14" s="153" t="inlineStr">
        <is>
          <t>Financials</t>
        </is>
      </c>
      <c r="C14" s="154" t="n">
        <v>4</v>
      </c>
      <c r="D14" s="174" t="n">
        <v>63</v>
      </c>
      <c r="E14" s="175" t="inlineStr">
        <is>
          <t>██████░░░░</t>
        </is>
      </c>
      <c r="F14" s="157" t="inlineStr">
        <is>
          <t>Crédit Agricole</t>
        </is>
      </c>
      <c r="G14" s="158" t="n">
        <v>1.087</v>
      </c>
      <c r="H14" s="176" t="n">
        <v>0.041</v>
      </c>
      <c r="I14" s="154" t="inlineStr">
        <is>
          <t>—</t>
        </is>
      </c>
      <c r="J14" s="177" t="inlineStr">
        <is>
          <t>Neutre</t>
        </is>
      </c>
      <c r="L14" s="235" t="inlineStr">
        <is>
          <t>Financials</t>
        </is>
      </c>
      <c r="M14" s="235" t="n">
        <v>103.4</v>
      </c>
    </row>
    <row r="15" ht="20.1" customHeight="1">
      <c r="A15" s="162" t="n"/>
      <c r="B15" s="161" t="inlineStr">
        <is>
          <t>Consumer Stapl.</t>
        </is>
      </c>
      <c r="C15" s="162" t="n">
        <v>4</v>
      </c>
      <c r="D15" s="178" t="n">
        <v>55</v>
      </c>
      <c r="E15" s="179" t="inlineStr">
        <is>
          <t>██████░░░░</t>
        </is>
      </c>
      <c r="F15" s="165" t="inlineStr">
        <is>
          <t>L'Oréal</t>
        </is>
      </c>
      <c r="G15" s="166" t="n">
        <v>0.202</v>
      </c>
      <c r="H15" s="172" t="n">
        <v>0.002</v>
      </c>
      <c r="I15" s="162" t="n">
        <v>3.35</v>
      </c>
      <c r="J15" s="173" t="inlineStr">
        <is>
          <t>Neutre</t>
        </is>
      </c>
      <c r="L15" s="235" t="inlineStr">
        <is>
          <t>Real Estate</t>
        </is>
      </c>
      <c r="M15" s="235" t="n">
        <v>89.09999999999999</v>
      </c>
    </row>
    <row r="16" ht="6" customHeight="1" thickBo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L16" s="235" t="inlineStr">
        <is>
          <t>Consumer Disc.</t>
        </is>
      </c>
      <c r="M16" s="235" t="n">
        <v>28.3</v>
      </c>
    </row>
    <row r="17" ht="20.1" customHeight="1">
      <c r="A17" s="226" t="n"/>
      <c r="B17" s="227" t="inlineStr">
        <is>
          <t>CAC 40 — Total</t>
        </is>
      </c>
      <c r="C17" s="226" t="n">
        <v>40</v>
      </c>
      <c r="D17" s="228" t="n">
        <v>57</v>
      </c>
      <c r="E17" s="226" t="n"/>
      <c r="F17" s="229" t="inlineStr">
        <is>
          <t>Médiane</t>
        </is>
      </c>
      <c r="G17" s="230" t="n">
        <v>0.25</v>
      </c>
      <c r="H17" s="231" t="n">
        <v>0.017</v>
      </c>
      <c r="I17" s="226" t="n"/>
      <c r="J17" s="226" t="n"/>
      <c r="L17" s="235" t="inlineStr">
        <is>
          <t>Healthcare</t>
        </is>
      </c>
      <c r="M17" s="235" t="n">
        <v>23.2</v>
      </c>
    </row>
    <row r="18" ht="15.95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L18" s="235" t="inlineStr">
        <is>
          <t>Materials</t>
        </is>
      </c>
      <c r="M18" s="235" t="n">
        <v>22.7</v>
      </c>
    </row>
    <row r="19" ht="12.75" customHeight="1">
      <c r="A19" s="148" t="n"/>
      <c r="B19" s="148" t="inlineStr">
        <is>
          <t>COMPOSITION DÉTAIL  ·  Nb sociétés, score moyen, orientation — données pour allocation</t>
        </is>
      </c>
      <c r="C19" s="148" t="n"/>
      <c r="D19" s="148" t="n"/>
      <c r="E19" s="148" t="n"/>
      <c r="F19" s="148" t="n"/>
      <c r="G19" s="295" t="n"/>
      <c r="H19" s="295" t="n"/>
      <c r="I19" s="295" t="n"/>
      <c r="J19" s="295" t="n"/>
      <c r="L19" s="235" t="inlineStr">
        <is>
          <t>Consumer Staples</t>
        </is>
      </c>
      <c r="M19" s="235" t="n">
        <v>16.1</v>
      </c>
    </row>
    <row r="20" ht="9" customHeight="1">
      <c r="A20" s="60" t="n"/>
      <c r="B20" s="60" t="n"/>
      <c r="C20" s="60" t="n"/>
      <c r="D20" s="60" t="n"/>
      <c r="E20" s="60" t="n"/>
      <c r="F20" s="60" t="n"/>
      <c r="G20" s="235" t="n"/>
      <c r="H20" s="235" t="inlineStr">
        <is>
          <t>Technology</t>
        </is>
      </c>
      <c r="I20" s="235" t="n">
        <v>19.6</v>
      </c>
    </row>
    <row r="21" ht="9" customHeight="1">
      <c r="A21" s="152" t="n"/>
      <c r="B21" s="151" t="inlineStr">
        <is>
          <t>Secteur</t>
        </is>
      </c>
      <c r="C21" s="152" t="inlineStr">
        <is>
          <t>Nb Soc.</t>
        </is>
      </c>
      <c r="D21" s="152" t="inlineStr">
        <is>
          <t>Score Moyen</t>
        </is>
      </c>
      <c r="E21" s="151" t="inlineStr">
        <is>
          <t>Score (barre)</t>
        </is>
      </c>
      <c r="F21" s="152" t="inlineStr">
        <is>
          <t>Orientation</t>
        </is>
      </c>
      <c r="G21" s="235" t="n"/>
      <c r="H21" s="235" t="inlineStr">
        <is>
          <t>Industrials</t>
        </is>
      </c>
      <c r="I21" s="235" t="n">
        <v>15.7</v>
      </c>
    </row>
    <row r="22" ht="17.1" customHeight="1">
      <c r="A22" s="154" t="n"/>
      <c r="B22" s="153" t="inlineStr">
        <is>
          <t>Consumer Disc.</t>
        </is>
      </c>
      <c r="C22" s="154" t="n">
        <v>5</v>
      </c>
      <c r="D22" s="155" t="inlineStr">
        <is>
          <t>54/100</t>
        </is>
      </c>
      <c r="E22" s="156" t="inlineStr">
        <is>
          <t>█████░░░░░</t>
        </is>
      </c>
      <c r="F22" s="160" t="inlineStr">
        <is>
          <t>→ Neutre</t>
        </is>
      </c>
      <c r="G22" s="235" t="n"/>
      <c r="H22" s="235" t="inlineStr">
        <is>
          <t>Utilities</t>
        </is>
      </c>
      <c r="I22" s="235" t="n">
        <v>20</v>
      </c>
    </row>
    <row r="23" ht="17.1" customHeight="1">
      <c r="A23" s="162" t="n"/>
      <c r="B23" s="161" t="inlineStr">
        <is>
          <t>Materials</t>
        </is>
      </c>
      <c r="C23" s="162" t="n">
        <v>2</v>
      </c>
      <c r="D23" s="163" t="inlineStr">
        <is>
          <t>53/100</t>
        </is>
      </c>
      <c r="E23" s="164" t="inlineStr">
        <is>
          <t>█████░░░░░</t>
        </is>
      </c>
      <c r="F23" s="168" t="inlineStr">
        <is>
          <t>→ Neutre</t>
        </is>
      </c>
      <c r="G23" s="235" t="n"/>
      <c r="H23" s="235" t="inlineStr">
        <is>
          <t>Comm. Services</t>
        </is>
      </c>
      <c r="I23" s="235" t="n">
        <v>27.2</v>
      </c>
    </row>
    <row r="24" ht="17.1" customHeight="1">
      <c r="A24" s="154" t="n"/>
      <c r="B24" s="153" t="inlineStr">
        <is>
          <t>Technology</t>
        </is>
      </c>
      <c r="C24" s="154" t="n">
        <v>4</v>
      </c>
      <c r="D24" s="155" t="inlineStr">
        <is>
          <t>35/100</t>
        </is>
      </c>
      <c r="E24" s="156" t="inlineStr">
        <is>
          <t>████░░░░░░</t>
        </is>
      </c>
      <c r="F24" s="169" t="inlineStr">
        <is>
          <t>↓ Négatif</t>
        </is>
      </c>
      <c r="G24" s="235" t="n"/>
      <c r="H24" s="235" t="n"/>
      <c r="I24" s="235" t="n"/>
    </row>
    <row r="25" ht="17.1" customHeight="1">
      <c r="A25" s="162" t="n"/>
      <c r="B25" s="161" t="inlineStr">
        <is>
          <t>Healthcare</t>
        </is>
      </c>
      <c r="C25" s="162" t="n">
        <v>3</v>
      </c>
      <c r="D25" s="170" t="inlineStr">
        <is>
          <t>72/100</t>
        </is>
      </c>
      <c r="E25" s="171" t="inlineStr">
        <is>
          <t>███████░░░</t>
        </is>
      </c>
      <c r="F25" s="170" t="inlineStr">
        <is>
          <t>↑ Positif</t>
        </is>
      </c>
      <c r="G25" s="235" t="n"/>
      <c r="H25" s="235" t="inlineStr">
        <is>
          <t>Secteur</t>
        </is>
      </c>
      <c r="I25" s="235" t="inlineStr">
        <is>
          <t>Nb Soc.</t>
        </is>
      </c>
    </row>
    <row r="26" ht="17.1" customHeight="1">
      <c r="A26" s="154" t="n"/>
      <c r="B26" s="153" t="inlineStr">
        <is>
          <t>Industrials</t>
        </is>
      </c>
      <c r="C26" s="154" t="n">
        <v>11</v>
      </c>
      <c r="D26" s="174" t="inlineStr">
        <is>
          <t>57/100</t>
        </is>
      </c>
      <c r="E26" s="175" t="inlineStr">
        <is>
          <t>██████░░░░</t>
        </is>
      </c>
      <c r="F26" s="160" t="inlineStr">
        <is>
          <t>→ Neutre</t>
        </is>
      </c>
      <c r="G26" s="235" t="n"/>
      <c r="H26" s="235" t="inlineStr">
        <is>
          <t>Industrials</t>
        </is>
      </c>
      <c r="I26" s="235" t="n">
        <v>11</v>
      </c>
    </row>
    <row r="27" ht="17.1" customHeight="1">
      <c r="A27" s="162" t="n"/>
      <c r="B27" s="161" t="inlineStr">
        <is>
          <t>Real Estate</t>
        </is>
      </c>
      <c r="C27" s="162" t="n">
        <v>1</v>
      </c>
      <c r="D27" s="178" t="inlineStr">
        <is>
          <t>69/100</t>
        </is>
      </c>
      <c r="E27" s="179" t="inlineStr">
        <is>
          <t>███████░░░</t>
        </is>
      </c>
      <c r="F27" s="170" t="inlineStr">
        <is>
          <t>↑ Positif</t>
        </is>
      </c>
      <c r="G27" s="235" t="n"/>
      <c r="H27" s="235" t="inlineStr">
        <is>
          <t>Consumer Disc.</t>
        </is>
      </c>
      <c r="I27" s="235" t="n">
        <v>5</v>
      </c>
    </row>
    <row r="28" ht="17.1" customHeight="1">
      <c r="A28" s="154" t="n"/>
      <c r="B28" s="153" t="inlineStr">
        <is>
          <t>Financials</t>
        </is>
      </c>
      <c r="C28" s="154" t="n">
        <v>4</v>
      </c>
      <c r="D28" s="174" t="inlineStr">
        <is>
          <t>63/100</t>
        </is>
      </c>
      <c r="E28" s="175" t="inlineStr">
        <is>
          <t>██████░░░░</t>
        </is>
      </c>
      <c r="F28" s="180" t="inlineStr">
        <is>
          <t>↑ Positif</t>
        </is>
      </c>
      <c r="G28" s="235" t="n"/>
      <c r="H28" s="235" t="inlineStr">
        <is>
          <t>Consumer Staples</t>
        </is>
      </c>
      <c r="I28" s="235" t="n">
        <v>4</v>
      </c>
    </row>
    <row r="29" ht="17.1" customHeight="1">
      <c r="A29" s="162" t="n"/>
      <c r="B29" s="161" t="inlineStr">
        <is>
          <t>Consumer Stapl.</t>
        </is>
      </c>
      <c r="C29" s="162" t="n">
        <v>4</v>
      </c>
      <c r="D29" s="178" t="inlineStr">
        <is>
          <t>55/100</t>
        </is>
      </c>
      <c r="E29" s="179" t="inlineStr">
        <is>
          <t>██████░░░░</t>
        </is>
      </c>
      <c r="F29" s="168" t="inlineStr">
        <is>
          <t>→ Neutre</t>
        </is>
      </c>
      <c r="G29" s="235" t="n"/>
      <c r="H29" s="235" t="inlineStr">
        <is>
          <t>Technology</t>
        </is>
      </c>
      <c r="I29" s="235" t="n">
        <v>4</v>
      </c>
    </row>
    <row r="30" ht="18" customHeight="1">
      <c r="A30" s="232" t="n"/>
      <c r="B30" s="232" t="n"/>
      <c r="C30" s="232" t="n"/>
      <c r="D30" s="232" t="n"/>
      <c r="E30" s="232" t="n"/>
      <c r="F30" s="232" t="n"/>
      <c r="G30" s="235" t="n"/>
      <c r="H30" s="235" t="inlineStr">
        <is>
          <t>Financials</t>
        </is>
      </c>
      <c r="I30" s="235" t="n">
        <v>4</v>
      </c>
    </row>
    <row r="31" ht="9.949999999999999" customHeight="1">
      <c r="L31" s="235" t="inlineStr">
        <is>
          <t>Healthcare</t>
        </is>
      </c>
      <c r="M31" s="235" t="n">
        <v>3</v>
      </c>
    </row>
    <row r="32" ht="14.1" customHeight="1">
      <c r="A32" s="181" t="n"/>
      <c r="B32" s="181" t="inlineStr">
        <is>
          <t>FinSight IA  ·  Analyse sectorielle CAC 40  ·  Scores calculés sur métriques quantitatives  ·  Ne constitue pas un conseil en investissement</t>
        </is>
      </c>
      <c r="C32" s="181" t="n"/>
      <c r="D32" s="181" t="n"/>
      <c r="E32" s="181" t="n"/>
      <c r="F32" s="181" t="n"/>
      <c r="G32" s="181" t="n"/>
      <c r="H32" s="181" t="n"/>
      <c r="I32" s="181" t="n"/>
      <c r="J32" s="181" t="n"/>
      <c r="L32" s="235" t="inlineStr">
        <is>
          <t>Comm. Services</t>
        </is>
      </c>
      <c r="M32" s="235" t="n">
        <v>3</v>
      </c>
    </row>
    <row r="33">
      <c r="L33" s="235" t="inlineStr">
        <is>
          <t>Materials</t>
        </is>
      </c>
      <c r="M33" s="235" t="n">
        <v>2</v>
      </c>
    </row>
    <row r="34">
      <c r="L34" s="235" t="inlineStr">
        <is>
          <t>Real Estate</t>
        </is>
      </c>
      <c r="M34" s="235" t="n">
        <v>1</v>
      </c>
    </row>
    <row r="35">
      <c r="L35" s="235" t="inlineStr">
        <is>
          <t>Energy</t>
        </is>
      </c>
      <c r="M35" s="235" t="n">
        <v>1</v>
      </c>
    </row>
    <row r="36">
      <c r="L36" s="235" t="inlineStr">
        <is>
          <t>Utilities</t>
        </is>
      </c>
      <c r="M36" s="23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1"/>
  <sheetViews>
    <sheetView topLeftCell="C1" zoomScale="94" workbookViewId="0">
      <selection activeCell="N24" sqref="N24"/>
    </sheetView>
  </sheetViews>
  <sheetFormatPr baseColWidth="10" defaultRowHeight="15"/>
  <cols>
    <col width="1.5703125" customWidth="1" min="1" max="1"/>
    <col width="17.140625" customWidth="1" min="2" max="2"/>
    <col width="7.5703125" customWidth="1" min="3" max="3"/>
    <col width="9.140625" customWidth="1" min="4" max="4"/>
    <col width="22.85546875" customWidth="1" min="5" max="5"/>
    <col width="24.7109375" customWidth="1" min="6" max="6"/>
    <col width="12.42578125" customWidth="1" min="7" max="9"/>
    <col width="13.28515625" customWidth="1" min="10" max="10"/>
    <col width="12.42578125" customWidth="1" min="11" max="11"/>
    <col width="1.5703125" customWidth="1" min="12" max="12"/>
    <col hidden="1" width="13" customWidth="1" min="13" max="13"/>
    <col width="11.42578125" customWidth="1" style="235" min="15" max="18"/>
  </cols>
  <sheetData>
    <row r="1" ht="38.1" customHeight="1">
      <c r="A1" s="182" t="n"/>
      <c r="B1" s="182" t="inlineStr">
        <is>
          <t>FinSight IA  ·  CAC 40 — Analyse Sectorielle</t>
        </is>
      </c>
      <c r="C1" s="182" t="n"/>
      <c r="D1" s="182" t="n"/>
      <c r="E1" s="182" t="n"/>
      <c r="F1" s="182" t="n"/>
      <c r="G1" s="182" t="n"/>
      <c r="H1" s="182" t="n"/>
      <c r="I1" s="182" t="n"/>
      <c r="J1" s="183" t="inlineStr">
        <is>
          <t>22/03/2026</t>
        </is>
      </c>
      <c r="K1" s="183" t="n"/>
      <c r="L1" s="183" t="n"/>
      <c r="M1" t="inlineStr">
        <is>
          <t>Comm. Services</t>
        </is>
      </c>
      <c r="O1" s="235" t="inlineStr">
        <is>
          <t>Secteur</t>
        </is>
      </c>
      <c r="P1" s="235" t="inlineStr">
        <is>
          <t>Score</t>
        </is>
      </c>
      <c r="Q1" s="235" t="inlineStr">
        <is>
          <t>Mg EBITDA</t>
        </is>
      </c>
    </row>
    <row r="2">
      <c r="A2" s="22" t="inlineStr">
        <is>
          <t>Usage confidentiel  ·  Calculs Python/NumPy depuis cache Supabase</t>
        </is>
      </c>
      <c r="B2" s="146" t="n"/>
      <c r="C2" s="146" t="n"/>
      <c r="D2" s="146" t="n"/>
      <c r="E2" s="146" t="n"/>
      <c r="F2" s="146" t="n"/>
      <c r="G2" s="146" t="n"/>
      <c r="H2" s="146" t="n"/>
      <c r="I2" s="146" t="n"/>
      <c r="J2" s="146" t="n"/>
      <c r="K2" s="146" t="n"/>
      <c r="L2" s="146" t="n"/>
      <c r="M2" t="inlineStr">
        <is>
          <t>Consumer Disc.</t>
        </is>
      </c>
      <c r="O2" s="235" t="inlineStr">
        <is>
          <t>Healthcare</t>
        </is>
      </c>
      <c r="P2" s="235" t="n">
        <v>69</v>
      </c>
      <c r="Q2" s="235" t="n">
        <v>23.2</v>
      </c>
    </row>
    <row r="3" ht="20.1" customHeight="1">
      <c r="A3" s="147" t="n"/>
      <c r="B3" s="294" t="inlineStr">
        <is>
          <t>Screening quantitatif  ·  Scores composites Value / Growth / Quality / Momentum  ·  Usage confidentiel  ·  Calculs Python/NumPy</t>
        </is>
      </c>
      <c r="C3" s="147" t="n"/>
      <c r="D3" s="147" t="n"/>
      <c r="E3" s="147" t="n"/>
      <c r="F3" s="147" t="n"/>
      <c r="G3" s="147" t="n"/>
      <c r="H3" s="147" t="n"/>
      <c r="I3" s="147" t="n"/>
      <c r="J3" s="147" t="n"/>
      <c r="K3" s="147" t="n"/>
      <c r="L3" s="147" t="n"/>
      <c r="M3" t="inlineStr">
        <is>
          <t>Consumer Staples</t>
        </is>
      </c>
      <c r="O3" s="235" t="inlineStr">
        <is>
          <t>Real Estate</t>
        </is>
      </c>
      <c r="P3" s="235" t="n">
        <v>69</v>
      </c>
      <c r="Q3" s="235" t="n">
        <v>89.09999999999999</v>
      </c>
    </row>
    <row r="4" ht="8.1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t="inlineStr">
        <is>
          <t>Energy</t>
        </is>
      </c>
      <c r="O4" s="235" t="inlineStr">
        <is>
          <t>Consumer Staples</t>
        </is>
      </c>
      <c r="P4" s="235" t="n">
        <v>56</v>
      </c>
      <c r="Q4" s="235" t="n">
        <v>16.1</v>
      </c>
    </row>
    <row r="5" ht="27.95" customHeight="1">
      <c r="A5" s="148" t="n"/>
      <c r="B5" s="148" t="inlineStr">
        <is>
          <t>SCORECARD SECTORIELLE  ·  Score FinSight composite, métriques médianes, signal d'investissement</t>
        </is>
      </c>
      <c r="C5" s="148" t="n"/>
      <c r="D5" s="148" t="n"/>
      <c r="E5" s="148" t="n"/>
      <c r="F5" s="148" t="n"/>
      <c r="G5" s="148" t="n"/>
      <c r="H5" s="148" t="n"/>
      <c r="I5" s="148" t="n"/>
      <c r="J5" s="148" t="n"/>
      <c r="K5" s="148" t="n"/>
      <c r="L5" s="148" t="n"/>
      <c r="M5" t="inlineStr">
        <is>
          <t>Financials</t>
        </is>
      </c>
      <c r="O5" s="235" t="inlineStr">
        <is>
          <t>Financials</t>
        </is>
      </c>
      <c r="P5" s="235" t="n">
        <v>55</v>
      </c>
      <c r="Q5" s="235" t="n">
        <v>103.4</v>
      </c>
    </row>
    <row r="6" ht="5.1" customHeight="1">
      <c r="A6" s="60" t="n"/>
      <c r="B6" s="60" t="n"/>
      <c r="C6" s="60" t="n"/>
      <c r="D6" s="60" t="n"/>
      <c r="E6" s="60" t="n"/>
      <c r="F6" s="60" t="n"/>
      <c r="G6" s="60" t="n"/>
      <c r="H6" s="60" t="n"/>
      <c r="I6" s="60" t="n"/>
      <c r="J6" s="60" t="n"/>
      <c r="K6" s="60" t="n"/>
      <c r="L6" s="60" t="n"/>
      <c r="M6" t="inlineStr">
        <is>
          <t>Healthcare</t>
        </is>
      </c>
      <c r="O6" s="235" t="inlineStr">
        <is>
          <t>Industrials</t>
        </is>
      </c>
      <c r="P6" s="235" t="n">
        <v>54</v>
      </c>
      <c r="Q6" s="235" t="n">
        <v>15.7</v>
      </c>
    </row>
    <row r="7" ht="20.1" customHeight="1">
      <c r="A7" s="301" t="n"/>
      <c r="B7" s="303" t="inlineStr">
        <is>
          <t>Secteur</t>
        </is>
      </c>
      <c r="C7" s="152" t="inlineStr">
        <is>
          <t># Soc.</t>
        </is>
      </c>
      <c r="D7" s="152" t="inlineStr">
        <is>
          <t>Score /100</t>
        </is>
      </c>
      <c r="E7" s="152" t="inlineStr">
        <is>
          <t>Score (barre)</t>
        </is>
      </c>
      <c r="F7" s="151" t="inlineStr">
        <is>
          <t>Top Société</t>
        </is>
      </c>
      <c r="G7" s="152" t="inlineStr">
        <is>
          <t>Mg. EBITDA Méd.</t>
        </is>
      </c>
      <c r="H7" s="152" t="inlineStr">
        <is>
          <t>Score Gr. Méd.</t>
        </is>
      </c>
      <c r="I7" s="152" t="inlineStr">
        <is>
          <t>Altman Z Méd.</t>
        </is>
      </c>
      <c r="J7" s="152" t="inlineStr">
        <is>
          <t>Signal</t>
        </is>
      </c>
      <c r="K7" s="300" t="inlineStr">
        <is>
          <t>Tendance</t>
        </is>
      </c>
      <c r="L7" s="301" t="n"/>
      <c r="M7" s="301" t="inlineStr">
        <is>
          <t>Industrials</t>
        </is>
      </c>
      <c r="O7" s="235" t="inlineStr">
        <is>
          <t>Materials</t>
        </is>
      </c>
      <c r="P7" s="235" t="n">
        <v>54</v>
      </c>
      <c r="Q7" s="235" t="n">
        <v>22.7</v>
      </c>
    </row>
    <row r="8" ht="18" customHeight="1">
      <c r="A8" s="103" t="n"/>
      <c r="B8" s="240">
        <f>IFERROR(INDEX('SECTOR OVERVIEW'!M$1:M$21,1),"")</f>
        <v/>
      </c>
      <c r="C8" s="241">
        <f>IFERROR(IF(ISNUMBER(MATCH(INDEX('SECTOR OVERVIEW'!M$1:M$21,1),'DONNÉES BRUTES'!C$3:C$42,0)),COUNTIF('DONNÉES BRUTES'!C$3:C$42,INDEX('SECTOR OVERVIEW'!M$1:M$21,1)),""),"")</f>
        <v/>
      </c>
      <c r="D8" s="242">
        <f>IFERROR(IF(ISNUMBER(MATCH(INDEX('SECTOR OVERVIEW'!M$1:M$21,1),'DONNÉES BRUTES'!C$3:C$42,0)),ROUND(AVERAGEIF('DONNÉES BRUTES'!C$3:C$42,INDEX('SECTOR OVERVIEW'!M$1:M$21,1),'DONNÉES BRUTES'!AB$3:AB$42),0),""),"")</f>
        <v/>
      </c>
      <c r="E8" s="243">
        <f>IFERROR(IF(ISNUMBER(MATCH(INDEX('SECTOR OVERVIEW'!M$1:M$21,1),'DONNÉES BRUTES'!C$3:C$42,0)),REPT("█",ROUND(AVERAGEIF('DONNÉES BRUTES'!C$3:C$42,INDEX('SECTOR OVERVIEW'!M$1:M$21,1),'DONNÉES BRUTES'!AB$3:AB$42)/10,0))&amp;REPT("░",10-ROUND(AVERAGEIF('DONNÉES BRUTES'!C$3:C$42,INDEX('SECTOR OVERVIEW'!M$1:M$21,1),'DONNÉES BRUTES'!AB$3:AB$42)/10,0))&amp;"  "&amp;ROUND(AVERAGEIF('DONNÉES BRUTES'!C$3:C$42,INDEX('SECTOR OVERVIEW'!M$1:M$21,1),'DONNÉES BRUTES'!AB$3:AB$42),0),""),"")</f>
        <v/>
      </c>
      <c r="F8" s="244">
        <f>IFERROR(IF(ISNUMBER(MATCH(INDEX('SECTOR OVERVIEW'!M$1:M$21,1),'DONNÉES BRUTES'!C$3:C$42,0)),_xlfn.XLOOKUP(_xlfn.MAXIFS('DONNÉES BRUTES'!AB$3:AB$42,'DONNÉES BRUTES'!C$3:C$42,INDEX('SECTOR OVERVIEW'!M$1:M$21,1)),'DONNÉES BRUTES'!AB$3:AB$42,'DONNÉES BRUTES'!B$3:B$42),"—"),"—")</f>
        <v/>
      </c>
      <c r="G8" s="243" t="inlineStr">
        <is>
          <t>27.2%</t>
        </is>
      </c>
      <c r="H8" s="149" t="inlineStr">
        <is>
          <t>23</t>
        </is>
      </c>
      <c r="I8" s="243">
        <f t="array" ref="I8">IFERROR(IF(ISNUMBER(MATCH(INDEX('SECTOR OVERVIEW'!M$1:M$21,1),'DONNÉES BRUTES'!C$3:C$42,0)),ROUND(MEDIAN(IF('DONNÉES BRUTES'!C$3:C$42=INDEX('SECTOR OVERVIEW'!M$1:M$21,1),IF(ISNUMBER('DONNÉES BRUTES'!U$3:U$42),'DONNÉES BRUTES'!U$3:U$42))),2),"—"),"—")</f>
        <v/>
      </c>
      <c r="J8" s="243">
        <f>IFERROR(IF(ISNUMBER(MATCH(INDEX('SECTOR OVERVIEW'!M$1:M$21,1),'DONNÉES BRUTES'!C$3:C$42,0)),IF(COUNTIFS('DONNÉES BRUTES'!C$3:C$42,INDEX('SECTOR OVERVIEW'!M$1:M$21,1),'DONNÉES BRUTES'!AD$3:AD$42,"Surpondérer")&gt;0,"Surpondérer",IF(COUNTIFS('DONNÉES BRUTES'!C$3:C$42,INDEX('SECTOR OVERVIEW'!M$1:M$21,1),'DONNÉES BRUTES'!AD$3:AD$42,"Neutre")&gt;=COUNTIFS('DONNÉES BRUTES'!C$3:C$42,INDEX('SECTOR OVERVIEW'!M$1:M$21,1),'DONNÉES BRUTES'!AD$3:AD$42,"Sous-pondérer"),"Neutre","Sous-pondérer")),"—"),"—")</f>
        <v/>
      </c>
      <c r="K8" s="241">
        <f>IFERROR(IF(ISNUMBER(MATCH(INDEX('SECTOR OVERVIEW'!M$1:M$21,1),'DONNÉES BRUTES'!C$3:C$42,0)),IF(AVERAGEIF('DONNÉES BRUTES'!C$3:C$42,INDEX('SECTOR OVERVIEW'!M$1:M$21,1),'DONNÉES BRUTES'!AB$3:AB$42)&gt;=65,"↑ Positif",IF(AVERAGEIF('DONNÉES BRUTES'!C$3:C$42,INDEX('SECTOR OVERVIEW'!M$1:M$21,1),'DONNÉES BRUTES'!AB$3:AB$42)&gt;=50,"→ Neutre","↓ Négatif")),"—"),"—")</f>
        <v/>
      </c>
      <c r="L8" s="240" t="n"/>
      <c r="M8" t="inlineStr">
        <is>
          <t>Materials</t>
        </is>
      </c>
      <c r="O8" s="235" t="inlineStr">
        <is>
          <t>Utilities</t>
        </is>
      </c>
      <c r="P8" s="235" t="n">
        <v>46</v>
      </c>
      <c r="Q8" s="235" t="n">
        <v>20</v>
      </c>
    </row>
    <row r="9" ht="18" customHeight="1">
      <c r="A9" s="104" t="n"/>
      <c r="B9" s="237">
        <f>IFERROR(INDEX('SECTOR OVERVIEW'!M$1:M$21,2),"")</f>
        <v/>
      </c>
      <c r="C9" s="236">
        <f>IFERROR(IF(ISNUMBER(MATCH(INDEX('SECTOR OVERVIEW'!M$1:M$21,2),'DONNÉES BRUTES'!C$3:C$42,0)),COUNTIF('DONNÉES BRUTES'!C$3:C$42,INDEX('SECTOR OVERVIEW'!M$1:M$21,2)),""),"")</f>
        <v/>
      </c>
      <c r="D9" s="238">
        <f>IFERROR(IF(ISNUMBER(MATCH(INDEX('SECTOR OVERVIEW'!M$1:M$21,2),'DONNÉES BRUTES'!C$3:C$42,0)),ROUND(AVERAGEIF('DONNÉES BRUTES'!C$3:C$42,INDEX('SECTOR OVERVIEW'!M$1:M$21,2),'DONNÉES BRUTES'!AB$3:AB$42),0),""),"")</f>
        <v/>
      </c>
      <c r="E9" s="239">
        <f>IFERROR(IF(ISNUMBER(MATCH(INDEX('SECTOR OVERVIEW'!M$1:M$21,2),'DONNÉES BRUTES'!C$3:C$42,0)),REPT("█",ROUND(AVERAGEIF('DONNÉES BRUTES'!C$3:C$42,INDEX('SECTOR OVERVIEW'!M$1:M$21,2),'DONNÉES BRUTES'!AB$3:AB$42)/10,0))&amp;REPT("░",10-ROUND(AVERAGEIF('DONNÉES BRUTES'!C$3:C$42,INDEX('SECTOR OVERVIEW'!M$1:M$21,2),'DONNÉES BRUTES'!AB$3:AB$42)/10,0))&amp;"  "&amp;ROUND(AVERAGEIF('DONNÉES BRUTES'!C$3:C$42,INDEX('SECTOR OVERVIEW'!M$1:M$21,2),'DONNÉES BRUTES'!AB$3:AB$42),0),""),"")</f>
        <v/>
      </c>
      <c r="F9" s="245">
        <f>IFERROR(IF(ISNUMBER(MATCH(INDEX('SECTOR OVERVIEW'!M$1:M$21,2),'DONNÉES BRUTES'!C$3:C$42,0)),_xlfn.XLOOKUP(_xlfn.MAXIFS('DONNÉES BRUTES'!AB$3:AB$42,'DONNÉES BRUTES'!C$3:C$42,INDEX('SECTOR OVERVIEW'!M$1:M$21,2)),'DONNÉES BRUTES'!AB$3:AB$42,'DONNÉES BRUTES'!B$3:B$42),"—"),"—")</f>
        <v/>
      </c>
      <c r="G9" s="239" t="inlineStr">
        <is>
          <t>28.3%</t>
        </is>
      </c>
      <c r="H9" s="150" t="inlineStr">
        <is>
          <t>66</t>
        </is>
      </c>
      <c r="I9" s="239">
        <f t="array" ref="I9">IFERROR(IF(ISNUMBER(MATCH(INDEX('SECTOR OVERVIEW'!M$1:M$21,2),'DONNÉES BRUTES'!C$3:C$42,0)),ROUND(MEDIAN(IF('DONNÉES BRUTES'!C$3:C$42=INDEX('SECTOR OVERVIEW'!M$1:M$21,2),IF(ISNUMBER('DONNÉES BRUTES'!U$3:U$42),'DONNÉES BRUTES'!U$3:U$42))),2),"—"),"—")</f>
        <v/>
      </c>
      <c r="J9" s="239">
        <f>IFERROR(IF(ISNUMBER(MATCH(INDEX('SECTOR OVERVIEW'!M$1:M$21,2),'DONNÉES BRUTES'!C$3:C$42,0)),IF(COUNTIFS('DONNÉES BRUTES'!C$3:C$42,INDEX('SECTOR OVERVIEW'!M$1:M$21,2),'DONNÉES BRUTES'!AD$3:AD$42,"Surpondérer")&gt;0,"Surpondérer",IF(COUNTIFS('DONNÉES BRUTES'!C$3:C$42,INDEX('SECTOR OVERVIEW'!M$1:M$21,2),'DONNÉES BRUTES'!AD$3:AD$42,"Neutre")&gt;=COUNTIFS('DONNÉES BRUTES'!C$3:C$42,INDEX('SECTOR OVERVIEW'!M$1:M$21,2),'DONNÉES BRUTES'!AD$3:AD$42,"Sous-pondérer"),"Neutre","Sous-pondérer")),"—"),"—")</f>
        <v/>
      </c>
      <c r="K9" s="236">
        <f>IFERROR(IF(ISNUMBER(MATCH(INDEX('SECTOR OVERVIEW'!M$1:M$21,2),'DONNÉES BRUTES'!C$3:C$42,0)),IF(AVERAGEIF('DONNÉES BRUTES'!C$3:C$42,INDEX('SECTOR OVERVIEW'!M$1:M$21,2),'DONNÉES BRUTES'!AB$3:AB$42)&gt;=65,"↑ Positif",IF(AVERAGEIF('DONNÉES BRUTES'!C$3:C$42,INDEX('SECTOR OVERVIEW'!M$1:M$21,2),'DONNÉES BRUTES'!AB$3:AB$42)&gt;=50,"→ Neutre","↓ Négatif")),"—"),"—")</f>
        <v/>
      </c>
      <c r="L9" s="237" t="n"/>
      <c r="M9" t="inlineStr">
        <is>
          <t>Real Estate</t>
        </is>
      </c>
      <c r="O9" s="235" t="inlineStr">
        <is>
          <t>Technology</t>
        </is>
      </c>
      <c r="P9" s="235" t="n">
        <v>36</v>
      </c>
      <c r="Q9" s="235" t="n">
        <v>19.6</v>
      </c>
    </row>
    <row r="10" ht="18" customHeight="1">
      <c r="A10" s="103" t="n"/>
      <c r="B10" s="240">
        <f>IFERROR(INDEX('SECTOR OVERVIEW'!M$1:M$21,3),"")</f>
        <v/>
      </c>
      <c r="C10" s="241">
        <f>IFERROR(IF(ISNUMBER(MATCH(INDEX('SECTOR OVERVIEW'!M$1:M$21,3),'DONNÉES BRUTES'!C$3:C$42,0)),COUNTIF('DONNÉES BRUTES'!C$3:C$42,INDEX('SECTOR OVERVIEW'!M$1:M$21,3)),""),"")</f>
        <v/>
      </c>
      <c r="D10" s="242">
        <f>IFERROR(IF(ISNUMBER(MATCH(INDEX('SECTOR OVERVIEW'!M$1:M$21,3),'DONNÉES BRUTES'!C$3:C$42,0)),ROUND(AVERAGEIF('DONNÉES BRUTES'!C$3:C$42,INDEX('SECTOR OVERVIEW'!M$1:M$21,3),'DONNÉES BRUTES'!AB$3:AB$42),0),""),"")</f>
        <v/>
      </c>
      <c r="E10" s="243">
        <f>IFERROR(IF(ISNUMBER(MATCH(INDEX('SECTOR OVERVIEW'!M$1:M$21,3),'DONNÉES BRUTES'!C$3:C$42,0)),REPT("█",ROUND(AVERAGEIF('DONNÉES BRUTES'!C$3:C$42,INDEX('SECTOR OVERVIEW'!M$1:M$21,3),'DONNÉES BRUTES'!AB$3:AB$42)/10,0))&amp;REPT("░",10-ROUND(AVERAGEIF('DONNÉES BRUTES'!C$3:C$42,INDEX('SECTOR OVERVIEW'!M$1:M$21,3),'DONNÉES BRUTES'!AB$3:AB$42)/10,0))&amp;"  "&amp;ROUND(AVERAGEIF('DONNÉES BRUTES'!C$3:C$42,INDEX('SECTOR OVERVIEW'!M$1:M$21,3),'DONNÉES BRUTES'!AB$3:AB$42),0),""),"")</f>
        <v/>
      </c>
      <c r="F10" s="244">
        <f>IFERROR(IF(ISNUMBER(MATCH(INDEX('SECTOR OVERVIEW'!M$1:M$21,3),'DONNÉES BRUTES'!C$3:C$42,0)),_xlfn.XLOOKUP(_xlfn.MAXIFS('DONNÉES BRUTES'!AB$3:AB$42,'DONNÉES BRUTES'!C$3:C$42,INDEX('SECTOR OVERVIEW'!M$1:M$21,3)),'DONNÉES BRUTES'!AB$3:AB$42,'DONNÉES BRUTES'!B$3:B$42),"—"),"—")</f>
        <v/>
      </c>
      <c r="G10" s="243" t="inlineStr">
        <is>
          <t>16.1%</t>
        </is>
      </c>
      <c r="H10" s="149" t="inlineStr">
        <is>
          <t>59</t>
        </is>
      </c>
      <c r="I10" s="243">
        <f t="array" ref="I10">IFERROR(IF(ISNUMBER(MATCH(INDEX('SECTOR OVERVIEW'!M$1:M$21,3),'DONNÉES BRUTES'!C$3:C$42,0)),ROUND(MEDIAN(IF('DONNÉES BRUTES'!C$3:C$42=INDEX('SECTOR OVERVIEW'!M$1:M$21,3),IF(ISNUMBER('DONNÉES BRUTES'!U$3:U$42),'DONNÉES BRUTES'!U$3:U$42))),2),"—"),"—")</f>
        <v/>
      </c>
      <c r="J10" s="243">
        <f>IFERROR(IF(ISNUMBER(MATCH(INDEX('SECTOR OVERVIEW'!M$1:M$21,3),'DONNÉES BRUTES'!C$3:C$42,0)),IF(COUNTIFS('DONNÉES BRUTES'!C$3:C$42,INDEX('SECTOR OVERVIEW'!M$1:M$21,3),'DONNÉES BRUTES'!AD$3:AD$42,"Surpondérer")&gt;0,"Surpondérer",IF(COUNTIFS('DONNÉES BRUTES'!C$3:C$42,INDEX('SECTOR OVERVIEW'!M$1:M$21,3),'DONNÉES BRUTES'!AD$3:AD$42,"Neutre")&gt;=COUNTIFS('DONNÉES BRUTES'!C$3:C$42,INDEX('SECTOR OVERVIEW'!M$1:M$21,3),'DONNÉES BRUTES'!AD$3:AD$42,"Sous-pondérer"),"Neutre","Sous-pondérer")),"—"),"—")</f>
        <v/>
      </c>
      <c r="K10" s="241">
        <f>IFERROR(IF(ISNUMBER(MATCH(INDEX('SECTOR OVERVIEW'!M$1:M$21,3),'DONNÉES BRUTES'!C$3:C$42,0)),IF(AVERAGEIF('DONNÉES BRUTES'!C$3:C$42,INDEX('SECTOR OVERVIEW'!M$1:M$21,3),'DONNÉES BRUTES'!AB$3:AB$42)&gt;=65,"↑ Positif",IF(AVERAGEIF('DONNÉES BRUTES'!C$3:C$42,INDEX('SECTOR OVERVIEW'!M$1:M$21,3),'DONNÉES BRUTES'!AB$3:AB$42)&gt;=50,"→ Neutre","↓ Négatif")),"—"),"—")</f>
        <v/>
      </c>
      <c r="L10" s="240" t="n"/>
      <c r="M10" t="inlineStr">
        <is>
          <t>Technology</t>
        </is>
      </c>
      <c r="O10" s="235" t="inlineStr">
        <is>
          <t>Consumer Disc.</t>
        </is>
      </c>
      <c r="P10" s="235" t="n">
        <v>41</v>
      </c>
      <c r="Q10" s="235" t="n">
        <v>28.3</v>
      </c>
    </row>
    <row r="11" ht="18" customHeight="1">
      <c r="A11" s="104" t="n"/>
      <c r="B11" s="237">
        <f>IFERROR(INDEX('SECTOR OVERVIEW'!M$1:M$21,4),"")</f>
        <v/>
      </c>
      <c r="C11" s="236">
        <f>IFERROR(IF(ISNUMBER(MATCH(INDEX('SECTOR OVERVIEW'!M$1:M$21,4),'DONNÉES BRUTES'!C$3:C$42,0)),COUNTIF('DONNÉES BRUTES'!C$3:C$42,INDEX('SECTOR OVERVIEW'!M$1:M$21,4)),""),"")</f>
        <v/>
      </c>
      <c r="D11" s="238">
        <f>IFERROR(IF(ISNUMBER(MATCH(INDEX('SECTOR OVERVIEW'!M$1:M$21,4),'DONNÉES BRUTES'!C$3:C$42,0)),ROUND(AVERAGEIF('DONNÉES BRUTES'!C$3:C$42,INDEX('SECTOR OVERVIEW'!M$1:M$21,4),'DONNÉES BRUTES'!AB$3:AB$42),0),""),"")</f>
        <v/>
      </c>
      <c r="E11" s="239">
        <f>IFERROR(IF(ISNUMBER(MATCH(INDEX('SECTOR OVERVIEW'!M$1:M$21,4),'DONNÉES BRUTES'!C$3:C$42,0)),REPT("█",ROUND(AVERAGEIF('DONNÉES BRUTES'!C$3:C$42,INDEX('SECTOR OVERVIEW'!M$1:M$21,4),'DONNÉES BRUTES'!AB$3:AB$42)/10,0))&amp;REPT("░",10-ROUND(AVERAGEIF('DONNÉES BRUTES'!C$3:C$42,INDEX('SECTOR OVERVIEW'!M$1:M$21,4),'DONNÉES BRUTES'!AB$3:AB$42)/10,0))&amp;"  "&amp;ROUND(AVERAGEIF('DONNÉES BRUTES'!C$3:C$42,INDEX('SECTOR OVERVIEW'!M$1:M$21,4),'DONNÉES BRUTES'!AB$3:AB$42),0),""),"")</f>
        <v/>
      </c>
      <c r="F11" s="245">
        <f>IFERROR(IF(ISNUMBER(MATCH(INDEX('SECTOR OVERVIEW'!M$1:M$21,4),'DONNÉES BRUTES'!C$3:C$42,0)),_xlfn.XLOOKUP(_xlfn.MAXIFS('DONNÉES BRUTES'!AB$3:AB$42,'DONNÉES BRUTES'!C$3:C$42,INDEX('SECTOR OVERVIEW'!M$1:M$21,4)),'DONNÉES BRUTES'!AB$3:AB$42,'DONNÉES BRUTES'!B$3:B$42),"—"),"—")</f>
        <v/>
      </c>
      <c r="G11" s="239" t="inlineStr">
        <is>
          <t>—</t>
        </is>
      </c>
      <c r="H11" s="150" t="inlineStr">
        <is>
          <t>—</t>
        </is>
      </c>
      <c r="I11" s="239">
        <f t="array" ref="I11">IFERROR(IF(ISNUMBER(MATCH(INDEX('SECTOR OVERVIEW'!M$1:M$21,4),'DONNÉES BRUTES'!C$3:C$42,0)),ROUND(MEDIAN(IF('DONNÉES BRUTES'!C$3:C$42=INDEX('SECTOR OVERVIEW'!M$1:M$21,4),IF(ISNUMBER('DONNÉES BRUTES'!U$3:U$42),'DONNÉES BRUTES'!U$3:U$42))),2),"—"),"—")</f>
        <v/>
      </c>
      <c r="J11" s="239">
        <f>IFERROR(IF(ISNUMBER(MATCH(INDEX('SECTOR OVERVIEW'!M$1:M$21,4),'DONNÉES BRUTES'!C$3:C$42,0)),IF(COUNTIFS('DONNÉES BRUTES'!C$3:C$42,INDEX('SECTOR OVERVIEW'!M$1:M$21,4),'DONNÉES BRUTES'!AD$3:AD$42,"Surpondérer")&gt;0,"Surpondérer",IF(COUNTIFS('DONNÉES BRUTES'!C$3:C$42,INDEX('SECTOR OVERVIEW'!M$1:M$21,4),'DONNÉES BRUTES'!AD$3:AD$42,"Neutre")&gt;=COUNTIFS('DONNÉES BRUTES'!C$3:C$42,INDEX('SECTOR OVERVIEW'!M$1:M$21,4),'DONNÉES BRUTES'!AD$3:AD$42,"Sous-pondérer"),"Neutre","Sous-pondérer")),"—"),"—")</f>
        <v/>
      </c>
      <c r="K11" s="236">
        <f>IFERROR(IF(ISNUMBER(MATCH(INDEX('SECTOR OVERVIEW'!M$1:M$21,4),'DONNÉES BRUTES'!C$3:C$42,0)),IF(AVERAGEIF('DONNÉES BRUTES'!C$3:C$42,INDEX('SECTOR OVERVIEW'!M$1:M$21,4),'DONNÉES BRUTES'!AB$3:AB$42)&gt;=65,"↑ Positif",IF(AVERAGEIF('DONNÉES BRUTES'!C$3:C$42,INDEX('SECTOR OVERVIEW'!M$1:M$21,4),'DONNÉES BRUTES'!AB$3:AB$42)&gt;=50,"→ Neutre","↓ Négatif")),"—"),"—")</f>
        <v/>
      </c>
      <c r="L11" s="237" t="n"/>
      <c r="M11" t="inlineStr">
        <is>
          <t>Utilities</t>
        </is>
      </c>
      <c r="O11" s="235" t="inlineStr">
        <is>
          <t>Comm. Services</t>
        </is>
      </c>
      <c r="P11" s="235" t="n">
        <v>38</v>
      </c>
      <c r="Q11" s="235" t="n">
        <v>27.2</v>
      </c>
    </row>
    <row r="12" ht="18" customHeight="1">
      <c r="A12" s="103" t="n"/>
      <c r="B12" s="240">
        <f>IFERROR(INDEX('SECTOR OVERVIEW'!M$1:M$21,5),"")</f>
        <v/>
      </c>
      <c r="C12" s="241">
        <f>IFERROR(IF(ISNUMBER(MATCH(INDEX('SECTOR OVERVIEW'!M$1:M$21,5),'DONNÉES BRUTES'!C$3:C$42,0)),COUNTIF('DONNÉES BRUTES'!C$3:C$42,INDEX('SECTOR OVERVIEW'!M$1:M$21,5)),""),"")</f>
        <v/>
      </c>
      <c r="D12" s="242">
        <f>IFERROR(IF(ISNUMBER(MATCH(INDEX('SECTOR OVERVIEW'!M$1:M$21,5),'DONNÉES BRUTES'!C$3:C$42,0)),ROUND(AVERAGEIF('DONNÉES BRUTES'!C$3:C$42,INDEX('SECTOR OVERVIEW'!M$1:M$21,5),'DONNÉES BRUTES'!AB$3:AB$42),0),""),"")</f>
        <v/>
      </c>
      <c r="E12" s="243">
        <f>IFERROR(IF(ISNUMBER(MATCH(INDEX('SECTOR OVERVIEW'!M$1:M$21,5),'DONNÉES BRUTES'!C$3:C$42,0)),REPT("█",ROUND(AVERAGEIF('DONNÉES BRUTES'!C$3:C$42,INDEX('SECTOR OVERVIEW'!M$1:M$21,5),'DONNÉES BRUTES'!AB$3:AB$42)/10,0))&amp;REPT("░",10-ROUND(AVERAGEIF('DONNÉES BRUTES'!C$3:C$42,INDEX('SECTOR OVERVIEW'!M$1:M$21,5),'DONNÉES BRUTES'!AB$3:AB$42)/10,0))&amp;"  "&amp;ROUND(AVERAGEIF('DONNÉES BRUTES'!C$3:C$42,INDEX('SECTOR OVERVIEW'!M$1:M$21,5),'DONNÉES BRUTES'!AB$3:AB$42),0),""),"")</f>
        <v/>
      </c>
      <c r="F12" s="244">
        <f>IFERROR(IF(ISNUMBER(MATCH(INDEX('SECTOR OVERVIEW'!M$1:M$21,5),'DONNÉES BRUTES'!C$3:C$42,0)),_xlfn.XLOOKUP(_xlfn.MAXIFS('DONNÉES BRUTES'!AB$3:AB$42,'DONNÉES BRUTES'!C$3:C$42,INDEX('SECTOR OVERVIEW'!M$1:M$21,5)),'DONNÉES BRUTES'!AB$3:AB$42,'DONNÉES BRUTES'!B$3:B$42),"—"),"—")</f>
        <v/>
      </c>
      <c r="G12" s="243" t="inlineStr">
        <is>
          <t>103.4%</t>
        </is>
      </c>
      <c r="H12" s="149" t="inlineStr">
        <is>
          <t>55</t>
        </is>
      </c>
      <c r="I12" s="243">
        <f t="array" ref="I12">IFERROR(IF(ISNUMBER(MATCH(INDEX('SECTOR OVERVIEW'!M$1:M$21,5),'DONNÉES BRUTES'!C$3:C$42,0)),ROUND(MEDIAN(IF('DONNÉES BRUTES'!C$3:C$42=INDEX('SECTOR OVERVIEW'!M$1:M$21,5),IF(ISNUMBER('DONNÉES BRUTES'!U$3:U$42),'DONNÉES BRUTES'!U$3:U$42))),2),"—"),"—")</f>
        <v/>
      </c>
      <c r="J12" s="243">
        <f>IFERROR(IF(ISNUMBER(MATCH(INDEX('SECTOR OVERVIEW'!M$1:M$21,5),'DONNÉES BRUTES'!C$3:C$42,0)),IF(COUNTIFS('DONNÉES BRUTES'!C$3:C$42,INDEX('SECTOR OVERVIEW'!M$1:M$21,5),'DONNÉES BRUTES'!AD$3:AD$42,"Surpondérer")&gt;0,"Surpondérer",IF(COUNTIFS('DONNÉES BRUTES'!C$3:C$42,INDEX('SECTOR OVERVIEW'!M$1:M$21,5),'DONNÉES BRUTES'!AD$3:AD$42,"Neutre")&gt;=COUNTIFS('DONNÉES BRUTES'!C$3:C$42,INDEX('SECTOR OVERVIEW'!M$1:M$21,5),'DONNÉES BRUTES'!AD$3:AD$42,"Sous-pondérer"),"Neutre","Sous-pondérer")),"—"),"—")</f>
        <v/>
      </c>
      <c r="K12" s="241">
        <f>IFERROR(IF(ISNUMBER(MATCH(INDEX('SECTOR OVERVIEW'!M$1:M$21,5),'DONNÉES BRUTES'!C$3:C$42,0)),IF(AVERAGEIF('DONNÉES BRUTES'!C$3:C$42,INDEX('SECTOR OVERVIEW'!M$1:M$21,5),'DONNÉES BRUTES'!AB$3:AB$42)&gt;=65,"↑ Positif",IF(AVERAGEIF('DONNÉES BRUTES'!C$3:C$42,INDEX('SECTOR OVERVIEW'!M$1:M$21,5),'DONNÉES BRUTES'!AB$3:AB$42)&gt;=50,"→ Neutre","↓ Négatif")),"—"),"—")</f>
        <v/>
      </c>
      <c r="L12" s="240" t="n"/>
      <c r="O12" s="235" t="inlineStr">
        <is>
          <t>Energy</t>
        </is>
      </c>
      <c r="P12" s="235" t="n">
        <v>18</v>
      </c>
      <c r="Q12" s="235" t="n">
        <v>0</v>
      </c>
    </row>
    <row r="13" ht="18" customHeight="1">
      <c r="A13" s="104" t="n"/>
      <c r="B13" s="237">
        <f>IFERROR(INDEX('SECTOR OVERVIEW'!M$1:M$21,6),"")</f>
        <v/>
      </c>
      <c r="C13" s="236">
        <f>IFERROR(IF(ISNUMBER(MATCH(INDEX('SECTOR OVERVIEW'!M$1:M$21,6),'DONNÉES BRUTES'!C$3:C$42,0)),COUNTIF('DONNÉES BRUTES'!C$3:C$42,INDEX('SECTOR OVERVIEW'!M$1:M$21,6)),""),"")</f>
        <v/>
      </c>
      <c r="D13" s="238">
        <f>IFERROR(IF(ISNUMBER(MATCH(INDEX('SECTOR OVERVIEW'!M$1:M$21,6),'DONNÉES BRUTES'!C$3:C$42,0)),ROUND(AVERAGEIF('DONNÉES BRUTES'!C$3:C$42,INDEX('SECTOR OVERVIEW'!M$1:M$21,6),'DONNÉES BRUTES'!AB$3:AB$42),0),""),"")</f>
        <v/>
      </c>
      <c r="E13" s="239">
        <f>IFERROR(IF(ISNUMBER(MATCH(INDEX('SECTOR OVERVIEW'!M$1:M$21,6),'DONNÉES BRUTES'!C$3:C$42,0)),REPT("█",ROUND(AVERAGEIF('DONNÉES BRUTES'!C$3:C$42,INDEX('SECTOR OVERVIEW'!M$1:M$21,6),'DONNÉES BRUTES'!AB$3:AB$42)/10,0))&amp;REPT("░",10-ROUND(AVERAGEIF('DONNÉES BRUTES'!C$3:C$42,INDEX('SECTOR OVERVIEW'!M$1:M$21,6),'DONNÉES BRUTES'!AB$3:AB$42)/10,0))&amp;"  "&amp;ROUND(AVERAGEIF('DONNÉES BRUTES'!C$3:C$42,INDEX('SECTOR OVERVIEW'!M$1:M$21,6),'DONNÉES BRUTES'!AB$3:AB$42),0),""),"")</f>
        <v/>
      </c>
      <c r="F13" s="245">
        <f>IFERROR(IF(ISNUMBER(MATCH(INDEX('SECTOR OVERVIEW'!M$1:M$21,6),'DONNÉES BRUTES'!C$3:C$42,0)),_xlfn.XLOOKUP(_xlfn.MAXIFS('DONNÉES BRUTES'!AB$3:AB$42,'DONNÉES BRUTES'!C$3:C$42,INDEX('SECTOR OVERVIEW'!M$1:M$21,6)),'DONNÉES BRUTES'!AB$3:AB$42,'DONNÉES BRUTES'!B$3:B$42),"—"),"—")</f>
        <v/>
      </c>
      <c r="G13" s="239" t="inlineStr">
        <is>
          <t>23.2%</t>
        </is>
      </c>
      <c r="H13" s="150" t="inlineStr">
        <is>
          <t>72</t>
        </is>
      </c>
      <c r="I13" s="239">
        <f t="array" ref="I13">IFERROR(IF(ISNUMBER(MATCH(INDEX('SECTOR OVERVIEW'!M$1:M$21,6),'DONNÉES BRUTES'!C$3:C$42,0)),ROUND(MEDIAN(IF('DONNÉES BRUTES'!C$3:C$42=INDEX('SECTOR OVERVIEW'!M$1:M$21,6),IF(ISNUMBER('DONNÉES BRUTES'!U$3:U$42),'DONNÉES BRUTES'!U$3:U$42))),2),"—"),"—")</f>
        <v/>
      </c>
      <c r="J13" s="239">
        <f>IFERROR(IF(ISNUMBER(MATCH(INDEX('SECTOR OVERVIEW'!M$1:M$21,6),'DONNÉES BRUTES'!C$3:C$42,0)),IF(COUNTIFS('DONNÉES BRUTES'!C$3:C$42,INDEX('SECTOR OVERVIEW'!M$1:M$21,6),'DONNÉES BRUTES'!AD$3:AD$42,"Surpondérer")&gt;0,"Surpondérer",IF(COUNTIFS('DONNÉES BRUTES'!C$3:C$42,INDEX('SECTOR OVERVIEW'!M$1:M$21,6),'DONNÉES BRUTES'!AD$3:AD$42,"Neutre")&gt;=COUNTIFS('DONNÉES BRUTES'!C$3:C$42,INDEX('SECTOR OVERVIEW'!M$1:M$21,6),'DONNÉES BRUTES'!AD$3:AD$42,"Sous-pondérer"),"Neutre","Sous-pondérer")),"—"),"—")</f>
        <v/>
      </c>
      <c r="K13" s="236">
        <f>IFERROR(IF(ISNUMBER(MATCH(INDEX('SECTOR OVERVIEW'!M$1:M$21,6),'DONNÉES BRUTES'!C$3:C$42,0)),IF(AVERAGEIF('DONNÉES BRUTES'!C$3:C$42,INDEX('SECTOR OVERVIEW'!M$1:M$21,6),'DONNÉES BRUTES'!AB$3:AB$42)&gt;=65,"↑ Positif",IF(AVERAGEIF('DONNÉES BRUTES'!C$3:C$42,INDEX('SECTOR OVERVIEW'!M$1:M$21,6),'DONNÉES BRUTES'!AB$3:AB$42)&gt;=50,"→ Neutre","↓ Négatif")),"—"),"—")</f>
        <v/>
      </c>
      <c r="L13" s="237" t="n"/>
    </row>
    <row r="14" ht="18" customHeight="1">
      <c r="A14" s="103" t="n"/>
      <c r="B14" s="240">
        <f>IFERROR(INDEX('SECTOR OVERVIEW'!M$1:M$21,7),"")</f>
        <v/>
      </c>
      <c r="C14" s="241">
        <f>IFERROR(IF(ISNUMBER(MATCH(INDEX('SECTOR OVERVIEW'!M$1:M$21,7),'DONNÉES BRUTES'!C$3:C$42,0)),COUNTIF('DONNÉES BRUTES'!C$3:C$42,INDEX('SECTOR OVERVIEW'!M$1:M$21,7)),""),"")</f>
        <v/>
      </c>
      <c r="D14" s="242">
        <f>IFERROR(IF(ISNUMBER(MATCH(INDEX('SECTOR OVERVIEW'!M$1:M$21,7),'DONNÉES BRUTES'!C$3:C$42,0)),ROUND(AVERAGEIF('DONNÉES BRUTES'!C$3:C$42,INDEX('SECTOR OVERVIEW'!M$1:M$21,7),'DONNÉES BRUTES'!AB$3:AB$42),0),""),"")</f>
        <v/>
      </c>
      <c r="E14" s="243">
        <f>IFERROR(IF(ISNUMBER(MATCH(INDEX('SECTOR OVERVIEW'!M$1:M$21,7),'DONNÉES BRUTES'!C$3:C$42,0)),REPT("█",ROUND(AVERAGEIF('DONNÉES BRUTES'!C$3:C$42,INDEX('SECTOR OVERVIEW'!M$1:M$21,7),'DONNÉES BRUTES'!AB$3:AB$42)/10,0))&amp;REPT("░",10-ROUND(AVERAGEIF('DONNÉES BRUTES'!C$3:C$42,INDEX('SECTOR OVERVIEW'!M$1:M$21,7),'DONNÉES BRUTES'!AB$3:AB$42)/10,0))&amp;"  "&amp;ROUND(AVERAGEIF('DONNÉES BRUTES'!C$3:C$42,INDEX('SECTOR OVERVIEW'!M$1:M$21,7),'DONNÉES BRUTES'!AB$3:AB$42),0),""),"")</f>
        <v/>
      </c>
      <c r="F14" s="244">
        <f>IFERROR(IF(ISNUMBER(MATCH(INDEX('SECTOR OVERVIEW'!M$1:M$21,7),'DONNÉES BRUTES'!C$3:C$42,0)),_xlfn.XLOOKUP(_xlfn.MAXIFS('DONNÉES BRUTES'!AB$3:AB$42,'DONNÉES BRUTES'!C$3:C$42,INDEX('SECTOR OVERVIEW'!M$1:M$21,7)),'DONNÉES BRUTES'!AB$3:AB$42,'DONNÉES BRUTES'!B$3:B$42),"—"),"—")</f>
        <v/>
      </c>
      <c r="G14" s="243" t="inlineStr">
        <is>
          <t>15.7%</t>
        </is>
      </c>
      <c r="H14" s="149" t="inlineStr">
        <is>
          <t>31</t>
        </is>
      </c>
      <c r="I14" s="243">
        <f t="array" ref="I14">IFERROR(IF(ISNUMBER(MATCH(INDEX('SECTOR OVERVIEW'!M$1:M$21,7),'DONNÉES BRUTES'!C$3:C$42,0)),ROUND(MEDIAN(IF('DONNÉES BRUTES'!C$3:C$42=INDEX('SECTOR OVERVIEW'!M$1:M$21,7),IF(ISNUMBER('DONNÉES BRUTES'!U$3:U$42),'DONNÉES BRUTES'!U$3:U$42))),2),"—"),"—")</f>
        <v/>
      </c>
      <c r="J14" s="243">
        <f>IFERROR(IF(ISNUMBER(MATCH(INDEX('SECTOR OVERVIEW'!M$1:M$21,7),'DONNÉES BRUTES'!C$3:C$42,0)),IF(COUNTIFS('DONNÉES BRUTES'!C$3:C$42,INDEX('SECTOR OVERVIEW'!M$1:M$21,7),'DONNÉES BRUTES'!AD$3:AD$42,"Surpondérer")&gt;0,"Surpondérer",IF(COUNTIFS('DONNÉES BRUTES'!C$3:C$42,INDEX('SECTOR OVERVIEW'!M$1:M$21,7),'DONNÉES BRUTES'!AD$3:AD$42,"Neutre")&gt;=COUNTIFS('DONNÉES BRUTES'!C$3:C$42,INDEX('SECTOR OVERVIEW'!M$1:M$21,7),'DONNÉES BRUTES'!AD$3:AD$42,"Sous-pondérer"),"Neutre","Sous-pondérer")),"—"),"—")</f>
        <v/>
      </c>
      <c r="K14" s="241">
        <f>IFERROR(IF(ISNUMBER(MATCH(INDEX('SECTOR OVERVIEW'!M$1:M$21,7),'DONNÉES BRUTES'!C$3:C$42,0)),IF(AVERAGEIF('DONNÉES BRUTES'!C$3:C$42,INDEX('SECTOR OVERVIEW'!M$1:M$21,7),'DONNÉES BRUTES'!AB$3:AB$42)&gt;=65,"↑ Positif",IF(AVERAGEIF('DONNÉES BRUTES'!C$3:C$42,INDEX('SECTOR OVERVIEW'!M$1:M$21,7),'DONNÉES BRUTES'!AB$3:AB$42)&gt;=50,"→ Neutre","↓ Négatif")),"—"),"—")</f>
        <v/>
      </c>
      <c r="L14" s="240" t="n"/>
    </row>
    <row r="15" ht="18" customHeight="1">
      <c r="A15" s="104" t="n"/>
      <c r="B15" s="237">
        <f>IFERROR(INDEX('SECTOR OVERVIEW'!M$1:M$21,8),"")</f>
        <v/>
      </c>
      <c r="C15" s="236">
        <f>IFERROR(IF(ISNUMBER(MATCH(INDEX('SECTOR OVERVIEW'!M$1:M$21,8),'DONNÉES BRUTES'!C$3:C$42,0)),COUNTIF('DONNÉES BRUTES'!C$3:C$42,INDEX('SECTOR OVERVIEW'!M$1:M$21,8)),""),"")</f>
        <v/>
      </c>
      <c r="D15" s="238">
        <f>IFERROR(IF(ISNUMBER(MATCH(INDEX('SECTOR OVERVIEW'!M$1:M$21,8),'DONNÉES BRUTES'!C$3:C$42,0)),ROUND(AVERAGEIF('DONNÉES BRUTES'!C$3:C$42,INDEX('SECTOR OVERVIEW'!M$1:M$21,8),'DONNÉES BRUTES'!AB$3:AB$42),0),""),"")</f>
        <v/>
      </c>
      <c r="E15" s="239">
        <f>IFERROR(IF(ISNUMBER(MATCH(INDEX('SECTOR OVERVIEW'!M$1:M$21,8),'DONNÉES BRUTES'!C$3:C$42,0)),REPT("█",ROUND(AVERAGEIF('DONNÉES BRUTES'!C$3:C$42,INDEX('SECTOR OVERVIEW'!M$1:M$21,8),'DONNÉES BRUTES'!AB$3:AB$42)/10,0))&amp;REPT("░",10-ROUND(AVERAGEIF('DONNÉES BRUTES'!C$3:C$42,INDEX('SECTOR OVERVIEW'!M$1:M$21,8),'DONNÉES BRUTES'!AB$3:AB$42)/10,0))&amp;"  "&amp;ROUND(AVERAGEIF('DONNÉES BRUTES'!C$3:C$42,INDEX('SECTOR OVERVIEW'!M$1:M$21,8),'DONNÉES BRUTES'!AB$3:AB$42),0),""),"")</f>
        <v/>
      </c>
      <c r="F15" s="245">
        <f>IFERROR(IF(ISNUMBER(MATCH(INDEX('SECTOR OVERVIEW'!M$1:M$21,8),'DONNÉES BRUTES'!C$3:C$42,0)),_xlfn.XLOOKUP(_xlfn.MAXIFS('DONNÉES BRUTES'!AB$3:AB$42,'DONNÉES BRUTES'!C$3:C$42,INDEX('SECTOR OVERVIEW'!M$1:M$21,8)),'DONNÉES BRUTES'!AB$3:AB$42,'DONNÉES BRUTES'!B$3:B$42),"—"),"—")</f>
        <v/>
      </c>
      <c r="G15" s="239" t="inlineStr">
        <is>
          <t>22.7%</t>
        </is>
      </c>
      <c r="H15" s="150" t="inlineStr">
        <is>
          <t>66</t>
        </is>
      </c>
      <c r="I15" s="239">
        <f t="array" ref="I15">IFERROR(IF(ISNUMBER(MATCH(INDEX('SECTOR OVERVIEW'!M$1:M$21,8),'DONNÉES BRUTES'!C$3:C$42,0)),ROUND(MEDIAN(IF('DONNÉES BRUTES'!C$3:C$42=INDEX('SECTOR OVERVIEW'!M$1:M$21,8),IF(ISNUMBER('DONNÉES BRUTES'!U$3:U$42),'DONNÉES BRUTES'!U$3:U$42))),2),"—"),"—")</f>
        <v/>
      </c>
      <c r="J15" s="239">
        <f>IFERROR(IF(ISNUMBER(MATCH(INDEX('SECTOR OVERVIEW'!M$1:M$21,8),'DONNÉES BRUTES'!C$3:C$42,0)),IF(COUNTIFS('DONNÉES BRUTES'!C$3:C$42,INDEX('SECTOR OVERVIEW'!M$1:M$21,8),'DONNÉES BRUTES'!AD$3:AD$42,"Surpondérer")&gt;0,"Surpondérer",IF(COUNTIFS('DONNÉES BRUTES'!C$3:C$42,INDEX('SECTOR OVERVIEW'!M$1:M$21,8),'DONNÉES BRUTES'!AD$3:AD$42,"Neutre")&gt;=COUNTIFS('DONNÉES BRUTES'!C$3:C$42,INDEX('SECTOR OVERVIEW'!M$1:M$21,8),'DONNÉES BRUTES'!AD$3:AD$42,"Sous-pondérer"),"Neutre","Sous-pondérer")),"—"),"—")</f>
        <v/>
      </c>
      <c r="K15" s="236">
        <f>IFERROR(IF(ISNUMBER(MATCH(INDEX('SECTOR OVERVIEW'!M$1:M$21,8),'DONNÉES BRUTES'!C$3:C$42,0)),IF(AVERAGEIF('DONNÉES BRUTES'!C$3:C$42,INDEX('SECTOR OVERVIEW'!M$1:M$21,8),'DONNÉES BRUTES'!AB$3:AB$42)&gt;=65,"↑ Positif",IF(AVERAGEIF('DONNÉES BRUTES'!C$3:C$42,INDEX('SECTOR OVERVIEW'!M$1:M$21,8),'DONNÉES BRUTES'!AB$3:AB$42)&gt;=50,"→ Neutre","↓ Négatif")),"—"),"—")</f>
        <v/>
      </c>
      <c r="L15" s="237" t="n"/>
    </row>
    <row r="16" ht="18" customHeight="1">
      <c r="A16" s="5" t="n"/>
      <c r="B16" s="240">
        <f>IFERROR(INDEX('SECTOR OVERVIEW'!M$1:M$21,9),"")</f>
        <v/>
      </c>
      <c r="C16" s="241">
        <f>IFERROR(IF(ISNUMBER(MATCH(INDEX('SECTOR OVERVIEW'!M$1:M$21,9),'DONNÉES BRUTES'!C$3:C$42,0)),COUNTIF('DONNÉES BRUTES'!C$3:C$42,INDEX('SECTOR OVERVIEW'!M$1:M$21,9)),""),"")</f>
        <v/>
      </c>
      <c r="D16" s="242">
        <f>IFERROR(IF(ISNUMBER(MATCH(INDEX('SECTOR OVERVIEW'!M$1:M$21,9),'DONNÉES BRUTES'!C$3:C$42,0)),ROUND(AVERAGEIF('DONNÉES BRUTES'!C$3:C$42,INDEX('SECTOR OVERVIEW'!M$1:M$21,9),'DONNÉES BRUTES'!AB$3:AB$42),0),""),"")</f>
        <v/>
      </c>
      <c r="E16" s="243">
        <f>IFERROR(IF(ISNUMBER(MATCH(INDEX('SECTOR OVERVIEW'!M$1:M$21,9),'DONNÉES BRUTES'!C$3:C$42,0)),REPT("█",ROUND(AVERAGEIF('DONNÉES BRUTES'!C$3:C$42,INDEX('SECTOR OVERVIEW'!M$1:M$21,9),'DONNÉES BRUTES'!AB$3:AB$42)/10,0))&amp;REPT("░",10-ROUND(AVERAGEIF('DONNÉES BRUTES'!C$3:C$42,INDEX('SECTOR OVERVIEW'!M$1:M$21,9),'DONNÉES BRUTES'!AB$3:AB$42)/10,0))&amp;"  "&amp;ROUND(AVERAGEIF('DONNÉES BRUTES'!C$3:C$42,INDEX('SECTOR OVERVIEW'!M$1:M$21,9),'DONNÉES BRUTES'!AB$3:AB$42),0),""),"")</f>
        <v/>
      </c>
      <c r="F16" s="244">
        <f>IFERROR(IF(ISNUMBER(MATCH(INDEX('SECTOR OVERVIEW'!M$1:M$21,9),'DONNÉES BRUTES'!C$3:C$42,0)),_xlfn.XLOOKUP(_xlfn.MAXIFS('DONNÉES BRUTES'!AB$3:AB$42,'DONNÉES BRUTES'!C$3:C$42,INDEX('SECTOR OVERVIEW'!M$1:M$21,9)),'DONNÉES BRUTES'!AB$3:AB$42,'DONNÉES BRUTES'!B$3:B$42),"—"),"—")</f>
        <v/>
      </c>
      <c r="G16" s="243" t="inlineStr">
        <is>
          <t>19.8%</t>
        </is>
      </c>
      <c r="H16" s="149" t="inlineStr">
        <is>
          <t>50</t>
        </is>
      </c>
      <c r="I16" s="243">
        <f t="array" ref="I16">IFERROR(IF(ISNUMBER(MATCH(INDEX('SECTOR OVERVIEW'!M$1:M$21,9),'DONNÉES BRUTES'!C$3:C$42,0)),ROUND(MEDIAN(IF('DONNÉES BRUTES'!C$3:C$42=INDEX('SECTOR OVERVIEW'!M$1:M$21,9),IF(ISNUMBER('DONNÉES BRUTES'!U$3:U$42),'DONNÉES BRUTES'!U$3:U$42))),2),"—"),"—")</f>
        <v/>
      </c>
      <c r="J16" s="243">
        <f>IFERROR(IF(ISNUMBER(MATCH(INDEX('SECTOR OVERVIEW'!M$1:M$21,9),'DONNÉES BRUTES'!C$3:C$42,0)),IF(COUNTIFS('DONNÉES BRUTES'!C$3:C$42,INDEX('SECTOR OVERVIEW'!M$1:M$21,9),'DONNÉES BRUTES'!AD$3:AD$42,"Surpondérer")&gt;0,"Surpondérer",IF(COUNTIFS('DONNÉES BRUTES'!C$3:C$42,INDEX('SECTOR OVERVIEW'!M$1:M$21,9),'DONNÉES BRUTES'!AD$3:AD$42,"Neutre")&gt;=COUNTIFS('DONNÉES BRUTES'!C$3:C$42,INDEX('SECTOR OVERVIEW'!M$1:M$21,9),'DONNÉES BRUTES'!AD$3:AD$42,"Sous-pondérer"),"Neutre","Sous-pondérer")),"—"),"—")</f>
        <v/>
      </c>
      <c r="K16" s="241">
        <f>IFERROR(IF(ISNUMBER(MATCH(INDEX('SECTOR OVERVIEW'!M$1:M$21,9),'DONNÉES BRUTES'!C$3:C$42,0)),IF(AVERAGEIF('DONNÉES BRUTES'!C$3:C$42,INDEX('SECTOR OVERVIEW'!M$1:M$21,9),'DONNÉES BRUTES'!AB$3:AB$42)&gt;=65,"↑ Positif",IF(AVERAGEIF('DONNÉES BRUTES'!C$3:C$42,INDEX('SECTOR OVERVIEW'!M$1:M$21,9),'DONNÉES BRUTES'!AB$3:AB$42)&gt;=50,"→ Neutre","↓ Négatif")),"—"),"—")</f>
        <v/>
      </c>
      <c r="L16" s="240" t="n"/>
    </row>
    <row r="17" ht="18" customHeight="1">
      <c r="A17" s="302" t="n"/>
      <c r="B17" s="237">
        <f>COUNTA('DONNÉES BRUTES'!A3:A42)&amp;" sociétés — CAC 40"</f>
        <v/>
      </c>
      <c r="C17" s="236">
        <f>COUNTA('DONNÉES BRUTES'!A3:A42)</f>
        <v/>
      </c>
      <c r="D17" s="238">
        <f>ROUND(AVERAGE('DONNÉES BRUTES'!AB3:AB42),0)</f>
        <v/>
      </c>
      <c r="E17" s="239" t="inlineStr">
        <is>
          <t>█████░░░░░  50</t>
        </is>
      </c>
      <c r="F17" s="245">
        <f>IFERROR(_xlfn.XLOOKUP(MAX('DONNÉES BRUTES'!AB$3:AB$42),'DONNÉES BRUTES'!AB$3:AB$42,'DONNÉES BRUTES'!B$3:B$42),"—")</f>
        <v/>
      </c>
      <c r="G17" s="239" t="inlineStr">
        <is>
          <t>19.8%</t>
        </is>
      </c>
      <c r="H17" s="150" t="inlineStr">
        <is>
          <t>50</t>
        </is>
      </c>
      <c r="I17" s="239">
        <f t="array" ref="I17">IFERROR(IF(ISNUMBER(MATCH(INDEX('SECTOR OVERVIEW'!M$1:M$21,10),'DONNÉES BRUTES'!C$3:C$42,0)),ROUND(MEDIAN(IF('DONNÉES BRUTES'!C$3:C$42=INDEX('SECTOR OVERVIEW'!M$1:M$21,10),IF(ISNUMBER('DONNÉES BRUTES'!U$3:U$42),'DONNÉES BRUTES'!U$3:U$42))),2),"—"),"—")</f>
        <v/>
      </c>
      <c r="J17" s="239">
        <f>IFERROR(IF(ISNUMBER(MATCH(INDEX('SECTOR OVERVIEW'!M$1:M$21,10),'DONNÉES BRUTES'!C$3:C$42,0)),IF(COUNTIFS('DONNÉES BRUTES'!C$3:C$42,INDEX('SECTOR OVERVIEW'!M$1:M$21,10),'DONNÉES BRUTES'!AD$3:AD$42,"Surpondérer")&gt;0,"Surpondérer",IF(COUNTIFS('DONNÉES BRUTES'!C$3:C$42,INDEX('SECTOR OVERVIEW'!M$1:M$21,10),'DONNÉES BRUTES'!AD$3:AD$42,"Neutre")&gt;=COUNTIFS('DONNÉES BRUTES'!C$3:C$42,INDEX('SECTOR OVERVIEW'!M$1:M$21,10),'DONNÉES BRUTES'!AD$3:AD$42,"Sous-pondérer"),"Neutre","Sous-pondérer")),"—"),"—")</f>
        <v/>
      </c>
      <c r="K17" s="236">
        <f>IFERROR(IF(ISNUMBER(MATCH(INDEX('SECTOR OVERVIEW'!M$1:M$21,10),'DONNÉES BRUTES'!C$3:C$42,0)),IF(AVERAGEIF('DONNÉES BRUTES'!C$3:C$42,INDEX('SECTOR OVERVIEW'!M$1:M$21,10),'DONNÉES BRUTES'!AB$3:AB$42)&gt;=65,"↑ Positif",IF(AVERAGEIF('DONNÉES BRUTES'!C$3:C$42,INDEX('SECTOR OVERVIEW'!M$1:M$21,10),'DONNÉES BRUTES'!AB$3:AB$42)&gt;=50,"→ Neutre","↓ Négatif")),"—"),"—")</f>
        <v/>
      </c>
      <c r="L17" s="236" t="n"/>
    </row>
    <row r="18" ht="18" customHeight="1">
      <c r="A18" s="302" t="n"/>
      <c r="B18" s="240">
        <f>IFERROR(INDEX('SECTOR OVERVIEW'!M$1:M$20,10),"")</f>
        <v/>
      </c>
      <c r="C18" s="241">
        <f>IFERROR(IF(ISNUMBER(MATCH(INDEX('SECTOR OVERVIEW'!M$1:M$20,10),'DONNÉES BRUTES'!C$3:C$42,0)),COUNTIF('DONNÉES BRUTES'!C$3:C$42,INDEX('SECTOR OVERVIEW'!M$1:M$20,10)),""),"")</f>
        <v/>
      </c>
      <c r="D18" s="242">
        <f>IFERROR(IF(ISNUMBER(MATCH(INDEX('SECTOR OVERVIEW'!M$1:M$20,10),'DONNÉES BRUTES'!C$3:C$42,0)),ROUND(AVERAGEIF('DONNÉES BRUTES'!C$3:C$42,INDEX('SECTOR OVERVIEW'!M$1:M$20,10),'DONNÉES BRUTES'!AB$3:AB$42),0),""),"")</f>
        <v/>
      </c>
      <c r="E18" s="243" t="inlineStr">
        <is>
          <t>████░░░░░░  36</t>
        </is>
      </c>
      <c r="F18" s="244">
        <f>IFERROR(_xlfn.XLOOKUP(_xlfn.MAXIFS('DONNÉES BRUTES'!AB$3:AB$42,'DONNÉES BRUTES'!C$3:C$42,INDEX('SECTOR OVERVIEW'!M$1:M$20,10)),'DONNÉES BRUTES'!AB$3:AB$42,'DONNÉES BRUTES'!B$3:B$42),"—")</f>
        <v/>
      </c>
      <c r="G18" s="243" t="inlineStr">
        <is>
          <t>19.6%</t>
        </is>
      </c>
      <c r="H18" s="149" t="inlineStr">
        <is>
          <t>45</t>
        </is>
      </c>
      <c r="I18" s="243">
        <f t="array" ref="I18">IFERROR(ROUND(MEDIAN(IF('DONNÉES BRUTES'!C$3:C$42=INDEX('SECTOR OVERVIEW'!M$1:M$20,10),IF(ISNUMBER('DONNÉES BRUTES'!U$3:U$42),'DONNÉES BRUTES'!U$3:U$42))),2),"—")</f>
        <v/>
      </c>
      <c r="J18" s="243">
        <f>IFERROR(IF(ISNUMBER(MATCH(INDEX('SECTOR OVERVIEW'!M$1:M$20,10),'DONNÉES BRUTES'!C$3:C$42,0)),IF(COUNTIFS('DONNÉES BRUTES'!C$3:C$42,INDEX('SECTOR OVERVIEW'!M$1:M$20,10),'DONNÉES BRUTES'!AD$3:AD$42,"Surpondérer")&gt;0,"Surpondérer",IF(COUNTIFS('DONNÉES BRUTES'!C$3:C$42,INDEX('SECTOR OVERVIEW'!M$1:M$20,10),'DONNÉES BRUTES'!AD$3:AD$42,"Neutre")&gt;=COUNTIFS('DONNÉES BRUTES'!C$3:C$42,INDEX('SECTOR OVERVIEW'!M$1:M$20,10),'DONNÉES BRUTES'!AD$3:AD$42,"Sous-pondérer"),"Neutre","Sous-pondérer")),"—"),"—")</f>
        <v/>
      </c>
      <c r="K18" s="241">
        <f>IFERROR(IF(AVERAGEIF('DONNÉES BRUTES'!C$3:C$42,INDEX('SECTOR OVERVIEW'!M$1:M$20,10),'DONNÉES BRUTES'!AB$3:AB$42)&gt;=65,"↑ Positif",IF(AVERAGEIF('DONNÉES BRUTES'!C$3:C$42,INDEX('SECTOR OVERVIEW'!M$1:M$20,10),'DONNÉES BRUTES'!AB$3:AB$42)&gt;=50,"→ Neutre","↓ Négatif")),"—")</f>
        <v/>
      </c>
      <c r="L18" s="241" t="n"/>
    </row>
    <row r="19" ht="18" customHeight="1">
      <c r="A19" s="5" t="n"/>
      <c r="B19" s="237">
        <f>IFERROR(INDEX('SECTOR OVERVIEW'!M$1:M$21,11),"")</f>
        <v/>
      </c>
      <c r="C19" s="236">
        <f>IFERROR(IF(ISNUMBER(MATCH(INDEX('SECTOR OVERVIEW'!M$1:M$21,11),'DONNÉES BRUTES'!C$3:C$42,0)),COUNTIF('DONNÉES BRUTES'!C$3:C$42,INDEX('SECTOR OVERVIEW'!M$1:M$21,11)),""),"")</f>
        <v/>
      </c>
      <c r="D19" s="238">
        <f>IFERROR(IF(ISNUMBER(MATCH(INDEX('SECTOR OVERVIEW'!M$1:M$21,11),'DONNÉES BRUTES'!C$3:C$42,0)),ROUND(AVERAGEIF('DONNÉES BRUTES'!C$3:C$42,INDEX('SECTOR OVERVIEW'!M$1:M$21,11),'DONNÉES BRUTES'!AB$3:AB$42),0),""),"")</f>
        <v/>
      </c>
      <c r="E19" s="239">
        <f>IFERROR(IF(ISNUMBER(MATCH(INDEX('SECTOR OVERVIEW'!M$1:M$21,11),'DONNÉES BRUTES'!C$3:C$42,0)),REPT("█",ROUND(AVERAGEIF('DONNÉES BRUTES'!C$3:C$42,INDEX('SECTOR OVERVIEW'!M$1:M$21,11),'DONNÉES BRUTES'!AB$3:AB$42)/10,0))&amp;REPT("░",10-ROUND(AVERAGEIF('DONNÉES BRUTES'!C$3:C$42,INDEX('SECTOR OVERVIEW'!M$1:M$21,11),'DONNÉES BRUTES'!AB$3:AB$42)/10,0))&amp;"  "&amp;ROUND(AVERAGEIF('DONNÉES BRUTES'!C$3:C$42,INDEX('SECTOR OVERVIEW'!M$1:M$21,11),'DONNÉES BRUTES'!AB$3:AB$42),0),""),"")</f>
        <v/>
      </c>
      <c r="F19" s="245">
        <f>IFERROR(IF(ISNUMBER(MATCH(INDEX('SECTOR OVERVIEW'!M$1:M$21,11),'DONNÉES BRUTES'!C$3:C$42,0)),_xlfn.XLOOKUP(_xlfn.MAXIFS('DONNÉES BRUTES'!AB$3:AB$42,'DONNÉES BRUTES'!C$3:C$42,INDEX('SECTOR OVERVIEW'!M$1:M$21,11)),'DONNÉES BRUTES'!AB$3:AB$42,'DONNÉES BRUTES'!B$3:B$42),"—"),"—")</f>
        <v/>
      </c>
      <c r="G19" s="239" t="inlineStr">
        <is>
          <t>20.0%</t>
        </is>
      </c>
      <c r="H19" s="150" t="inlineStr">
        <is>
          <t>49</t>
        </is>
      </c>
      <c r="I19" s="239">
        <f t="array" ref="I19">IFERROR(IF(ISNUMBER(MATCH(INDEX('SECTOR OVERVIEW'!M$1:M$21,11),'DONNÉES BRUTES'!C$3:C$42,0)),ROUND(MEDIAN(IF('DONNÉES BRUTES'!C$3:C$42=INDEX('SECTOR OVERVIEW'!M$1:M$21,11),IF(ISNUMBER('DONNÉES BRUTES'!U$3:U$42),'DONNÉES BRUTES'!U$3:U$42))),2),"—"),"—")</f>
        <v/>
      </c>
      <c r="J19" s="239">
        <f>IFERROR(IF(ISNUMBER(MATCH(INDEX('SECTOR OVERVIEW'!M$1:M$21,11),'DONNÉES BRUTES'!C$3:C$42,0)),IF(COUNTIFS('DONNÉES BRUTES'!C$3:C$42,INDEX('SECTOR OVERVIEW'!M$1:M$21,11),'DONNÉES BRUTES'!AD$3:AD$42,"Surpondérer")&gt;0,"Surpondérer",IF(COUNTIFS('DONNÉES BRUTES'!C$3:C$42,INDEX('SECTOR OVERVIEW'!M$1:M$21,11),'DONNÉES BRUTES'!AD$3:AD$42,"Neutre")&gt;=COUNTIFS('DONNÉES BRUTES'!C$3:C$42,INDEX('SECTOR OVERVIEW'!M$1:M$21,11),'DONNÉES BRUTES'!AD$3:AD$42,"Sous-pondérer"),"Neutre","Sous-pondérer")),"—"),"—")</f>
        <v/>
      </c>
      <c r="K19" s="236">
        <f>IFERROR(IF(ISNUMBER(MATCH(INDEX('SECTOR OVERVIEW'!M$1:M$21,11),'DONNÉES BRUTES'!C$3:C$42,0)),IF(AVERAGEIF('DONNÉES BRUTES'!C$3:C$42,INDEX('SECTOR OVERVIEW'!M$1:M$21,11),'DONNÉES BRUTES'!AB$3:AB$42)&gt;=65,"↑ Positif",IF(AVERAGEIF('DONNÉES BRUTES'!C$3:C$42,INDEX('SECTOR OVERVIEW'!M$1:M$21,11),'DONNÉES BRUTES'!AB$3:AB$42)&gt;=50,"→ Neutre","↓ Négatif")),"—"),"—")</f>
        <v/>
      </c>
      <c r="L19" s="236" t="n"/>
    </row>
    <row r="20" ht="20.1" customHeight="1">
      <c r="A20" s="295" t="n"/>
    </row>
    <row r="21" ht="5.1" customFormat="1" customHeight="1" s="296">
      <c r="D21" s="297" t="n"/>
      <c r="E21" s="298" t="n"/>
      <c r="G21" s="298" t="n"/>
      <c r="H21" s="298" t="n"/>
      <c r="O21" s="299" t="n"/>
      <c r="P21" s="299" t="n"/>
      <c r="Q21" s="299" t="n"/>
      <c r="R21" s="299" t="n"/>
    </row>
    <row r="22" ht="18" customHeight="1"/>
    <row r="23" ht="15.95" customHeight="1"/>
    <row r="24" ht="15.95" customHeight="1"/>
    <row r="25" ht="15.95" customHeight="1"/>
    <row r="26" ht="15.95" customHeight="1"/>
    <row r="27" ht="15.95" customHeight="1"/>
    <row r="28" ht="15.95" customHeight="1"/>
    <row r="29" ht="15.95" customHeight="1"/>
    <row r="30" ht="15.95" customHeight="1"/>
    <row r="31" ht="9.949999999999999" customHeight="1"/>
    <row r="32" ht="14.1" customHeight="1"/>
  </sheetData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AB32"/>
  <sheetViews>
    <sheetView showGridLines="0" zoomScale="90" workbookViewId="0">
      <selection activeCell="A12" sqref="A12"/>
    </sheetView>
  </sheetViews>
  <sheetFormatPr baseColWidth="10" defaultColWidth="8.85546875" defaultRowHeight="15"/>
  <cols>
    <col width="1.5703125" customWidth="1" min="1" max="1"/>
    <col width="5.28515625" customWidth="1" min="2" max="2"/>
    <col width="10.42578125" customWidth="1" min="3" max="3"/>
    <col width="21.85546875" customWidth="1" min="4" max="4"/>
    <col width="10.42578125" customWidth="1" min="5" max="5"/>
    <col width="5.28515625" customWidth="1" min="6" max="8"/>
    <col width="8" customWidth="1" min="9" max="10"/>
    <col width="7.28515625" customWidth="1" min="11" max="11"/>
    <col width="8" customWidth="1" min="12" max="13"/>
    <col width="6.42578125" customWidth="1" min="14" max="14"/>
    <col width="7.28515625" customWidth="1" min="15" max="15"/>
    <col width="6.42578125" customWidth="1" min="16" max="16"/>
    <col width="14.140625" bestFit="1" customWidth="1" min="17" max="17"/>
  </cols>
  <sheetData>
    <row r="1" ht="30" customHeight="1">
      <c r="B1" s="273">
        <f>"FinSight IA  ·  Technology  ·  CAC 40  ·  "&amp;COUNTIF('DONNÉES BRUTES'!C$3:C$42,"Technology")&amp;" sociétés  ·  22/03/2026"</f>
        <v/>
      </c>
    </row>
    <row r="2" ht="18" customHeight="1">
      <c r="B2" s="274" t="inlineStr">
        <is>
          <t>Zoom sectoriel  ·  Ratios clés  ·  Score FinSight  ·  Usage confidentiel</t>
        </is>
      </c>
    </row>
    <row r="3" ht="8.1" customHeight="1"/>
    <row r="4" ht="8.1" customHeight="1"/>
    <row r="5" ht="39.95" customHeight="1">
      <c r="B5" s="282" t="n"/>
      <c r="C5" s="246">
        <f>COUNTIF('DONNÉES BRUTES'!C$3:C$42,"Technology")</f>
        <v/>
      </c>
      <c r="D5" s="282" t="n"/>
      <c r="E5" s="282">
        <f>ROUND(AVERAGEIF('DONNÉES BRUTES'!C$3:C$42,"Technology",'DONNÉES BRUTES'!AB$3:AB$42),0)&amp;"/100"</f>
        <v/>
      </c>
      <c r="F5" s="282" t="n"/>
      <c r="G5" s="282" t="n"/>
      <c r="H5" s="282">
        <f t="array" ref="H5">IFERROR(INDEX('DONNÉES BRUTES'!B$3:B$42,MATCH(LARGE(IF('DONNÉES BRUTES'!C$3:C$42="Technology",'DONNÉES BRUTES'!AB$3:AB$42+(ROW('DONNÉES BRUTES'!A$3:A$42)-ROW('DONNÉES BRUTES'!A$3))/1000,0),1),IF('DONNÉES BRUTES'!C$3:C$42="Technology",'DONNÉES BRUTES'!AB$3:AB$42+(ROW('DONNÉES BRUTES'!A$3:A$42)-ROW('DONNÉES BRUTES'!A$3))/1000,0),0)),"—")</f>
        <v/>
      </c>
      <c r="I5" s="282" t="n"/>
      <c r="J5" s="282" t="n"/>
      <c r="K5" s="282" t="n"/>
      <c r="L5" s="251">
        <f>IFERROR(VLOOKUP("Technology",'SECTOR OVERVIEW'!B$8:G$19,6,0),"—")</f>
        <v/>
      </c>
      <c r="M5" s="282" t="n"/>
      <c r="N5" s="252">
        <f t="array" ref="N5">IFERROR(ROUND(MEDIAN(IF('DONNÉES BRUTES'!C$3:C$42="Technology",IF(ISNUMBER('DONNÉES BRUTES'!Y$3:Y$42),'DONNÉES BRUTES'!Y$3:Y$42))),0),"—")</f>
        <v/>
      </c>
      <c r="O5" s="282" t="n"/>
      <c r="P5" s="284">
        <f>IF(COUNTIFS('DONNÉES BRUTES'!C$3:C$42,"Technology",'DONNÉES BRUTES'!AD$3:AD$42,"Surpondérer")&gt;0,"Surpondérer",IF(COUNTIFS('DONNÉES BRUTES'!C$3:C$42,"Technology",'DONNÉES BRUTES'!AD$3:AD$42,"Neutre")&gt;=COUNTIFS('DONNÉES BRUTES'!C$3:C$42,"Technology",'DONNÉES BRUTES'!AD$3:AD$42,"Sous-pondérer"),"Neutre","Sous-pondérer"))</f>
        <v/>
      </c>
      <c r="Q5" s="282" t="n"/>
    </row>
    <row r="6" ht="15.95" customHeight="1">
      <c r="B6" s="282" t="n"/>
      <c r="C6" s="247" t="inlineStr">
        <is>
          <t>Sociétés</t>
        </is>
      </c>
      <c r="D6" s="247" t="n"/>
      <c r="E6" s="247" t="inlineStr">
        <is>
          <t>Score moyen</t>
        </is>
      </c>
      <c r="F6" s="247" t="n"/>
      <c r="G6" s="247" t="n"/>
      <c r="H6" s="247" t="inlineStr">
        <is>
          <t>Meilleure société</t>
        </is>
      </c>
      <c r="I6" s="247" t="n"/>
      <c r="J6" s="247" t="n"/>
      <c r="K6" s="282" t="n"/>
      <c r="L6" s="248" t="inlineStr">
        <is>
          <t>Mg. EBITDA Méd.</t>
        </is>
      </c>
      <c r="M6" s="282" t="n"/>
      <c r="N6" s="248" t="inlineStr">
        <is>
          <t>Score Growth Méd.</t>
        </is>
      </c>
      <c r="O6" s="282" t="n"/>
      <c r="P6" s="248" t="inlineStr">
        <is>
          <t>Signal</t>
        </is>
      </c>
      <c r="Q6" s="247" t="n"/>
    </row>
    <row r="7" ht="8.1" customHeight="1"/>
    <row r="8" ht="21.95" customHeight="1">
      <c r="B8" s="275">
        <f>"ANALYSE DÉTAILLÉE  ·  "&amp;UPPER("Technology")&amp;"  ·  "&amp;COUNTIF('DONNÉES BRUTES'!C$3:C$42,"Technology")&amp;" sociétés  ·  Triée par Score Global"</f>
        <v/>
      </c>
    </row>
    <row r="9" ht="6" customHeight="1"/>
    <row r="10" ht="20.1" customHeight="1">
      <c r="B10" s="254" t="inlineStr">
        <is>
          <t>#</t>
        </is>
      </c>
      <c r="C10" s="254" t="inlineStr">
        <is>
          <t>Ticker</t>
        </is>
      </c>
      <c r="D10" s="254" t="inlineStr">
        <is>
          <t>Société</t>
        </is>
      </c>
      <c r="E10" s="254" t="inlineStr">
        <is>
          <t>Score</t>
        </is>
      </c>
      <c r="F10" s="254" t="inlineStr">
        <is>
          <t>Gr.</t>
        </is>
      </c>
      <c r="G10" s="254" t="inlineStr">
        <is>
          <t>Qual.</t>
        </is>
      </c>
      <c r="H10" s="254" t="inlineStr">
        <is>
          <t>Mom.</t>
        </is>
      </c>
      <c r="I10" s="254" t="inlineStr">
        <is>
          <t>Mg. Brute</t>
        </is>
      </c>
      <c r="J10" s="254" t="inlineStr">
        <is>
          <t>Mg. EBITDA</t>
        </is>
      </c>
      <c r="K10" s="254" t="inlineStr">
        <is>
          <t>Mg. Nette</t>
        </is>
      </c>
      <c r="L10" s="254" t="inlineStr">
        <is>
          <t>Croiss. Rev.</t>
        </is>
      </c>
      <c r="M10" s="254" t="inlineStr">
        <is>
          <t>ROE</t>
        </is>
      </c>
      <c r="N10" s="254" t="inlineStr">
        <is>
          <t>Curr. R.</t>
        </is>
      </c>
      <c r="O10" s="254" t="inlineStr">
        <is>
          <t>ND/EBITDA</t>
        </is>
      </c>
      <c r="P10" s="254" t="inlineStr">
        <is>
          <t>Altman Z</t>
        </is>
      </c>
      <c r="Q10" s="254" t="inlineStr">
        <is>
          <t>Signal</t>
        </is>
      </c>
    </row>
    <row r="11" ht="18" customHeight="1">
      <c r="B11">
        <f>IF(1&gt;COUNTIF('DONNÉES BRUTES'!C$3:C$42,"Technology"),"",1)</f>
        <v/>
      </c>
      <c r="C11">
        <f t="array" ref="C11">IFERROR(IF(1&gt;COUNTIF('DONNÉES BRUTES'!C$3:C$42,"Technology"),"",INDEX('DONNÉES BRUTES'!A$3:A$42,MATCH(LARGE(IF('DONNÉES BRUTES'!C$3:C$42="Technology",'DONNÉES BRUTES'!AB$3:AB$42+(ROW('DONNÉES BRUTES'!A$3:A$42)-ROW('DONNÉES BRUTES'!A$3))/1000,0),1),IF('DONNÉES BRUTES'!C$3:C$42="Technology",'DONNÉES BRUTES'!AB$3:AB$42+(ROW('DONNÉES BRUTES'!A$3:A$42)-ROW('DONNÉES BRUTES'!A$3))/1000,0),0))),"—")</f>
        <v/>
      </c>
      <c r="D11">
        <f t="array" ref="D11">IFERROR(IF(1&gt;COUNTIF('DONNÉES BRUTES'!C$3:C$42,"Technology"),"",INDEX('DONNÉES BRUTES'!B$3:B$42,MATCH(LARGE(IF('DONNÉES BRUTES'!C$3:C$42="Technology",'DONNÉES BRUTES'!AB$3:AB$42+(ROW('DONNÉES BRUTES'!A$3:A$42)-ROW('DONNÉES BRUTES'!A$3))/1000,0),1),IF('DONNÉES BRUTES'!C$3:C$42="Technology",'DONNÉES BRUTES'!AB$3:AB$42+(ROW('DONNÉES BRUTES'!A$3:A$42)-ROW('DONNÉES BRUTES'!A$3))/1000,0),0))),"—")</f>
        <v/>
      </c>
      <c r="E11">
        <f t="array" ref="E11">IFERROR(IF(1&gt;COUNTIF('DONNÉES BRUTES'!C$3:C$42,"Technology"),"",INT(LARGE(IF('DONNÉES BRUTES'!C$3:C$42="Technology",'DONNÉES BRUTES'!AB$3:AB$42+(ROW('DONNÉES BRUTES'!A$3:A$42)-ROW('DONNÉES BRUTES'!A$3))/1000,0),1))&amp;"/100"),"—")</f>
        <v/>
      </c>
      <c r="F11">
        <f t="array" ref="F11">IFERROR(IF(1&gt;COUNTIF('DONNÉES BRUTES'!C$3:C$42,"Technology"),"",INDEX('DONNÉES BRUTES'!Y$3:Y$42,MATCH(LARGE(IF('DONNÉES BRUTES'!C$3:C$42="Technology",'DONNÉES BRUTES'!AB$3:AB$42+(ROW('DONNÉES BRUTES'!A$3:A$42)-ROW('DONNÉES BRUTES'!A$3))/1000,0),1),IF('DONNÉES BRUTES'!C$3:C$42="Technology",'DONNÉES BRUTES'!AB$3:AB$42+(ROW('DONNÉES BRUTES'!A$3:A$42)-ROW('DONNÉES BRUTES'!A$3))/1000,0),0))),"—")</f>
        <v/>
      </c>
      <c r="G11">
        <f t="array" ref="G11">IFERROR(IF(1&gt;COUNTIF('DONNÉES BRUTES'!C$3:C$42,"Technology"),"",INDEX('DONNÉES BRUTES'!Z$3:Z$42,MATCH(LARGE(IF('DONNÉES BRUTES'!C$3:C$42="Technology",'DONNÉES BRUTES'!AB$3:AB$42+(ROW('DONNÉES BRUTES'!A$3:A$42)-ROW('DONNÉES BRUTES'!A$3))/1000,0),1),IF('DONNÉES BRUTES'!C$3:C$42="Technology",'DONNÉES BRUTES'!AB$3:AB$42+(ROW('DONNÉES BRUTES'!A$3:A$42)-ROW('DONNÉES BRUTES'!A$3))/1000,0),0))),"—")</f>
        <v/>
      </c>
      <c r="H11">
        <f t="array" ref="H11">IFERROR(IF(1&gt;COUNTIF('DONNÉES BRUTES'!C$3:C$42,"Technology"),"",INDEX('DONNÉES BRUTES'!AA$3:AA$42,MATCH(LARGE(IF('DONNÉES BRUTES'!C$3:C$42="Technology",'DONNÉES BRUTES'!AB$3:AB$42+(ROW('DONNÉES BRUTES'!A$3:A$42)-ROW('DONNÉES BRUTES'!A$3))/1000,0),1),IF('DONNÉES BRUTES'!C$3:C$42="Technology",'DONNÉES BRUTES'!AB$3:AB$42+(ROW('DONNÉES BRUTES'!A$3:A$42)-ROW('DONNÉES BRUTES'!A$3))/1000,0),0))),"—")</f>
        <v/>
      </c>
      <c r="I11">
        <f t="array" ref="I11">IFERROR(IF(1&gt;COUNTIF('DONNÉES BRUTES'!C$3:C$42,"Technology"),"",INDEX('DONNÉES BRUTES'!M$3:M$42,MATCH(LARGE(IF('DONNÉES BRUTES'!C$3:C$42="Technology",'DONNÉES BRUTES'!AB$3:AB$42+(ROW('DONNÉES BRUTES'!A$3:A$42)-ROW('DONNÉES BRUTES'!A$3))/1000,0),1),IF('DONNÉES BRUTES'!C$3:C$42="Technology",'DONNÉES BRUTES'!AB$3:AB$42+(ROW('DONNÉES BRUTES'!A$3:A$42)-ROW('DONNÉES BRUTES'!A$3))/1000,0),0))),"—")</f>
        <v/>
      </c>
      <c r="J11">
        <f t="array" ref="J11">IFERROR(IF(1&gt;COUNTIF('DONNÉES BRUTES'!C$3:C$42,"Technology"),"",INDEX('DONNÉES BRUTES'!N$3:N$42,MATCH(LARGE(IF('DONNÉES BRUTES'!C$3:C$42="Technology",'DONNÉES BRUTES'!AB$3:AB$42+(ROW('DONNÉES BRUTES'!A$3:A$42)-ROW('DONNÉES BRUTES'!A$3))/1000,0),1),IF('DONNÉES BRUTES'!C$3:C$42="Technology",'DONNÉES BRUTES'!AB$3:AB$42+(ROW('DONNÉES BRUTES'!A$3:A$42)-ROW('DONNÉES BRUTES'!A$3))/1000,0),0))),"—")</f>
        <v/>
      </c>
      <c r="K11">
        <f t="array" ref="K11">IFERROR(IF(1&gt;COUNTIF('DONNÉES BRUTES'!C$3:C$42,"Technology"),"",INDEX('DONNÉES BRUTES'!O$3:O$42,MATCH(LARGE(IF('DONNÉES BRUTES'!C$3:C$42="Technology",'DONNÉES BRUTES'!AB$3:AB$42+(ROW('DONNÉES BRUTES'!A$3:A$42)-ROW('DONNÉES BRUTES'!A$3))/1000,0),1),IF('DONNÉES BRUTES'!C$3:C$42="Technology",'DONNÉES BRUTES'!AB$3:AB$42+(ROW('DONNÉES BRUTES'!A$3:A$42)-ROW('DONNÉES BRUTES'!A$3))/1000,0),0))),"—")</f>
        <v/>
      </c>
      <c r="L11">
        <f t="array" ref="L11">IFERROR(IF(1&gt;COUNTIF('DONNÉES BRUTES'!C$3:C$42,"Technology"),"",INDEX('DONNÉES BRUTES'!P$3:P$42,MATCH(LARGE(IF('DONNÉES BRUTES'!C$3:C$42="Technology",'DONNÉES BRUTES'!AB$3:AB$42+(ROW('DONNÉES BRUTES'!A$3:A$42)-ROW('DONNÉES BRUTES'!A$3))/1000,0),1),IF('DONNÉES BRUTES'!C$3:C$42="Technology",'DONNÉES BRUTES'!AB$3:AB$42+(ROW('DONNÉES BRUTES'!A$3:A$42)-ROW('DONNÉES BRUTES'!A$3))/1000,0),0))),"—")</f>
        <v/>
      </c>
      <c r="M11">
        <f t="array" ref="M11">IFERROR(IF(1&gt;COUNTIF('DONNÉES BRUTES'!C$3:C$42,"Technology"),"",INDEX('DONNÉES BRUTES'!Q$3:Q$42,MATCH(LARGE(IF('DONNÉES BRUTES'!C$3:C$42="Technology",'DONNÉES BRUTES'!AB$3:AB$42+(ROW('DONNÉES BRUTES'!A$3:A$42)-ROW('DONNÉES BRUTES'!A$3))/1000,0),1),IF('DONNÉES BRUTES'!C$3:C$42="Technology",'DONNÉES BRUTES'!AB$3:AB$42+(ROW('DONNÉES BRUTES'!A$3:A$42)-ROW('DONNÉES BRUTES'!A$3))/1000,0),0))),"—")</f>
        <v/>
      </c>
      <c r="N11">
        <f t="array" ref="N11">IFERROR(IF(1&gt;COUNTIF('DONNÉES BRUTES'!C$3:C$42,"Technology"),"",INDEX('DONNÉES BRUTES'!S$3:S$42,MATCH(LARGE(IF('DONNÉES BRUTES'!C$3:C$42="Technology",'DONNÉES BRUTES'!AB$3:AB$42+(ROW('DONNÉES BRUTES'!A$3:A$42)-ROW('DONNÉES BRUTES'!A$3))/1000,0),1),IF('DONNÉES BRUTES'!C$3:C$42="Technology",'DONNÉES BRUTES'!AB$3:AB$42+(ROW('DONNÉES BRUTES'!A$3:A$42)-ROW('DONNÉES BRUTES'!A$3))/1000,0),0))),"—")</f>
        <v/>
      </c>
      <c r="O11">
        <f t="array" ref="O11">IFERROR(IF(1&gt;COUNTIF('DONNÉES BRUTES'!C$3:C$42,"Technology"),"",INDEX('DONNÉES BRUTES'!T$3:T$42,MATCH(LARGE(IF('DONNÉES BRUTES'!C$3:C$42="Technology",'DONNÉES BRUTES'!AB$3:AB$42+(ROW('DONNÉES BRUTES'!A$3:A$42)-ROW('DONNÉES BRUTES'!A$3))/1000,0),1),IF('DONNÉES BRUTES'!C$3:C$42="Technology",'DONNÉES BRUTES'!AB$3:AB$42+(ROW('DONNÉES BRUTES'!A$3:A$42)-ROW('DONNÉES BRUTES'!A$3))/1000,0),0))),"—")</f>
        <v/>
      </c>
      <c r="P11">
        <f t="array" ref="P11">IFERROR(IF(1&gt;COUNTIF('DONNÉES BRUTES'!C$3:C$42,"Technology"),"",INDEX('DONNÉES BRUTES'!U$3:U$42,MATCH(LARGE(IF('DONNÉES BRUTES'!C$3:C$42="Technology",'DONNÉES BRUTES'!AB$3:AB$42+(ROW('DONNÉES BRUTES'!A$3:A$42)-ROW('DONNÉES BRUTES'!A$3))/1000,0),1),IF('DONNÉES BRUTES'!C$3:C$42="Technology",'DONNÉES BRUTES'!AB$3:AB$42+(ROW('DONNÉES BRUTES'!A$3:A$42)-ROW('DONNÉES BRUTES'!A$3))/1000,0),0))),"—")</f>
        <v/>
      </c>
      <c r="Q11">
        <f t="array" ref="Q11">IFERROR(IF(1&gt;COUNTIF('DONNÉES BRUTES'!C$3:C$42,"Technology"),"",INDEX('DONNÉES BRUTES'!AD$3:AD$42,MATCH(LARGE(IF('DONNÉES BRUTES'!C$3:C$42="Technology",'DONNÉES BRUTES'!AB$3:AB$42+(ROW('DONNÉES BRUTES'!A$3:A$42)-ROW('DONNÉES BRUTES'!A$3))/1000,0),1),IF('DONNÉES BRUTES'!C$3:C$42="Technology",'DONNÉES BRUTES'!AB$3:AB$42+(ROW('DONNÉES BRUTES'!A$3:A$42)-ROW('DONNÉES BRUTES'!A$3))/1000,0),0))),"—")</f>
        <v/>
      </c>
    </row>
    <row r="12" ht="15.95" customHeight="1">
      <c r="B12">
        <f>IF(2&gt;COUNTIF('DONNÉES BRUTES'!C$3:C$42,"Technology"),"",2)</f>
        <v/>
      </c>
      <c r="C12">
        <f t="array" ref="C12">IFERROR(IF(2&gt;COUNTIF('DONNÉES BRUTES'!C$3:C$42,"Technology"),"",INDEX('DONNÉES BRUTES'!A$3:A$42,MATCH(LARGE(IF('DONNÉES BRUTES'!C$3:C$42="Technology",'DONNÉES BRUTES'!AB$3:AB$42+(ROW('DONNÉES BRUTES'!A$3:A$42)-ROW('DONNÉES BRUTES'!A$3))/1000,0),2),IF('DONNÉES BRUTES'!C$3:C$42="Technology",'DONNÉES BRUTES'!AB$3:AB$42+(ROW('DONNÉES BRUTES'!A$3:A$42)-ROW('DONNÉES BRUTES'!A$3))/1000,0),0))),"—")</f>
        <v/>
      </c>
      <c r="D12">
        <f t="array" ref="D12">IFERROR(IF(2&gt;COUNTIF('DONNÉES BRUTES'!C$3:C$42,"Technology"),"",INDEX('DONNÉES BRUTES'!B$3:B$42,MATCH(LARGE(IF('DONNÉES BRUTES'!C$3:C$42="Technology",'DONNÉES BRUTES'!AB$3:AB$42+(ROW('DONNÉES BRUTES'!A$3:A$42)-ROW('DONNÉES BRUTES'!A$3))/1000,0),2),IF('DONNÉES BRUTES'!C$3:C$42="Technology",'DONNÉES BRUTES'!AB$3:AB$42+(ROW('DONNÉES BRUTES'!A$3:A$42)-ROW('DONNÉES BRUTES'!A$3))/1000,0),0))),"—")</f>
        <v/>
      </c>
      <c r="E12">
        <f t="array" ref="E12">IFERROR(IF(2&gt;COUNTIF('DONNÉES BRUTES'!C$3:C$42,"Technology"),"",INT(LARGE(IF('DONNÉES BRUTES'!C$3:C$42="Technology",'DONNÉES BRUTES'!AB$3:AB$42+(ROW('DONNÉES BRUTES'!A$3:A$42)-ROW('DONNÉES BRUTES'!A$3))/1000,0),2))&amp;"/100"),"—")</f>
        <v/>
      </c>
      <c r="F12">
        <f t="array" ref="F12">IFERROR(IF(2&gt;COUNTIF('DONNÉES BRUTES'!C$3:C$42,"Technology"),"",INDEX('DONNÉES BRUTES'!Y$3:Y$42,MATCH(LARGE(IF('DONNÉES BRUTES'!C$3:C$42="Technology",'DONNÉES BRUTES'!AB$3:AB$42+(ROW('DONNÉES BRUTES'!A$3:A$42)-ROW('DONNÉES BRUTES'!A$3))/1000,0),2),IF('DONNÉES BRUTES'!C$3:C$42="Technology",'DONNÉES BRUTES'!AB$3:AB$42+(ROW('DONNÉES BRUTES'!A$3:A$42)-ROW('DONNÉES BRUTES'!A$3))/1000,0),0))),"—")</f>
        <v/>
      </c>
      <c r="G12">
        <f t="array" ref="G12">IFERROR(IF(2&gt;COUNTIF('DONNÉES BRUTES'!C$3:C$42,"Technology"),"",INDEX('DONNÉES BRUTES'!Z$3:Z$42,MATCH(LARGE(IF('DONNÉES BRUTES'!C$3:C$42="Technology",'DONNÉES BRUTES'!AB$3:AB$42+(ROW('DONNÉES BRUTES'!A$3:A$42)-ROW('DONNÉES BRUTES'!A$3))/1000,0),2),IF('DONNÉES BRUTES'!C$3:C$42="Technology",'DONNÉES BRUTES'!AB$3:AB$42+(ROW('DONNÉES BRUTES'!A$3:A$42)-ROW('DONNÉES BRUTES'!A$3))/1000,0),0))),"—")</f>
        <v/>
      </c>
      <c r="H12">
        <f t="array" ref="H12">IFERROR(IF(2&gt;COUNTIF('DONNÉES BRUTES'!C$3:C$42,"Technology"),"",INDEX('DONNÉES BRUTES'!AA$3:AA$42,MATCH(LARGE(IF('DONNÉES BRUTES'!C$3:C$42="Technology",'DONNÉES BRUTES'!AB$3:AB$42+(ROW('DONNÉES BRUTES'!A$3:A$42)-ROW('DONNÉES BRUTES'!A$3))/1000,0),2),IF('DONNÉES BRUTES'!C$3:C$42="Technology",'DONNÉES BRUTES'!AB$3:AB$42+(ROW('DONNÉES BRUTES'!A$3:A$42)-ROW('DONNÉES BRUTES'!A$3))/1000,0),0))),"—")</f>
        <v/>
      </c>
      <c r="I12">
        <f t="array" ref="I12">IFERROR(IF(2&gt;COUNTIF('DONNÉES BRUTES'!C$3:C$42,"Technology"),"",INDEX('DONNÉES BRUTES'!M$3:M$42,MATCH(LARGE(IF('DONNÉES BRUTES'!C$3:C$42="Technology",'DONNÉES BRUTES'!AB$3:AB$42+(ROW('DONNÉES BRUTES'!A$3:A$42)-ROW('DONNÉES BRUTES'!A$3))/1000,0),2),IF('DONNÉES BRUTES'!C$3:C$42="Technology",'DONNÉES BRUTES'!AB$3:AB$42+(ROW('DONNÉES BRUTES'!A$3:A$42)-ROW('DONNÉES BRUTES'!A$3))/1000,0),0))),"—")</f>
        <v/>
      </c>
      <c r="J12">
        <f t="array" ref="J12">IFERROR(IF(2&gt;COUNTIF('DONNÉES BRUTES'!C$3:C$42,"Technology"),"",INDEX('DONNÉES BRUTES'!N$3:N$42,MATCH(LARGE(IF('DONNÉES BRUTES'!C$3:C$42="Technology",'DONNÉES BRUTES'!AB$3:AB$42+(ROW('DONNÉES BRUTES'!A$3:A$42)-ROW('DONNÉES BRUTES'!A$3))/1000,0),2),IF('DONNÉES BRUTES'!C$3:C$42="Technology",'DONNÉES BRUTES'!AB$3:AB$42+(ROW('DONNÉES BRUTES'!A$3:A$42)-ROW('DONNÉES BRUTES'!A$3))/1000,0),0))),"—")</f>
        <v/>
      </c>
      <c r="K12">
        <f t="array" ref="K12">IFERROR(IF(2&gt;COUNTIF('DONNÉES BRUTES'!C$3:C$42,"Technology"),"",INDEX('DONNÉES BRUTES'!O$3:O$42,MATCH(LARGE(IF('DONNÉES BRUTES'!C$3:C$42="Technology",'DONNÉES BRUTES'!AB$3:AB$42+(ROW('DONNÉES BRUTES'!A$3:A$42)-ROW('DONNÉES BRUTES'!A$3))/1000,0),2),IF('DONNÉES BRUTES'!C$3:C$42="Technology",'DONNÉES BRUTES'!AB$3:AB$42+(ROW('DONNÉES BRUTES'!A$3:A$42)-ROW('DONNÉES BRUTES'!A$3))/1000,0),0))),"—")</f>
        <v/>
      </c>
      <c r="L12">
        <f t="array" ref="L12">IFERROR(IF(2&gt;COUNTIF('DONNÉES BRUTES'!C$3:C$42,"Technology"),"",INDEX('DONNÉES BRUTES'!P$3:P$42,MATCH(LARGE(IF('DONNÉES BRUTES'!C$3:C$42="Technology",'DONNÉES BRUTES'!AB$3:AB$42+(ROW('DONNÉES BRUTES'!A$3:A$42)-ROW('DONNÉES BRUTES'!A$3))/1000,0),2),IF('DONNÉES BRUTES'!C$3:C$42="Technology",'DONNÉES BRUTES'!AB$3:AB$42+(ROW('DONNÉES BRUTES'!A$3:A$42)-ROW('DONNÉES BRUTES'!A$3))/1000,0),0))),"—")</f>
        <v/>
      </c>
      <c r="M12">
        <f t="array" ref="M12">IFERROR(IF(2&gt;COUNTIF('DONNÉES BRUTES'!C$3:C$42,"Technology"),"",INDEX('DONNÉES BRUTES'!Q$3:Q$42,MATCH(LARGE(IF('DONNÉES BRUTES'!C$3:C$42="Technology",'DONNÉES BRUTES'!AB$3:AB$42+(ROW('DONNÉES BRUTES'!A$3:A$42)-ROW('DONNÉES BRUTES'!A$3))/1000,0),2),IF('DONNÉES BRUTES'!C$3:C$42="Technology",'DONNÉES BRUTES'!AB$3:AB$42+(ROW('DONNÉES BRUTES'!A$3:A$42)-ROW('DONNÉES BRUTES'!A$3))/1000,0),0))),"—")</f>
        <v/>
      </c>
      <c r="N12">
        <f t="array" ref="N12">IFERROR(IF(2&gt;COUNTIF('DONNÉES BRUTES'!C$3:C$42,"Technology"),"",INDEX('DONNÉES BRUTES'!S$3:S$42,MATCH(LARGE(IF('DONNÉES BRUTES'!C$3:C$42="Technology",'DONNÉES BRUTES'!AB$3:AB$42+(ROW('DONNÉES BRUTES'!A$3:A$42)-ROW('DONNÉES BRUTES'!A$3))/1000,0),2),IF('DONNÉES BRUTES'!C$3:C$42="Technology",'DONNÉES BRUTES'!AB$3:AB$42+(ROW('DONNÉES BRUTES'!A$3:A$42)-ROW('DONNÉES BRUTES'!A$3))/1000,0),0))),"—")</f>
        <v/>
      </c>
      <c r="O12">
        <f t="array" ref="O12">IFERROR(IF(2&gt;COUNTIF('DONNÉES BRUTES'!C$3:C$42,"Technology"),"",INDEX('DONNÉES BRUTES'!T$3:T$42,MATCH(LARGE(IF('DONNÉES BRUTES'!C$3:C$42="Technology",'DONNÉES BRUTES'!AB$3:AB$42+(ROW('DONNÉES BRUTES'!A$3:A$42)-ROW('DONNÉES BRUTES'!A$3))/1000,0),2),IF('DONNÉES BRUTES'!C$3:C$42="Technology",'DONNÉES BRUTES'!AB$3:AB$42+(ROW('DONNÉES BRUTES'!A$3:A$42)-ROW('DONNÉES BRUTES'!A$3))/1000,0),0))),"—")</f>
        <v/>
      </c>
      <c r="P12">
        <f t="array" ref="P12">IFERROR(IF(2&gt;COUNTIF('DONNÉES BRUTES'!C$3:C$42,"Technology"),"",INDEX('DONNÉES BRUTES'!U$3:U$42,MATCH(LARGE(IF('DONNÉES BRUTES'!C$3:C$42="Technology",'DONNÉES BRUTES'!AB$3:AB$42+(ROW('DONNÉES BRUTES'!A$3:A$42)-ROW('DONNÉES BRUTES'!A$3))/1000,0),2),IF('DONNÉES BRUTES'!C$3:C$42="Technology",'DONNÉES BRUTES'!AB$3:AB$42+(ROW('DONNÉES BRUTES'!A$3:A$42)-ROW('DONNÉES BRUTES'!A$3))/1000,0),0))),"—")</f>
        <v/>
      </c>
      <c r="Q12">
        <f t="array" ref="Q12">IFERROR(IF(2&gt;COUNTIF('DONNÉES BRUTES'!C$3:C$42,"Technology"),"",INDEX('DONNÉES BRUTES'!AD$3:AD$42,MATCH(LARGE(IF('DONNÉES BRUTES'!C$3:C$42="Technology",'DONNÉES BRUTES'!AB$3:AB$42+(ROW('DONNÉES BRUTES'!A$3:A$42)-ROW('DONNÉES BRUTES'!A$3))/1000,0),2),IF('DONNÉES BRUTES'!C$3:C$42="Technology",'DONNÉES BRUTES'!AB$3:AB$42+(ROW('DONNÉES BRUTES'!A$3:A$42)-ROW('DONNÉES BRUTES'!A$3))/1000,0),0))),"—")</f>
        <v/>
      </c>
    </row>
    <row r="13" ht="15.95" customHeight="1">
      <c r="B13">
        <f>IF(3&gt;COUNTIF('DONNÉES BRUTES'!C$3:C$42,"Technology"),"",3)</f>
        <v/>
      </c>
      <c r="C13">
        <f t="array" ref="C13">IFERROR(IF(3&gt;COUNTIF('DONNÉES BRUTES'!C$3:C$42,"Technology"),"",INDEX('DONNÉES BRUTES'!A$3:A$42,MATCH(LARGE(IF('DONNÉES BRUTES'!C$3:C$42="Technology",'DONNÉES BRUTES'!AB$3:AB$42+(ROW('DONNÉES BRUTES'!A$3:A$42)-ROW('DONNÉES BRUTES'!A$3))/1000,0),3),IF('DONNÉES BRUTES'!C$3:C$42="Technology",'DONNÉES BRUTES'!AB$3:AB$42+(ROW('DONNÉES BRUTES'!A$3:A$42)-ROW('DONNÉES BRUTES'!A$3))/1000,0),0))),"—")</f>
        <v/>
      </c>
      <c r="D13">
        <f t="array" ref="D13">IFERROR(IF(3&gt;COUNTIF('DONNÉES BRUTES'!C$3:C$42,"Technology"),"",INDEX('DONNÉES BRUTES'!B$3:B$42,MATCH(LARGE(IF('DONNÉES BRUTES'!C$3:C$42="Technology",'DONNÉES BRUTES'!AB$3:AB$42+(ROW('DONNÉES BRUTES'!A$3:A$42)-ROW('DONNÉES BRUTES'!A$3))/1000,0),3),IF('DONNÉES BRUTES'!C$3:C$42="Technology",'DONNÉES BRUTES'!AB$3:AB$42+(ROW('DONNÉES BRUTES'!A$3:A$42)-ROW('DONNÉES BRUTES'!A$3))/1000,0),0))),"—")</f>
        <v/>
      </c>
      <c r="E13">
        <f t="array" ref="E13">IFERROR(IF(3&gt;COUNTIF('DONNÉES BRUTES'!C$3:C$42,"Technology"),"",INT(LARGE(IF('DONNÉES BRUTES'!C$3:C$42="Technology",'DONNÉES BRUTES'!AB$3:AB$42+(ROW('DONNÉES BRUTES'!A$3:A$42)-ROW('DONNÉES BRUTES'!A$3))/1000,0),3))&amp;"/100"),"—")</f>
        <v/>
      </c>
      <c r="F13">
        <f t="array" ref="F13">IFERROR(IF(3&gt;COUNTIF('DONNÉES BRUTES'!C$3:C$42,"Technology"),"",INDEX('DONNÉES BRUTES'!Y$3:Y$42,MATCH(LARGE(IF('DONNÉES BRUTES'!C$3:C$42="Technology",'DONNÉES BRUTES'!AB$3:AB$42+(ROW('DONNÉES BRUTES'!A$3:A$42)-ROW('DONNÉES BRUTES'!A$3))/1000,0),3),IF('DONNÉES BRUTES'!C$3:C$42="Technology",'DONNÉES BRUTES'!AB$3:AB$42+(ROW('DONNÉES BRUTES'!A$3:A$42)-ROW('DONNÉES BRUTES'!A$3))/1000,0),0))),"—")</f>
        <v/>
      </c>
      <c r="G13">
        <f t="array" ref="G13">IFERROR(IF(3&gt;COUNTIF('DONNÉES BRUTES'!C$3:C$42,"Technology"),"",INDEX('DONNÉES BRUTES'!Z$3:Z$42,MATCH(LARGE(IF('DONNÉES BRUTES'!C$3:C$42="Technology",'DONNÉES BRUTES'!AB$3:AB$42+(ROW('DONNÉES BRUTES'!A$3:A$42)-ROW('DONNÉES BRUTES'!A$3))/1000,0),3),IF('DONNÉES BRUTES'!C$3:C$42="Technology",'DONNÉES BRUTES'!AB$3:AB$42+(ROW('DONNÉES BRUTES'!A$3:A$42)-ROW('DONNÉES BRUTES'!A$3))/1000,0),0))),"—")</f>
        <v/>
      </c>
      <c r="H13">
        <f t="array" ref="H13">IFERROR(IF(3&gt;COUNTIF('DONNÉES BRUTES'!C$3:C$42,"Technology"),"",INDEX('DONNÉES BRUTES'!AA$3:AA$42,MATCH(LARGE(IF('DONNÉES BRUTES'!C$3:C$42="Technology",'DONNÉES BRUTES'!AB$3:AB$42+(ROW('DONNÉES BRUTES'!A$3:A$42)-ROW('DONNÉES BRUTES'!A$3))/1000,0),3),IF('DONNÉES BRUTES'!C$3:C$42="Technology",'DONNÉES BRUTES'!AB$3:AB$42+(ROW('DONNÉES BRUTES'!A$3:A$42)-ROW('DONNÉES BRUTES'!A$3))/1000,0),0))),"—")</f>
        <v/>
      </c>
      <c r="I13">
        <f t="array" ref="I13">IFERROR(IF(3&gt;COUNTIF('DONNÉES BRUTES'!C$3:C$42,"Technology"),"",INDEX('DONNÉES BRUTES'!M$3:M$42,MATCH(LARGE(IF('DONNÉES BRUTES'!C$3:C$42="Technology",'DONNÉES BRUTES'!AB$3:AB$42+(ROW('DONNÉES BRUTES'!A$3:A$42)-ROW('DONNÉES BRUTES'!A$3))/1000,0),3),IF('DONNÉES BRUTES'!C$3:C$42="Technology",'DONNÉES BRUTES'!AB$3:AB$42+(ROW('DONNÉES BRUTES'!A$3:A$42)-ROW('DONNÉES BRUTES'!A$3))/1000,0),0))),"—")</f>
        <v/>
      </c>
      <c r="J13">
        <f t="array" ref="J13">IFERROR(IF(3&gt;COUNTIF('DONNÉES BRUTES'!C$3:C$42,"Technology"),"",INDEX('DONNÉES BRUTES'!N$3:N$42,MATCH(LARGE(IF('DONNÉES BRUTES'!C$3:C$42="Technology",'DONNÉES BRUTES'!AB$3:AB$42+(ROW('DONNÉES BRUTES'!A$3:A$42)-ROW('DONNÉES BRUTES'!A$3))/1000,0),3),IF('DONNÉES BRUTES'!C$3:C$42="Technology",'DONNÉES BRUTES'!AB$3:AB$42+(ROW('DONNÉES BRUTES'!A$3:A$42)-ROW('DONNÉES BRUTES'!A$3))/1000,0),0))),"—")</f>
        <v/>
      </c>
      <c r="K13">
        <f t="array" ref="K13">IFERROR(IF(3&gt;COUNTIF('DONNÉES BRUTES'!C$3:C$42,"Technology"),"",INDEX('DONNÉES BRUTES'!O$3:O$42,MATCH(LARGE(IF('DONNÉES BRUTES'!C$3:C$42="Technology",'DONNÉES BRUTES'!AB$3:AB$42+(ROW('DONNÉES BRUTES'!A$3:A$42)-ROW('DONNÉES BRUTES'!A$3))/1000,0),3),IF('DONNÉES BRUTES'!C$3:C$42="Technology",'DONNÉES BRUTES'!AB$3:AB$42+(ROW('DONNÉES BRUTES'!A$3:A$42)-ROW('DONNÉES BRUTES'!A$3))/1000,0),0))),"—")</f>
        <v/>
      </c>
      <c r="L13">
        <f t="array" ref="L13">IFERROR(IF(3&gt;COUNTIF('DONNÉES BRUTES'!C$3:C$42,"Technology"),"",INDEX('DONNÉES BRUTES'!P$3:P$42,MATCH(LARGE(IF('DONNÉES BRUTES'!C$3:C$42="Technology",'DONNÉES BRUTES'!AB$3:AB$42+(ROW('DONNÉES BRUTES'!A$3:A$42)-ROW('DONNÉES BRUTES'!A$3))/1000,0),3),IF('DONNÉES BRUTES'!C$3:C$42="Technology",'DONNÉES BRUTES'!AB$3:AB$42+(ROW('DONNÉES BRUTES'!A$3:A$42)-ROW('DONNÉES BRUTES'!A$3))/1000,0),0))),"—")</f>
        <v/>
      </c>
      <c r="M13">
        <f t="array" ref="M13">IFERROR(IF(3&gt;COUNTIF('DONNÉES BRUTES'!C$3:C$42,"Technology"),"",INDEX('DONNÉES BRUTES'!Q$3:Q$42,MATCH(LARGE(IF('DONNÉES BRUTES'!C$3:C$42="Technology",'DONNÉES BRUTES'!AB$3:AB$42+(ROW('DONNÉES BRUTES'!A$3:A$42)-ROW('DONNÉES BRUTES'!A$3))/1000,0),3),IF('DONNÉES BRUTES'!C$3:C$42="Technology",'DONNÉES BRUTES'!AB$3:AB$42+(ROW('DONNÉES BRUTES'!A$3:A$42)-ROW('DONNÉES BRUTES'!A$3))/1000,0),0))),"—")</f>
        <v/>
      </c>
      <c r="N13">
        <f t="array" ref="N13">IFERROR(IF(3&gt;COUNTIF('DONNÉES BRUTES'!C$3:C$42,"Technology"),"",INDEX('DONNÉES BRUTES'!S$3:S$42,MATCH(LARGE(IF('DONNÉES BRUTES'!C$3:C$42="Technology",'DONNÉES BRUTES'!AB$3:AB$42+(ROW('DONNÉES BRUTES'!A$3:A$42)-ROW('DONNÉES BRUTES'!A$3))/1000,0),3),IF('DONNÉES BRUTES'!C$3:C$42="Technology",'DONNÉES BRUTES'!AB$3:AB$42+(ROW('DONNÉES BRUTES'!A$3:A$42)-ROW('DONNÉES BRUTES'!A$3))/1000,0),0))),"—")</f>
        <v/>
      </c>
      <c r="O13">
        <f t="array" ref="O13">IFERROR(IF(3&gt;COUNTIF('DONNÉES BRUTES'!C$3:C$42,"Technology"),"",INDEX('DONNÉES BRUTES'!T$3:T$42,MATCH(LARGE(IF('DONNÉES BRUTES'!C$3:C$42="Technology",'DONNÉES BRUTES'!AB$3:AB$42+(ROW('DONNÉES BRUTES'!A$3:A$42)-ROW('DONNÉES BRUTES'!A$3))/1000,0),3),IF('DONNÉES BRUTES'!C$3:C$42="Technology",'DONNÉES BRUTES'!AB$3:AB$42+(ROW('DONNÉES BRUTES'!A$3:A$42)-ROW('DONNÉES BRUTES'!A$3))/1000,0),0))),"—")</f>
        <v/>
      </c>
      <c r="P13">
        <f t="array" ref="P13">IFERROR(IF(3&gt;COUNTIF('DONNÉES BRUTES'!C$3:C$42,"Technology"),"",INDEX('DONNÉES BRUTES'!U$3:U$42,MATCH(LARGE(IF('DONNÉES BRUTES'!C$3:C$42="Technology",'DONNÉES BRUTES'!AB$3:AB$42+(ROW('DONNÉES BRUTES'!A$3:A$42)-ROW('DONNÉES BRUTES'!A$3))/1000,0),3),IF('DONNÉES BRUTES'!C$3:C$42="Technology",'DONNÉES BRUTES'!AB$3:AB$42+(ROW('DONNÉES BRUTES'!A$3:A$42)-ROW('DONNÉES BRUTES'!A$3))/1000,0),0))),"—")</f>
        <v/>
      </c>
      <c r="Q13">
        <f t="array" ref="Q13">IFERROR(IF(3&gt;COUNTIF('DONNÉES BRUTES'!C$3:C$42,"Technology"),"",INDEX('DONNÉES BRUTES'!AD$3:AD$42,MATCH(LARGE(IF('DONNÉES BRUTES'!C$3:C$42="Technology",'DONNÉES BRUTES'!AB$3:AB$42+(ROW('DONNÉES BRUTES'!A$3:A$42)-ROW('DONNÉES BRUTES'!A$3))/1000,0),3),IF('DONNÉES BRUTES'!C$3:C$42="Technology",'DONNÉES BRUTES'!AB$3:AB$42+(ROW('DONNÉES BRUTES'!A$3:A$42)-ROW('DONNÉES BRUTES'!A$3))/1000,0),0))),"—")</f>
        <v/>
      </c>
    </row>
    <row r="14" ht="15.95" customHeight="1">
      <c r="B14">
        <f>IF(4&gt;COUNTIF('DONNÉES BRUTES'!C$3:C$42,"Technology"),"",4)</f>
        <v/>
      </c>
      <c r="C14">
        <f t="array" ref="C14">IFERROR(IF(4&gt;COUNTIF('DONNÉES BRUTES'!C$3:C$42,"Technology"),"",INDEX('DONNÉES BRUTES'!A$3:A$42,MATCH(LARGE(IF('DONNÉES BRUTES'!C$3:C$42="Technology",'DONNÉES BRUTES'!AB$3:AB$42+(ROW('DONNÉES BRUTES'!A$3:A$42)-ROW('DONNÉES BRUTES'!A$3))/1000,0),4),IF('DONNÉES BRUTES'!C$3:C$42="Technology",'DONNÉES BRUTES'!AB$3:AB$42+(ROW('DONNÉES BRUTES'!A$3:A$42)-ROW('DONNÉES BRUTES'!A$3))/1000,0),0))),"—")</f>
        <v/>
      </c>
      <c r="D14">
        <f t="array" ref="D14">IFERROR(IF(4&gt;COUNTIF('DONNÉES BRUTES'!C$3:C$42,"Technology"),"",INDEX('DONNÉES BRUTES'!B$3:B$42,MATCH(LARGE(IF('DONNÉES BRUTES'!C$3:C$42="Technology",'DONNÉES BRUTES'!AB$3:AB$42+(ROW('DONNÉES BRUTES'!A$3:A$42)-ROW('DONNÉES BRUTES'!A$3))/1000,0),4),IF('DONNÉES BRUTES'!C$3:C$42="Technology",'DONNÉES BRUTES'!AB$3:AB$42+(ROW('DONNÉES BRUTES'!A$3:A$42)-ROW('DONNÉES BRUTES'!A$3))/1000,0),0))),"—")</f>
        <v/>
      </c>
      <c r="E14">
        <f t="array" ref="E14">IFERROR(IF(4&gt;COUNTIF('DONNÉES BRUTES'!C$3:C$42,"Technology"),"",INT(LARGE(IF('DONNÉES BRUTES'!C$3:C$42="Technology",'DONNÉES BRUTES'!AB$3:AB$42+(ROW('DONNÉES BRUTES'!A$3:A$42)-ROW('DONNÉES BRUTES'!A$3))/1000,0),4))&amp;"/100"),"—")</f>
        <v/>
      </c>
      <c r="F14">
        <f t="array" ref="F14">IFERROR(IF(4&gt;COUNTIF('DONNÉES BRUTES'!C$3:C$42,"Technology"),"",INDEX('DONNÉES BRUTES'!Y$3:Y$42,MATCH(LARGE(IF('DONNÉES BRUTES'!C$3:C$42="Technology",'DONNÉES BRUTES'!AB$3:AB$42+(ROW('DONNÉES BRUTES'!A$3:A$42)-ROW('DONNÉES BRUTES'!A$3))/1000,0),4),IF('DONNÉES BRUTES'!C$3:C$42="Technology",'DONNÉES BRUTES'!AB$3:AB$42+(ROW('DONNÉES BRUTES'!A$3:A$42)-ROW('DONNÉES BRUTES'!A$3))/1000,0),0))),"—")</f>
        <v/>
      </c>
      <c r="G14">
        <f t="array" ref="G14">IFERROR(IF(4&gt;COUNTIF('DONNÉES BRUTES'!C$3:C$42,"Technology"),"",INDEX('DONNÉES BRUTES'!Z$3:Z$42,MATCH(LARGE(IF('DONNÉES BRUTES'!C$3:C$42="Technology",'DONNÉES BRUTES'!AB$3:AB$42+(ROW('DONNÉES BRUTES'!A$3:A$42)-ROW('DONNÉES BRUTES'!A$3))/1000,0),4),IF('DONNÉES BRUTES'!C$3:C$42="Technology",'DONNÉES BRUTES'!AB$3:AB$42+(ROW('DONNÉES BRUTES'!A$3:A$42)-ROW('DONNÉES BRUTES'!A$3))/1000,0),0))),"—")</f>
        <v/>
      </c>
      <c r="H14">
        <f t="array" ref="H14">IFERROR(IF(4&gt;COUNTIF('DONNÉES BRUTES'!C$3:C$42,"Technology"),"",INDEX('DONNÉES BRUTES'!AA$3:AA$42,MATCH(LARGE(IF('DONNÉES BRUTES'!C$3:C$42="Technology",'DONNÉES BRUTES'!AB$3:AB$42+(ROW('DONNÉES BRUTES'!A$3:A$42)-ROW('DONNÉES BRUTES'!A$3))/1000,0),4),IF('DONNÉES BRUTES'!C$3:C$42="Technology",'DONNÉES BRUTES'!AB$3:AB$42+(ROW('DONNÉES BRUTES'!A$3:A$42)-ROW('DONNÉES BRUTES'!A$3))/1000,0),0))),"—")</f>
        <v/>
      </c>
      <c r="I14">
        <f t="array" ref="I14">IFERROR(IF(4&gt;COUNTIF('DONNÉES BRUTES'!C$3:C$42,"Technology"),"",INDEX('DONNÉES BRUTES'!M$3:M$42,MATCH(LARGE(IF('DONNÉES BRUTES'!C$3:C$42="Technology",'DONNÉES BRUTES'!AB$3:AB$42+(ROW('DONNÉES BRUTES'!A$3:A$42)-ROW('DONNÉES BRUTES'!A$3))/1000,0),4),IF('DONNÉES BRUTES'!C$3:C$42="Technology",'DONNÉES BRUTES'!AB$3:AB$42+(ROW('DONNÉES BRUTES'!A$3:A$42)-ROW('DONNÉES BRUTES'!A$3))/1000,0),0))),"—")</f>
        <v/>
      </c>
      <c r="J14">
        <f t="array" ref="J14">IFERROR(IF(4&gt;COUNTIF('DONNÉES BRUTES'!C$3:C$42,"Technology"),"",INDEX('DONNÉES BRUTES'!N$3:N$42,MATCH(LARGE(IF('DONNÉES BRUTES'!C$3:C$42="Technology",'DONNÉES BRUTES'!AB$3:AB$42+(ROW('DONNÉES BRUTES'!A$3:A$42)-ROW('DONNÉES BRUTES'!A$3))/1000,0),4),IF('DONNÉES BRUTES'!C$3:C$42="Technology",'DONNÉES BRUTES'!AB$3:AB$42+(ROW('DONNÉES BRUTES'!A$3:A$42)-ROW('DONNÉES BRUTES'!A$3))/1000,0),0))),"—")</f>
        <v/>
      </c>
      <c r="K14">
        <f t="array" ref="K14">IFERROR(IF(4&gt;COUNTIF('DONNÉES BRUTES'!C$3:C$42,"Technology"),"",INDEX('DONNÉES BRUTES'!O$3:O$42,MATCH(LARGE(IF('DONNÉES BRUTES'!C$3:C$42="Technology",'DONNÉES BRUTES'!AB$3:AB$42+(ROW('DONNÉES BRUTES'!A$3:A$42)-ROW('DONNÉES BRUTES'!A$3))/1000,0),4),IF('DONNÉES BRUTES'!C$3:C$42="Technology",'DONNÉES BRUTES'!AB$3:AB$42+(ROW('DONNÉES BRUTES'!A$3:A$42)-ROW('DONNÉES BRUTES'!A$3))/1000,0),0))),"—")</f>
        <v/>
      </c>
      <c r="L14">
        <f t="array" ref="L14">IFERROR(IF(4&gt;COUNTIF('DONNÉES BRUTES'!C$3:C$42,"Technology"),"",INDEX('DONNÉES BRUTES'!P$3:P$42,MATCH(LARGE(IF('DONNÉES BRUTES'!C$3:C$42="Technology",'DONNÉES BRUTES'!AB$3:AB$42+(ROW('DONNÉES BRUTES'!A$3:A$42)-ROW('DONNÉES BRUTES'!A$3))/1000,0),4),IF('DONNÉES BRUTES'!C$3:C$42="Technology",'DONNÉES BRUTES'!AB$3:AB$42+(ROW('DONNÉES BRUTES'!A$3:A$42)-ROW('DONNÉES BRUTES'!A$3))/1000,0),0))),"—")</f>
        <v/>
      </c>
      <c r="M14">
        <f t="array" ref="M14">IFERROR(IF(4&gt;COUNTIF('DONNÉES BRUTES'!C$3:C$42,"Technology"),"",INDEX('DONNÉES BRUTES'!Q$3:Q$42,MATCH(LARGE(IF('DONNÉES BRUTES'!C$3:C$42="Technology",'DONNÉES BRUTES'!AB$3:AB$42+(ROW('DONNÉES BRUTES'!A$3:A$42)-ROW('DONNÉES BRUTES'!A$3))/1000,0),4),IF('DONNÉES BRUTES'!C$3:C$42="Technology",'DONNÉES BRUTES'!AB$3:AB$42+(ROW('DONNÉES BRUTES'!A$3:A$42)-ROW('DONNÉES BRUTES'!A$3))/1000,0),0))),"—")</f>
        <v/>
      </c>
      <c r="N14">
        <f t="array" ref="N14">IFERROR(IF(4&gt;COUNTIF('DONNÉES BRUTES'!C$3:C$42,"Technology"),"",INDEX('DONNÉES BRUTES'!S$3:S$42,MATCH(LARGE(IF('DONNÉES BRUTES'!C$3:C$42="Technology",'DONNÉES BRUTES'!AB$3:AB$42+(ROW('DONNÉES BRUTES'!A$3:A$42)-ROW('DONNÉES BRUTES'!A$3))/1000,0),4),IF('DONNÉES BRUTES'!C$3:C$42="Technology",'DONNÉES BRUTES'!AB$3:AB$42+(ROW('DONNÉES BRUTES'!A$3:A$42)-ROW('DONNÉES BRUTES'!A$3))/1000,0),0))),"—")</f>
        <v/>
      </c>
      <c r="O14">
        <f t="array" ref="O14">IFERROR(IF(4&gt;COUNTIF('DONNÉES BRUTES'!C$3:C$42,"Technology"),"",INDEX('DONNÉES BRUTES'!T$3:T$42,MATCH(LARGE(IF('DONNÉES BRUTES'!C$3:C$42="Technology",'DONNÉES BRUTES'!AB$3:AB$42+(ROW('DONNÉES BRUTES'!A$3:A$42)-ROW('DONNÉES BRUTES'!A$3))/1000,0),4),IF('DONNÉES BRUTES'!C$3:C$42="Technology",'DONNÉES BRUTES'!AB$3:AB$42+(ROW('DONNÉES BRUTES'!A$3:A$42)-ROW('DONNÉES BRUTES'!A$3))/1000,0),0))),"—")</f>
        <v/>
      </c>
      <c r="P14">
        <f t="array" ref="P14">IFERROR(IF(4&gt;COUNTIF('DONNÉES BRUTES'!C$3:C$42,"Technology"),"",INDEX('DONNÉES BRUTES'!U$3:U$42,MATCH(LARGE(IF('DONNÉES BRUTES'!C$3:C$42="Technology",'DONNÉES BRUTES'!AB$3:AB$42+(ROW('DONNÉES BRUTES'!A$3:A$42)-ROW('DONNÉES BRUTES'!A$3))/1000,0),4),IF('DONNÉES BRUTES'!C$3:C$42="Technology",'DONNÉES BRUTES'!AB$3:AB$42+(ROW('DONNÉES BRUTES'!A$3:A$42)-ROW('DONNÉES BRUTES'!A$3))/1000,0),0))),"—")</f>
        <v/>
      </c>
      <c r="Q14">
        <f t="array" ref="Q14">IFERROR(IF(4&gt;COUNTIF('DONNÉES BRUTES'!C$3:C$42,"Technology"),"",INDEX('DONNÉES BRUTES'!AD$3:AD$42,MATCH(LARGE(IF('DONNÉES BRUTES'!C$3:C$42="Technology",'DONNÉES BRUTES'!AB$3:AB$42+(ROW('DONNÉES BRUTES'!A$3:A$42)-ROW('DONNÉES BRUTES'!A$3))/1000,0),4),IF('DONNÉES BRUTES'!C$3:C$42="Technology",'DONNÉES BRUTES'!AB$3:AB$42+(ROW('DONNÉES BRUTES'!A$3:A$42)-ROW('DONNÉES BRUTES'!A$3))/1000,0),0))),"—")</f>
        <v/>
      </c>
    </row>
    <row r="15" ht="15.95" customHeight="1">
      <c r="B15">
        <f>IF(5&gt;COUNTIF('DONNÉES BRUTES'!C$3:C$42,"Technology"),"",5)</f>
        <v/>
      </c>
      <c r="C15">
        <f t="array" ref="C15">IFERROR(IF(5&gt;COUNTIF('DONNÉES BRUTES'!C$3:C$42,"Technology"),"",INDEX('DONNÉES BRUTES'!A$3:A$42,MATCH(LARGE(IF('DONNÉES BRUTES'!C$3:C$42="Technology",'DONNÉES BRUTES'!AB$3:AB$42+(ROW('DONNÉES BRUTES'!A$3:A$42)-ROW('DONNÉES BRUTES'!A$3))/1000,0),5),IF('DONNÉES BRUTES'!C$3:C$42="Technology",'DONNÉES BRUTES'!AB$3:AB$42+(ROW('DONNÉES BRUTES'!A$3:A$42)-ROW('DONNÉES BRUTES'!A$3))/1000,0),0))),"—")</f>
        <v/>
      </c>
      <c r="D15">
        <f t="array" ref="D15">IFERROR(IF(5&gt;COUNTIF('DONNÉES BRUTES'!C$3:C$42,"Technology"),"",INDEX('DONNÉES BRUTES'!B$3:B$42,MATCH(LARGE(IF('DONNÉES BRUTES'!C$3:C$42="Technology",'DONNÉES BRUTES'!AB$3:AB$42+(ROW('DONNÉES BRUTES'!A$3:A$42)-ROW('DONNÉES BRUTES'!A$3))/1000,0),5),IF('DONNÉES BRUTES'!C$3:C$42="Technology",'DONNÉES BRUTES'!AB$3:AB$42+(ROW('DONNÉES BRUTES'!A$3:A$42)-ROW('DONNÉES BRUTES'!A$3))/1000,0),0))),"—")</f>
        <v/>
      </c>
      <c r="E15">
        <f t="array" ref="E15">IFERROR(IF(5&gt;COUNTIF('DONNÉES BRUTES'!C$3:C$42,"Technology"),"",INT(LARGE(IF('DONNÉES BRUTES'!C$3:C$42="Technology",'DONNÉES BRUTES'!AB$3:AB$42+(ROW('DONNÉES BRUTES'!A$3:A$42)-ROW('DONNÉES BRUTES'!A$3))/1000,0),5))&amp;"/100"),"—")</f>
        <v/>
      </c>
      <c r="F15">
        <f t="array" ref="F15">IFERROR(IF(5&gt;COUNTIF('DONNÉES BRUTES'!C$3:C$42,"Technology"),"",INDEX('DONNÉES BRUTES'!Y$3:Y$42,MATCH(LARGE(IF('DONNÉES BRUTES'!C$3:C$42="Technology",'DONNÉES BRUTES'!AB$3:AB$42+(ROW('DONNÉES BRUTES'!A$3:A$42)-ROW('DONNÉES BRUTES'!A$3))/1000,0),5),IF('DONNÉES BRUTES'!C$3:C$42="Technology",'DONNÉES BRUTES'!AB$3:AB$42+(ROW('DONNÉES BRUTES'!A$3:A$42)-ROW('DONNÉES BRUTES'!A$3))/1000,0),0))),"—")</f>
        <v/>
      </c>
      <c r="G15">
        <f t="array" ref="G15">IFERROR(IF(5&gt;COUNTIF('DONNÉES BRUTES'!C$3:C$42,"Technology"),"",INDEX('DONNÉES BRUTES'!Z$3:Z$42,MATCH(LARGE(IF('DONNÉES BRUTES'!C$3:C$42="Technology",'DONNÉES BRUTES'!AB$3:AB$42+(ROW('DONNÉES BRUTES'!A$3:A$42)-ROW('DONNÉES BRUTES'!A$3))/1000,0),5),IF('DONNÉES BRUTES'!C$3:C$42="Technology",'DONNÉES BRUTES'!AB$3:AB$42+(ROW('DONNÉES BRUTES'!A$3:A$42)-ROW('DONNÉES BRUTES'!A$3))/1000,0),0))),"—")</f>
        <v/>
      </c>
      <c r="H15">
        <f t="array" ref="H15">IFERROR(IF(5&gt;COUNTIF('DONNÉES BRUTES'!C$3:C$42,"Technology"),"",INDEX('DONNÉES BRUTES'!AA$3:AA$42,MATCH(LARGE(IF('DONNÉES BRUTES'!C$3:C$42="Technology",'DONNÉES BRUTES'!AB$3:AB$42+(ROW('DONNÉES BRUTES'!A$3:A$42)-ROW('DONNÉES BRUTES'!A$3))/1000,0),5),IF('DONNÉES BRUTES'!C$3:C$42="Technology",'DONNÉES BRUTES'!AB$3:AB$42+(ROW('DONNÉES BRUTES'!A$3:A$42)-ROW('DONNÉES BRUTES'!A$3))/1000,0),0))),"—")</f>
        <v/>
      </c>
      <c r="I15">
        <f t="array" ref="I15">IFERROR(IF(5&gt;COUNTIF('DONNÉES BRUTES'!C$3:C$42,"Technology"),"",INDEX('DONNÉES BRUTES'!M$3:M$42,MATCH(LARGE(IF('DONNÉES BRUTES'!C$3:C$42="Technology",'DONNÉES BRUTES'!AB$3:AB$42+(ROW('DONNÉES BRUTES'!A$3:A$42)-ROW('DONNÉES BRUTES'!A$3))/1000,0),5),IF('DONNÉES BRUTES'!C$3:C$42="Technology",'DONNÉES BRUTES'!AB$3:AB$42+(ROW('DONNÉES BRUTES'!A$3:A$42)-ROW('DONNÉES BRUTES'!A$3))/1000,0),0))),"—")</f>
        <v/>
      </c>
      <c r="J15">
        <f t="array" ref="J15">IFERROR(IF(5&gt;COUNTIF('DONNÉES BRUTES'!C$3:C$42,"Technology"),"",INDEX('DONNÉES BRUTES'!N$3:N$42,MATCH(LARGE(IF('DONNÉES BRUTES'!C$3:C$42="Technology",'DONNÉES BRUTES'!AB$3:AB$42+(ROW('DONNÉES BRUTES'!A$3:A$42)-ROW('DONNÉES BRUTES'!A$3))/1000,0),5),IF('DONNÉES BRUTES'!C$3:C$42="Technology",'DONNÉES BRUTES'!AB$3:AB$42+(ROW('DONNÉES BRUTES'!A$3:A$42)-ROW('DONNÉES BRUTES'!A$3))/1000,0),0))),"—")</f>
        <v/>
      </c>
      <c r="K15">
        <f t="array" ref="K15">IFERROR(IF(5&gt;COUNTIF('DONNÉES BRUTES'!C$3:C$42,"Technology"),"",INDEX('DONNÉES BRUTES'!O$3:O$42,MATCH(LARGE(IF('DONNÉES BRUTES'!C$3:C$42="Technology",'DONNÉES BRUTES'!AB$3:AB$42+(ROW('DONNÉES BRUTES'!A$3:A$42)-ROW('DONNÉES BRUTES'!A$3))/1000,0),5),IF('DONNÉES BRUTES'!C$3:C$42="Technology",'DONNÉES BRUTES'!AB$3:AB$42+(ROW('DONNÉES BRUTES'!A$3:A$42)-ROW('DONNÉES BRUTES'!A$3))/1000,0),0))),"—")</f>
        <v/>
      </c>
      <c r="L15">
        <f t="array" ref="L15">IFERROR(IF(5&gt;COUNTIF('DONNÉES BRUTES'!C$3:C$42,"Technology"),"",INDEX('DONNÉES BRUTES'!P$3:P$42,MATCH(LARGE(IF('DONNÉES BRUTES'!C$3:C$42="Technology",'DONNÉES BRUTES'!AB$3:AB$42+(ROW('DONNÉES BRUTES'!A$3:A$42)-ROW('DONNÉES BRUTES'!A$3))/1000,0),5),IF('DONNÉES BRUTES'!C$3:C$42="Technology",'DONNÉES BRUTES'!AB$3:AB$42+(ROW('DONNÉES BRUTES'!A$3:A$42)-ROW('DONNÉES BRUTES'!A$3))/1000,0),0))),"—")</f>
        <v/>
      </c>
      <c r="M15">
        <f t="array" ref="M15">IFERROR(IF(5&gt;COUNTIF('DONNÉES BRUTES'!C$3:C$42,"Technology"),"",INDEX('DONNÉES BRUTES'!Q$3:Q$42,MATCH(LARGE(IF('DONNÉES BRUTES'!C$3:C$42="Technology",'DONNÉES BRUTES'!AB$3:AB$42+(ROW('DONNÉES BRUTES'!A$3:A$42)-ROW('DONNÉES BRUTES'!A$3))/1000,0),5),IF('DONNÉES BRUTES'!C$3:C$42="Technology",'DONNÉES BRUTES'!AB$3:AB$42+(ROW('DONNÉES BRUTES'!A$3:A$42)-ROW('DONNÉES BRUTES'!A$3))/1000,0),0))),"—")</f>
        <v/>
      </c>
      <c r="N15">
        <f t="array" ref="N15">IFERROR(IF(5&gt;COUNTIF('DONNÉES BRUTES'!C$3:C$42,"Technology"),"",INDEX('DONNÉES BRUTES'!S$3:S$42,MATCH(LARGE(IF('DONNÉES BRUTES'!C$3:C$42="Technology",'DONNÉES BRUTES'!AB$3:AB$42+(ROW('DONNÉES BRUTES'!A$3:A$42)-ROW('DONNÉES BRUTES'!A$3))/1000,0),5),IF('DONNÉES BRUTES'!C$3:C$42="Technology",'DONNÉES BRUTES'!AB$3:AB$42+(ROW('DONNÉES BRUTES'!A$3:A$42)-ROW('DONNÉES BRUTES'!A$3))/1000,0),0))),"—")</f>
        <v/>
      </c>
      <c r="O15">
        <f t="array" ref="O15">IFERROR(IF(5&gt;COUNTIF('DONNÉES BRUTES'!C$3:C$42,"Technology"),"",INDEX('DONNÉES BRUTES'!T$3:T$42,MATCH(LARGE(IF('DONNÉES BRUTES'!C$3:C$42="Technology",'DONNÉES BRUTES'!AB$3:AB$42+(ROW('DONNÉES BRUTES'!A$3:A$42)-ROW('DONNÉES BRUTES'!A$3))/1000,0),5),IF('DONNÉES BRUTES'!C$3:C$42="Technology",'DONNÉES BRUTES'!AB$3:AB$42+(ROW('DONNÉES BRUTES'!A$3:A$42)-ROW('DONNÉES BRUTES'!A$3))/1000,0),0))),"—")</f>
        <v/>
      </c>
      <c r="P15">
        <f t="array" ref="P15">IFERROR(IF(5&gt;COUNTIF('DONNÉES BRUTES'!C$3:C$42,"Technology"),"",INDEX('DONNÉES BRUTES'!U$3:U$42,MATCH(LARGE(IF('DONNÉES BRUTES'!C$3:C$42="Technology",'DONNÉES BRUTES'!AB$3:AB$42+(ROW('DONNÉES BRUTES'!A$3:A$42)-ROW('DONNÉES BRUTES'!A$3))/1000,0),5),IF('DONNÉES BRUTES'!C$3:C$42="Technology",'DONNÉES BRUTES'!AB$3:AB$42+(ROW('DONNÉES BRUTES'!A$3:A$42)-ROW('DONNÉES BRUTES'!A$3))/1000,0),0))),"—")</f>
        <v/>
      </c>
      <c r="Q15">
        <f t="array" ref="Q15">IFERROR(IF(5&gt;COUNTIF('DONNÉES BRUTES'!C$3:C$42,"Technology"),"",INDEX('DONNÉES BRUTES'!AD$3:AD$42,MATCH(LARGE(IF('DONNÉES BRUTES'!C$3:C$42="Technology",'DONNÉES BRUTES'!AB$3:AB$42+(ROW('DONNÉES BRUTES'!A$3:A$42)-ROW('DONNÉES BRUTES'!A$3))/1000,0),5),IF('DONNÉES BRUTES'!C$3:C$42="Technology",'DONNÉES BRUTES'!AB$3:AB$42+(ROW('DONNÉES BRUTES'!A$3:A$42)-ROW('DONNÉES BRUTES'!A$3))/1000,0),0))),"—")</f>
        <v/>
      </c>
    </row>
    <row r="16" ht="15.95" customHeight="1">
      <c r="B16">
        <f>IF(6&gt;COUNTIF('DONNÉES BRUTES'!C$3:C$42,"Technology"),"",6)</f>
        <v/>
      </c>
      <c r="C16">
        <f t="array" ref="C16">IFERROR(IF(6&gt;COUNTIF('DONNÉES BRUTES'!C$3:C$42,"Technology"),"",INDEX('DONNÉES BRUTES'!A$3:A$42,MATCH(LARGE(IF('DONNÉES BRUTES'!C$3:C$42="Technology",'DONNÉES BRUTES'!AB$3:AB$42+(ROW('DONNÉES BRUTES'!A$3:A$42)-ROW('DONNÉES BRUTES'!A$3))/1000,0),6),IF('DONNÉES BRUTES'!C$3:C$42="Technology",'DONNÉES BRUTES'!AB$3:AB$42+(ROW('DONNÉES BRUTES'!A$3:A$42)-ROW('DONNÉES BRUTES'!A$3))/1000,0),0))),"—")</f>
        <v/>
      </c>
      <c r="D16">
        <f t="array" ref="D16">IFERROR(IF(6&gt;COUNTIF('DONNÉES BRUTES'!C$3:C$42,"Technology"),"",INDEX('DONNÉES BRUTES'!B$3:B$42,MATCH(LARGE(IF('DONNÉES BRUTES'!C$3:C$42="Technology",'DONNÉES BRUTES'!AB$3:AB$42+(ROW('DONNÉES BRUTES'!A$3:A$42)-ROW('DONNÉES BRUTES'!A$3))/1000,0),6),IF('DONNÉES BRUTES'!C$3:C$42="Technology",'DONNÉES BRUTES'!AB$3:AB$42+(ROW('DONNÉES BRUTES'!A$3:A$42)-ROW('DONNÉES BRUTES'!A$3))/1000,0),0))),"—")</f>
        <v/>
      </c>
      <c r="E16">
        <f t="array" ref="E16">IFERROR(IF(6&gt;COUNTIF('DONNÉES BRUTES'!C$3:C$42,"Technology"),"",INT(LARGE(IF('DONNÉES BRUTES'!C$3:C$42="Technology",'DONNÉES BRUTES'!AB$3:AB$42+(ROW('DONNÉES BRUTES'!A$3:A$42)-ROW('DONNÉES BRUTES'!A$3))/1000,0),6))&amp;"/100"),"—")</f>
        <v/>
      </c>
      <c r="F16">
        <f t="array" ref="F16">IFERROR(IF(6&gt;COUNTIF('DONNÉES BRUTES'!C$3:C$42,"Technology"),"",INDEX('DONNÉES BRUTES'!Y$3:Y$42,MATCH(LARGE(IF('DONNÉES BRUTES'!C$3:C$42="Technology",'DONNÉES BRUTES'!AB$3:AB$42+(ROW('DONNÉES BRUTES'!A$3:A$42)-ROW('DONNÉES BRUTES'!A$3))/1000,0),6),IF('DONNÉES BRUTES'!C$3:C$42="Technology",'DONNÉES BRUTES'!AB$3:AB$42+(ROW('DONNÉES BRUTES'!A$3:A$42)-ROW('DONNÉES BRUTES'!A$3))/1000,0),0))),"—")</f>
        <v/>
      </c>
      <c r="G16">
        <f t="array" ref="G16">IFERROR(IF(6&gt;COUNTIF('DONNÉES BRUTES'!C$3:C$42,"Technology"),"",INDEX('DONNÉES BRUTES'!Z$3:Z$42,MATCH(LARGE(IF('DONNÉES BRUTES'!C$3:C$42="Technology",'DONNÉES BRUTES'!AB$3:AB$42+(ROW('DONNÉES BRUTES'!A$3:A$42)-ROW('DONNÉES BRUTES'!A$3))/1000,0),6),IF('DONNÉES BRUTES'!C$3:C$42="Technology",'DONNÉES BRUTES'!AB$3:AB$42+(ROW('DONNÉES BRUTES'!A$3:A$42)-ROW('DONNÉES BRUTES'!A$3))/1000,0),0))),"—")</f>
        <v/>
      </c>
      <c r="H16">
        <f t="array" ref="H16">IFERROR(IF(6&gt;COUNTIF('DONNÉES BRUTES'!C$3:C$42,"Technology"),"",INDEX('DONNÉES BRUTES'!AA$3:AA$42,MATCH(LARGE(IF('DONNÉES BRUTES'!C$3:C$42="Technology",'DONNÉES BRUTES'!AB$3:AB$42+(ROW('DONNÉES BRUTES'!A$3:A$42)-ROW('DONNÉES BRUTES'!A$3))/1000,0),6),IF('DONNÉES BRUTES'!C$3:C$42="Technology",'DONNÉES BRUTES'!AB$3:AB$42+(ROW('DONNÉES BRUTES'!A$3:A$42)-ROW('DONNÉES BRUTES'!A$3))/1000,0),0))),"—")</f>
        <v/>
      </c>
      <c r="I16">
        <f t="array" ref="I16">IFERROR(IF(6&gt;COUNTIF('DONNÉES BRUTES'!C$3:C$42,"Technology"),"",INDEX('DONNÉES BRUTES'!M$3:M$42,MATCH(LARGE(IF('DONNÉES BRUTES'!C$3:C$42="Technology",'DONNÉES BRUTES'!AB$3:AB$42+(ROW('DONNÉES BRUTES'!A$3:A$42)-ROW('DONNÉES BRUTES'!A$3))/1000,0),6),IF('DONNÉES BRUTES'!C$3:C$42="Technology",'DONNÉES BRUTES'!AB$3:AB$42+(ROW('DONNÉES BRUTES'!A$3:A$42)-ROW('DONNÉES BRUTES'!A$3))/1000,0),0))),"—")</f>
        <v/>
      </c>
      <c r="J16">
        <f t="array" ref="J16">IFERROR(IF(6&gt;COUNTIF('DONNÉES BRUTES'!C$3:C$42,"Technology"),"",INDEX('DONNÉES BRUTES'!N$3:N$42,MATCH(LARGE(IF('DONNÉES BRUTES'!C$3:C$42="Technology",'DONNÉES BRUTES'!AB$3:AB$42+(ROW('DONNÉES BRUTES'!A$3:A$42)-ROW('DONNÉES BRUTES'!A$3))/1000,0),6),IF('DONNÉES BRUTES'!C$3:C$42="Technology",'DONNÉES BRUTES'!AB$3:AB$42+(ROW('DONNÉES BRUTES'!A$3:A$42)-ROW('DONNÉES BRUTES'!A$3))/1000,0),0))),"—")</f>
        <v/>
      </c>
      <c r="K16">
        <f t="array" ref="K16">IFERROR(IF(6&gt;COUNTIF('DONNÉES BRUTES'!C$3:C$42,"Technology"),"",INDEX('DONNÉES BRUTES'!O$3:O$42,MATCH(LARGE(IF('DONNÉES BRUTES'!C$3:C$42="Technology",'DONNÉES BRUTES'!AB$3:AB$42+(ROW('DONNÉES BRUTES'!A$3:A$42)-ROW('DONNÉES BRUTES'!A$3))/1000,0),6),IF('DONNÉES BRUTES'!C$3:C$42="Technology",'DONNÉES BRUTES'!AB$3:AB$42+(ROW('DONNÉES BRUTES'!A$3:A$42)-ROW('DONNÉES BRUTES'!A$3))/1000,0),0))),"—")</f>
        <v/>
      </c>
      <c r="L16">
        <f t="array" ref="L16">IFERROR(IF(6&gt;COUNTIF('DONNÉES BRUTES'!C$3:C$42,"Technology"),"",INDEX('DONNÉES BRUTES'!P$3:P$42,MATCH(LARGE(IF('DONNÉES BRUTES'!C$3:C$42="Technology",'DONNÉES BRUTES'!AB$3:AB$42+(ROW('DONNÉES BRUTES'!A$3:A$42)-ROW('DONNÉES BRUTES'!A$3))/1000,0),6),IF('DONNÉES BRUTES'!C$3:C$42="Technology",'DONNÉES BRUTES'!AB$3:AB$42+(ROW('DONNÉES BRUTES'!A$3:A$42)-ROW('DONNÉES BRUTES'!A$3))/1000,0),0))),"—")</f>
        <v/>
      </c>
      <c r="M16">
        <f t="array" ref="M16">IFERROR(IF(6&gt;COUNTIF('DONNÉES BRUTES'!C$3:C$42,"Technology"),"",INDEX('DONNÉES BRUTES'!Q$3:Q$42,MATCH(LARGE(IF('DONNÉES BRUTES'!C$3:C$42="Technology",'DONNÉES BRUTES'!AB$3:AB$42+(ROW('DONNÉES BRUTES'!A$3:A$42)-ROW('DONNÉES BRUTES'!A$3))/1000,0),6),IF('DONNÉES BRUTES'!C$3:C$42="Technology",'DONNÉES BRUTES'!AB$3:AB$42+(ROW('DONNÉES BRUTES'!A$3:A$42)-ROW('DONNÉES BRUTES'!A$3))/1000,0),0))),"—")</f>
        <v/>
      </c>
      <c r="N16">
        <f t="array" ref="N16">IFERROR(IF(6&gt;COUNTIF('DONNÉES BRUTES'!C$3:C$42,"Technology"),"",INDEX('DONNÉES BRUTES'!S$3:S$42,MATCH(LARGE(IF('DONNÉES BRUTES'!C$3:C$42="Technology",'DONNÉES BRUTES'!AB$3:AB$42+(ROW('DONNÉES BRUTES'!A$3:A$42)-ROW('DONNÉES BRUTES'!A$3))/1000,0),6),IF('DONNÉES BRUTES'!C$3:C$42="Technology",'DONNÉES BRUTES'!AB$3:AB$42+(ROW('DONNÉES BRUTES'!A$3:A$42)-ROW('DONNÉES BRUTES'!A$3))/1000,0),0))),"—")</f>
        <v/>
      </c>
      <c r="O16">
        <f t="array" ref="O16">IFERROR(IF(6&gt;COUNTIF('DONNÉES BRUTES'!C$3:C$42,"Technology"),"",INDEX('DONNÉES BRUTES'!T$3:T$42,MATCH(LARGE(IF('DONNÉES BRUTES'!C$3:C$42="Technology",'DONNÉES BRUTES'!AB$3:AB$42+(ROW('DONNÉES BRUTES'!A$3:A$42)-ROW('DONNÉES BRUTES'!A$3))/1000,0),6),IF('DONNÉES BRUTES'!C$3:C$42="Technology",'DONNÉES BRUTES'!AB$3:AB$42+(ROW('DONNÉES BRUTES'!A$3:A$42)-ROW('DONNÉES BRUTES'!A$3))/1000,0),0))),"—")</f>
        <v/>
      </c>
      <c r="P16">
        <f t="array" ref="P16">IFERROR(IF(6&gt;COUNTIF('DONNÉES BRUTES'!C$3:C$42,"Technology"),"",INDEX('DONNÉES BRUTES'!U$3:U$42,MATCH(LARGE(IF('DONNÉES BRUTES'!C$3:C$42="Technology",'DONNÉES BRUTES'!AB$3:AB$42+(ROW('DONNÉES BRUTES'!A$3:A$42)-ROW('DONNÉES BRUTES'!A$3))/1000,0),6),IF('DONNÉES BRUTES'!C$3:C$42="Technology",'DONNÉES BRUTES'!AB$3:AB$42+(ROW('DONNÉES BRUTES'!A$3:A$42)-ROW('DONNÉES BRUTES'!A$3))/1000,0),0))),"—")</f>
        <v/>
      </c>
      <c r="Q16">
        <f t="array" ref="Q16">IFERROR(IF(6&gt;COUNTIF('DONNÉES BRUTES'!C$3:C$42,"Technology"),"",INDEX('DONNÉES BRUTES'!AD$3:AD$42,MATCH(LARGE(IF('DONNÉES BRUTES'!C$3:C$42="Technology",'DONNÉES BRUTES'!AB$3:AB$42+(ROW('DONNÉES BRUTES'!A$3:A$42)-ROW('DONNÉES BRUTES'!A$3))/1000,0),6),IF('DONNÉES BRUTES'!C$3:C$42="Technology",'DONNÉES BRUTES'!AB$3:AB$42+(ROW('DONNÉES BRUTES'!A$3:A$42)-ROW('DONNÉES BRUTES'!A$3))/1000,0),0))),"—")</f>
        <v/>
      </c>
    </row>
    <row r="17" ht="15.95" customHeight="1">
      <c r="B17">
        <f>IF(7&gt;COUNTIF('DONNÉES BRUTES'!C$3:C$42,"Technology"),"",7)</f>
        <v/>
      </c>
      <c r="C17">
        <f t="array" ref="C17">IFERROR(IF(7&gt;COUNTIF('DONNÉES BRUTES'!C$3:C$42,"Technology"),"",INDEX('DONNÉES BRUTES'!A$3:A$42,MATCH(LARGE(IF('DONNÉES BRUTES'!C$3:C$42="Technology",'DONNÉES BRUTES'!AB$3:AB$42+(ROW('DONNÉES BRUTES'!A$3:A$42)-ROW('DONNÉES BRUTES'!A$3))/1000,0),7),IF('DONNÉES BRUTES'!C$3:C$42="Technology",'DONNÉES BRUTES'!AB$3:AB$42+(ROW('DONNÉES BRUTES'!A$3:A$42)-ROW('DONNÉES BRUTES'!A$3))/1000,0),0))),"—")</f>
        <v/>
      </c>
      <c r="D17">
        <f t="array" ref="D17">IFERROR(IF(7&gt;COUNTIF('DONNÉES BRUTES'!C$3:C$42,"Technology"),"",INDEX('DONNÉES BRUTES'!B$3:B$42,MATCH(LARGE(IF('DONNÉES BRUTES'!C$3:C$42="Technology",'DONNÉES BRUTES'!AB$3:AB$42+(ROW('DONNÉES BRUTES'!A$3:A$42)-ROW('DONNÉES BRUTES'!A$3))/1000,0),7),IF('DONNÉES BRUTES'!C$3:C$42="Technology",'DONNÉES BRUTES'!AB$3:AB$42+(ROW('DONNÉES BRUTES'!A$3:A$42)-ROW('DONNÉES BRUTES'!A$3))/1000,0),0))),"—")</f>
        <v/>
      </c>
      <c r="E17">
        <f t="array" ref="E17">IFERROR(IF(7&gt;COUNTIF('DONNÉES BRUTES'!C$3:C$42,"Technology"),"",INT(LARGE(IF('DONNÉES BRUTES'!C$3:C$42="Technology",'DONNÉES BRUTES'!AB$3:AB$42+(ROW('DONNÉES BRUTES'!A$3:A$42)-ROW('DONNÉES BRUTES'!A$3))/1000,0),7))&amp;"/100"),"—")</f>
        <v/>
      </c>
      <c r="F17">
        <f t="array" ref="F17">IFERROR(IF(7&gt;COUNTIF('DONNÉES BRUTES'!C$3:C$42,"Technology"),"",INDEX('DONNÉES BRUTES'!Y$3:Y$42,MATCH(LARGE(IF('DONNÉES BRUTES'!C$3:C$42="Technology",'DONNÉES BRUTES'!AB$3:AB$42+(ROW('DONNÉES BRUTES'!A$3:A$42)-ROW('DONNÉES BRUTES'!A$3))/1000,0),7),IF('DONNÉES BRUTES'!C$3:C$42="Technology",'DONNÉES BRUTES'!AB$3:AB$42+(ROW('DONNÉES BRUTES'!A$3:A$42)-ROW('DONNÉES BRUTES'!A$3))/1000,0),0))),"—")</f>
        <v/>
      </c>
      <c r="G17">
        <f t="array" ref="G17">IFERROR(IF(7&gt;COUNTIF('DONNÉES BRUTES'!C$3:C$42,"Technology"),"",INDEX('DONNÉES BRUTES'!Z$3:Z$42,MATCH(LARGE(IF('DONNÉES BRUTES'!C$3:C$42="Technology",'DONNÉES BRUTES'!AB$3:AB$42+(ROW('DONNÉES BRUTES'!A$3:A$42)-ROW('DONNÉES BRUTES'!A$3))/1000,0),7),IF('DONNÉES BRUTES'!C$3:C$42="Technology",'DONNÉES BRUTES'!AB$3:AB$42+(ROW('DONNÉES BRUTES'!A$3:A$42)-ROW('DONNÉES BRUTES'!A$3))/1000,0),0))),"—")</f>
        <v/>
      </c>
      <c r="H17">
        <f t="array" ref="H17">IFERROR(IF(7&gt;COUNTIF('DONNÉES BRUTES'!C$3:C$42,"Technology"),"",INDEX('DONNÉES BRUTES'!AA$3:AA$42,MATCH(LARGE(IF('DONNÉES BRUTES'!C$3:C$42="Technology",'DONNÉES BRUTES'!AB$3:AB$42+(ROW('DONNÉES BRUTES'!A$3:A$42)-ROW('DONNÉES BRUTES'!A$3))/1000,0),7),IF('DONNÉES BRUTES'!C$3:C$42="Technology",'DONNÉES BRUTES'!AB$3:AB$42+(ROW('DONNÉES BRUTES'!A$3:A$42)-ROW('DONNÉES BRUTES'!A$3))/1000,0),0))),"—")</f>
        <v/>
      </c>
      <c r="I17">
        <f t="array" ref="I17">IFERROR(IF(7&gt;COUNTIF('DONNÉES BRUTES'!C$3:C$42,"Technology"),"",INDEX('DONNÉES BRUTES'!M$3:M$42,MATCH(LARGE(IF('DONNÉES BRUTES'!C$3:C$42="Technology",'DONNÉES BRUTES'!AB$3:AB$42+(ROW('DONNÉES BRUTES'!A$3:A$42)-ROW('DONNÉES BRUTES'!A$3))/1000,0),7),IF('DONNÉES BRUTES'!C$3:C$42="Technology",'DONNÉES BRUTES'!AB$3:AB$42+(ROW('DONNÉES BRUTES'!A$3:A$42)-ROW('DONNÉES BRUTES'!A$3))/1000,0),0))),"—")</f>
        <v/>
      </c>
      <c r="J17">
        <f t="array" ref="J17">IFERROR(IF(7&gt;COUNTIF('DONNÉES BRUTES'!C$3:C$42,"Technology"),"",INDEX('DONNÉES BRUTES'!N$3:N$42,MATCH(LARGE(IF('DONNÉES BRUTES'!C$3:C$42="Technology",'DONNÉES BRUTES'!AB$3:AB$42+(ROW('DONNÉES BRUTES'!A$3:A$42)-ROW('DONNÉES BRUTES'!A$3))/1000,0),7),IF('DONNÉES BRUTES'!C$3:C$42="Technology",'DONNÉES BRUTES'!AB$3:AB$42+(ROW('DONNÉES BRUTES'!A$3:A$42)-ROW('DONNÉES BRUTES'!A$3))/1000,0),0))),"—")</f>
        <v/>
      </c>
      <c r="K17">
        <f t="array" ref="K17">IFERROR(IF(7&gt;COUNTIF('DONNÉES BRUTES'!C$3:C$42,"Technology"),"",INDEX('DONNÉES BRUTES'!O$3:O$42,MATCH(LARGE(IF('DONNÉES BRUTES'!C$3:C$42="Technology",'DONNÉES BRUTES'!AB$3:AB$42+(ROW('DONNÉES BRUTES'!A$3:A$42)-ROW('DONNÉES BRUTES'!A$3))/1000,0),7),IF('DONNÉES BRUTES'!C$3:C$42="Technology",'DONNÉES BRUTES'!AB$3:AB$42+(ROW('DONNÉES BRUTES'!A$3:A$42)-ROW('DONNÉES BRUTES'!A$3))/1000,0),0))),"—")</f>
        <v/>
      </c>
      <c r="L17">
        <f t="array" ref="L17">IFERROR(IF(7&gt;COUNTIF('DONNÉES BRUTES'!C$3:C$42,"Technology"),"",INDEX('DONNÉES BRUTES'!P$3:P$42,MATCH(LARGE(IF('DONNÉES BRUTES'!C$3:C$42="Technology",'DONNÉES BRUTES'!AB$3:AB$42+(ROW('DONNÉES BRUTES'!A$3:A$42)-ROW('DONNÉES BRUTES'!A$3))/1000,0),7),IF('DONNÉES BRUTES'!C$3:C$42="Technology",'DONNÉES BRUTES'!AB$3:AB$42+(ROW('DONNÉES BRUTES'!A$3:A$42)-ROW('DONNÉES BRUTES'!A$3))/1000,0),0))),"—")</f>
        <v/>
      </c>
      <c r="M17">
        <f t="array" ref="M17">IFERROR(IF(7&gt;COUNTIF('DONNÉES BRUTES'!C$3:C$42,"Technology"),"",INDEX('DONNÉES BRUTES'!Q$3:Q$42,MATCH(LARGE(IF('DONNÉES BRUTES'!C$3:C$42="Technology",'DONNÉES BRUTES'!AB$3:AB$42+(ROW('DONNÉES BRUTES'!A$3:A$42)-ROW('DONNÉES BRUTES'!A$3))/1000,0),7),IF('DONNÉES BRUTES'!C$3:C$42="Technology",'DONNÉES BRUTES'!AB$3:AB$42+(ROW('DONNÉES BRUTES'!A$3:A$42)-ROW('DONNÉES BRUTES'!A$3))/1000,0),0))),"—")</f>
        <v/>
      </c>
      <c r="N17">
        <f t="array" ref="N17">IFERROR(IF(7&gt;COUNTIF('DONNÉES BRUTES'!C$3:C$42,"Technology"),"",INDEX('DONNÉES BRUTES'!S$3:S$42,MATCH(LARGE(IF('DONNÉES BRUTES'!C$3:C$42="Technology",'DONNÉES BRUTES'!AB$3:AB$42+(ROW('DONNÉES BRUTES'!A$3:A$42)-ROW('DONNÉES BRUTES'!A$3))/1000,0),7),IF('DONNÉES BRUTES'!C$3:C$42="Technology",'DONNÉES BRUTES'!AB$3:AB$42+(ROW('DONNÉES BRUTES'!A$3:A$42)-ROW('DONNÉES BRUTES'!A$3))/1000,0),0))),"—")</f>
        <v/>
      </c>
      <c r="O17">
        <f t="array" ref="O17">IFERROR(IF(7&gt;COUNTIF('DONNÉES BRUTES'!C$3:C$42,"Technology"),"",INDEX('DONNÉES BRUTES'!T$3:T$42,MATCH(LARGE(IF('DONNÉES BRUTES'!C$3:C$42="Technology",'DONNÉES BRUTES'!AB$3:AB$42+(ROW('DONNÉES BRUTES'!A$3:A$42)-ROW('DONNÉES BRUTES'!A$3))/1000,0),7),IF('DONNÉES BRUTES'!C$3:C$42="Technology",'DONNÉES BRUTES'!AB$3:AB$42+(ROW('DONNÉES BRUTES'!A$3:A$42)-ROW('DONNÉES BRUTES'!A$3))/1000,0),0))),"—")</f>
        <v/>
      </c>
      <c r="P17">
        <f t="array" ref="P17">IFERROR(IF(7&gt;COUNTIF('DONNÉES BRUTES'!C$3:C$42,"Technology"),"",INDEX('DONNÉES BRUTES'!U$3:U$42,MATCH(LARGE(IF('DONNÉES BRUTES'!C$3:C$42="Technology",'DONNÉES BRUTES'!AB$3:AB$42+(ROW('DONNÉES BRUTES'!A$3:A$42)-ROW('DONNÉES BRUTES'!A$3))/1000,0),7),IF('DONNÉES BRUTES'!C$3:C$42="Technology",'DONNÉES BRUTES'!AB$3:AB$42+(ROW('DONNÉES BRUTES'!A$3:A$42)-ROW('DONNÉES BRUTES'!A$3))/1000,0),0))),"—")</f>
        <v/>
      </c>
      <c r="Q17">
        <f t="array" ref="Q17">IFERROR(IF(7&gt;COUNTIF('DONNÉES BRUTES'!C$3:C$42,"Technology"),"",INDEX('DONNÉES BRUTES'!AD$3:AD$42,MATCH(LARGE(IF('DONNÉES BRUTES'!C$3:C$42="Technology",'DONNÉES BRUTES'!AB$3:AB$42+(ROW('DONNÉES BRUTES'!A$3:A$42)-ROW('DONNÉES BRUTES'!A$3))/1000,0),7),IF('DONNÉES BRUTES'!C$3:C$42="Technology",'DONNÉES BRUTES'!AB$3:AB$42+(ROW('DONNÉES BRUTES'!A$3:A$42)-ROW('DONNÉES BRUTES'!A$3))/1000,0),0))),"—")</f>
        <v/>
      </c>
    </row>
    <row r="18" ht="15.95" customHeight="1">
      <c r="B18">
        <f>IF(8&gt;COUNTIF('DONNÉES BRUTES'!C$3:C$42,"Technology"),"",8)</f>
        <v/>
      </c>
      <c r="C18">
        <f t="array" ref="C18">IFERROR(IF(8&gt;COUNTIF('DONNÉES BRUTES'!C$3:C$42,"Technology"),"",INDEX('DONNÉES BRUTES'!A$3:A$42,MATCH(LARGE(IF('DONNÉES BRUTES'!C$3:C$42="Technology",'DONNÉES BRUTES'!AB$3:AB$42+(ROW('DONNÉES BRUTES'!A$3:A$42)-ROW('DONNÉES BRUTES'!A$3))/1000,0),8),IF('DONNÉES BRUTES'!C$3:C$42="Technology",'DONNÉES BRUTES'!AB$3:AB$42+(ROW('DONNÉES BRUTES'!A$3:A$42)-ROW('DONNÉES BRUTES'!A$3))/1000,0),0))),"—")</f>
        <v/>
      </c>
      <c r="D18">
        <f t="array" ref="D18">IFERROR(IF(8&gt;COUNTIF('DONNÉES BRUTES'!C$3:C$42,"Technology"),"",INDEX('DONNÉES BRUTES'!B$3:B$42,MATCH(LARGE(IF('DONNÉES BRUTES'!C$3:C$42="Technology",'DONNÉES BRUTES'!AB$3:AB$42+(ROW('DONNÉES BRUTES'!A$3:A$42)-ROW('DONNÉES BRUTES'!A$3))/1000,0),8),IF('DONNÉES BRUTES'!C$3:C$42="Technology",'DONNÉES BRUTES'!AB$3:AB$42+(ROW('DONNÉES BRUTES'!A$3:A$42)-ROW('DONNÉES BRUTES'!A$3))/1000,0),0))),"—")</f>
        <v/>
      </c>
      <c r="E18">
        <f t="array" ref="E18">IFERROR(IF(8&gt;COUNTIF('DONNÉES BRUTES'!C$3:C$42,"Technology"),"",INT(LARGE(IF('DONNÉES BRUTES'!C$3:C$42="Technology",'DONNÉES BRUTES'!AB$3:AB$42+(ROW('DONNÉES BRUTES'!A$3:A$42)-ROW('DONNÉES BRUTES'!A$3))/1000,0),8))&amp;"/100"),"—")</f>
        <v/>
      </c>
      <c r="F18">
        <f t="array" ref="F18">IFERROR(IF(8&gt;COUNTIF('DONNÉES BRUTES'!C$3:C$42,"Technology"),"",INDEX('DONNÉES BRUTES'!Y$3:Y$42,MATCH(LARGE(IF('DONNÉES BRUTES'!C$3:C$42="Technology",'DONNÉES BRUTES'!AB$3:AB$42+(ROW('DONNÉES BRUTES'!A$3:A$42)-ROW('DONNÉES BRUTES'!A$3))/1000,0),8),IF('DONNÉES BRUTES'!C$3:C$42="Technology",'DONNÉES BRUTES'!AB$3:AB$42+(ROW('DONNÉES BRUTES'!A$3:A$42)-ROW('DONNÉES BRUTES'!A$3))/1000,0),0))),"—")</f>
        <v/>
      </c>
      <c r="G18">
        <f t="array" ref="G18">IFERROR(IF(8&gt;COUNTIF('DONNÉES BRUTES'!C$3:C$42,"Technology"),"",INDEX('DONNÉES BRUTES'!Z$3:Z$42,MATCH(LARGE(IF('DONNÉES BRUTES'!C$3:C$42="Technology",'DONNÉES BRUTES'!AB$3:AB$42+(ROW('DONNÉES BRUTES'!A$3:A$42)-ROW('DONNÉES BRUTES'!A$3))/1000,0),8),IF('DONNÉES BRUTES'!C$3:C$42="Technology",'DONNÉES BRUTES'!AB$3:AB$42+(ROW('DONNÉES BRUTES'!A$3:A$42)-ROW('DONNÉES BRUTES'!A$3))/1000,0),0))),"—")</f>
        <v/>
      </c>
      <c r="H18">
        <f t="array" ref="H18">IFERROR(IF(8&gt;COUNTIF('DONNÉES BRUTES'!C$3:C$42,"Technology"),"",INDEX('DONNÉES BRUTES'!AA$3:AA$42,MATCH(LARGE(IF('DONNÉES BRUTES'!C$3:C$42="Technology",'DONNÉES BRUTES'!AB$3:AB$42+(ROW('DONNÉES BRUTES'!A$3:A$42)-ROW('DONNÉES BRUTES'!A$3))/1000,0),8),IF('DONNÉES BRUTES'!C$3:C$42="Technology",'DONNÉES BRUTES'!AB$3:AB$42+(ROW('DONNÉES BRUTES'!A$3:A$42)-ROW('DONNÉES BRUTES'!A$3))/1000,0),0))),"—")</f>
        <v/>
      </c>
      <c r="I18">
        <f t="array" ref="I18">IFERROR(IF(8&gt;COUNTIF('DONNÉES BRUTES'!C$3:C$42,"Technology"),"",INDEX('DONNÉES BRUTES'!M$3:M$42,MATCH(LARGE(IF('DONNÉES BRUTES'!C$3:C$42="Technology",'DONNÉES BRUTES'!AB$3:AB$42+(ROW('DONNÉES BRUTES'!A$3:A$42)-ROW('DONNÉES BRUTES'!A$3))/1000,0),8),IF('DONNÉES BRUTES'!C$3:C$42="Technology",'DONNÉES BRUTES'!AB$3:AB$42+(ROW('DONNÉES BRUTES'!A$3:A$42)-ROW('DONNÉES BRUTES'!A$3))/1000,0),0))),"—")</f>
        <v/>
      </c>
      <c r="J18">
        <f t="array" ref="J18">IFERROR(IF(8&gt;COUNTIF('DONNÉES BRUTES'!C$3:C$42,"Technology"),"",INDEX('DONNÉES BRUTES'!N$3:N$42,MATCH(LARGE(IF('DONNÉES BRUTES'!C$3:C$42="Technology",'DONNÉES BRUTES'!AB$3:AB$42+(ROW('DONNÉES BRUTES'!A$3:A$42)-ROW('DONNÉES BRUTES'!A$3))/1000,0),8),IF('DONNÉES BRUTES'!C$3:C$42="Technology",'DONNÉES BRUTES'!AB$3:AB$42+(ROW('DONNÉES BRUTES'!A$3:A$42)-ROW('DONNÉES BRUTES'!A$3))/1000,0),0))),"—")</f>
        <v/>
      </c>
      <c r="K18">
        <f t="array" ref="K18">IFERROR(IF(8&gt;COUNTIF('DONNÉES BRUTES'!C$3:C$42,"Technology"),"",INDEX('DONNÉES BRUTES'!O$3:O$42,MATCH(LARGE(IF('DONNÉES BRUTES'!C$3:C$42="Technology",'DONNÉES BRUTES'!AB$3:AB$42+(ROW('DONNÉES BRUTES'!A$3:A$42)-ROW('DONNÉES BRUTES'!A$3))/1000,0),8),IF('DONNÉES BRUTES'!C$3:C$42="Technology",'DONNÉES BRUTES'!AB$3:AB$42+(ROW('DONNÉES BRUTES'!A$3:A$42)-ROW('DONNÉES BRUTES'!A$3))/1000,0),0))),"—")</f>
        <v/>
      </c>
      <c r="L18">
        <f t="array" ref="L18">IFERROR(IF(8&gt;COUNTIF('DONNÉES BRUTES'!C$3:C$42,"Technology"),"",INDEX('DONNÉES BRUTES'!P$3:P$42,MATCH(LARGE(IF('DONNÉES BRUTES'!C$3:C$42="Technology",'DONNÉES BRUTES'!AB$3:AB$42+(ROW('DONNÉES BRUTES'!A$3:A$42)-ROW('DONNÉES BRUTES'!A$3))/1000,0),8),IF('DONNÉES BRUTES'!C$3:C$42="Technology",'DONNÉES BRUTES'!AB$3:AB$42+(ROW('DONNÉES BRUTES'!A$3:A$42)-ROW('DONNÉES BRUTES'!A$3))/1000,0),0))),"—")</f>
        <v/>
      </c>
      <c r="M18">
        <f t="array" ref="M18">IFERROR(IF(8&gt;COUNTIF('DONNÉES BRUTES'!C$3:C$42,"Technology"),"",INDEX('DONNÉES BRUTES'!Q$3:Q$42,MATCH(LARGE(IF('DONNÉES BRUTES'!C$3:C$42="Technology",'DONNÉES BRUTES'!AB$3:AB$42+(ROW('DONNÉES BRUTES'!A$3:A$42)-ROW('DONNÉES BRUTES'!A$3))/1000,0),8),IF('DONNÉES BRUTES'!C$3:C$42="Technology",'DONNÉES BRUTES'!AB$3:AB$42+(ROW('DONNÉES BRUTES'!A$3:A$42)-ROW('DONNÉES BRUTES'!A$3))/1000,0),0))),"—")</f>
        <v/>
      </c>
      <c r="N18">
        <f t="array" ref="N18">IFERROR(IF(8&gt;COUNTIF('DONNÉES BRUTES'!C$3:C$42,"Technology"),"",INDEX('DONNÉES BRUTES'!S$3:S$42,MATCH(LARGE(IF('DONNÉES BRUTES'!C$3:C$42="Technology",'DONNÉES BRUTES'!AB$3:AB$42+(ROW('DONNÉES BRUTES'!A$3:A$42)-ROW('DONNÉES BRUTES'!A$3))/1000,0),8),IF('DONNÉES BRUTES'!C$3:C$42="Technology",'DONNÉES BRUTES'!AB$3:AB$42+(ROW('DONNÉES BRUTES'!A$3:A$42)-ROW('DONNÉES BRUTES'!A$3))/1000,0),0))),"—")</f>
        <v/>
      </c>
      <c r="O18">
        <f t="array" ref="O18">IFERROR(IF(8&gt;COUNTIF('DONNÉES BRUTES'!C$3:C$42,"Technology"),"",INDEX('DONNÉES BRUTES'!T$3:T$42,MATCH(LARGE(IF('DONNÉES BRUTES'!C$3:C$42="Technology",'DONNÉES BRUTES'!AB$3:AB$42+(ROW('DONNÉES BRUTES'!A$3:A$42)-ROW('DONNÉES BRUTES'!A$3))/1000,0),8),IF('DONNÉES BRUTES'!C$3:C$42="Technology",'DONNÉES BRUTES'!AB$3:AB$42+(ROW('DONNÉES BRUTES'!A$3:A$42)-ROW('DONNÉES BRUTES'!A$3))/1000,0),0))),"—")</f>
        <v/>
      </c>
      <c r="P18">
        <f t="array" ref="P18">IFERROR(IF(8&gt;COUNTIF('DONNÉES BRUTES'!C$3:C$42,"Technology"),"",INDEX('DONNÉES BRUTES'!U$3:U$42,MATCH(LARGE(IF('DONNÉES BRUTES'!C$3:C$42="Technology",'DONNÉES BRUTES'!AB$3:AB$42+(ROW('DONNÉES BRUTES'!A$3:A$42)-ROW('DONNÉES BRUTES'!A$3))/1000,0),8),IF('DONNÉES BRUTES'!C$3:C$42="Technology",'DONNÉES BRUTES'!AB$3:AB$42+(ROW('DONNÉES BRUTES'!A$3:A$42)-ROW('DONNÉES BRUTES'!A$3))/1000,0),0))),"—")</f>
        <v/>
      </c>
      <c r="Q18">
        <f t="array" ref="Q18">IFERROR(IF(8&gt;COUNTIF('DONNÉES BRUTES'!C$3:C$42,"Technology"),"",INDEX('DONNÉES BRUTES'!AD$3:AD$42,MATCH(LARGE(IF('DONNÉES BRUTES'!C$3:C$42="Technology",'DONNÉES BRUTES'!AB$3:AB$42+(ROW('DONNÉES BRUTES'!A$3:A$42)-ROW('DONNÉES BRUTES'!A$3))/1000,0),8),IF('DONNÉES BRUTES'!C$3:C$42="Technology",'DONNÉES BRUTES'!AB$3:AB$42+(ROW('DONNÉES BRUTES'!A$3:A$42)-ROW('DONNÉES BRUTES'!A$3))/1000,0),0))),"—")</f>
        <v/>
      </c>
    </row>
    <row r="19" ht="15.95" customHeight="1">
      <c r="B19">
        <f>IF(9&gt;COUNTIF('DONNÉES BRUTES'!C$3:C$42,"Technology"),"",9)</f>
        <v/>
      </c>
      <c r="C19">
        <f t="array" ref="C19">IFERROR(IF(9&gt;COUNTIF('DONNÉES BRUTES'!C$3:C$42,"Technology"),"",INDEX('DONNÉES BRUTES'!A$3:A$42,MATCH(LARGE(IF('DONNÉES BRUTES'!C$3:C$42="Technology",'DONNÉES BRUTES'!AB$3:AB$42+(ROW('DONNÉES BRUTES'!A$3:A$42)-ROW('DONNÉES BRUTES'!A$3))/1000,0),9),IF('DONNÉES BRUTES'!C$3:C$42="Technology",'DONNÉES BRUTES'!AB$3:AB$42+(ROW('DONNÉES BRUTES'!A$3:A$42)-ROW('DONNÉES BRUTES'!A$3))/1000,0),0))),"—")</f>
        <v/>
      </c>
      <c r="D19">
        <f t="array" ref="D19">IFERROR(IF(9&gt;COUNTIF('DONNÉES BRUTES'!C$3:C$42,"Technology"),"",INDEX('DONNÉES BRUTES'!B$3:B$42,MATCH(LARGE(IF('DONNÉES BRUTES'!C$3:C$42="Technology",'DONNÉES BRUTES'!AB$3:AB$42+(ROW('DONNÉES BRUTES'!A$3:A$42)-ROW('DONNÉES BRUTES'!A$3))/1000,0),9),IF('DONNÉES BRUTES'!C$3:C$42="Technology",'DONNÉES BRUTES'!AB$3:AB$42+(ROW('DONNÉES BRUTES'!A$3:A$42)-ROW('DONNÉES BRUTES'!A$3))/1000,0),0))),"—")</f>
        <v/>
      </c>
      <c r="E19">
        <f t="array" ref="E19">IFERROR(IF(9&gt;COUNTIF('DONNÉES BRUTES'!C$3:C$42,"Technology"),"",INT(LARGE(IF('DONNÉES BRUTES'!C$3:C$42="Technology",'DONNÉES BRUTES'!AB$3:AB$42+(ROW('DONNÉES BRUTES'!A$3:A$42)-ROW('DONNÉES BRUTES'!A$3))/1000,0),9))&amp;"/100"),"—")</f>
        <v/>
      </c>
      <c r="F19">
        <f t="array" ref="F19">IFERROR(IF(9&gt;COUNTIF('DONNÉES BRUTES'!C$3:C$42,"Technology"),"",INDEX('DONNÉES BRUTES'!Y$3:Y$42,MATCH(LARGE(IF('DONNÉES BRUTES'!C$3:C$42="Technology",'DONNÉES BRUTES'!AB$3:AB$42+(ROW('DONNÉES BRUTES'!A$3:A$42)-ROW('DONNÉES BRUTES'!A$3))/1000,0),9),IF('DONNÉES BRUTES'!C$3:C$42="Technology",'DONNÉES BRUTES'!AB$3:AB$42+(ROW('DONNÉES BRUTES'!A$3:A$42)-ROW('DONNÉES BRUTES'!A$3))/1000,0),0))),"—")</f>
        <v/>
      </c>
      <c r="G19">
        <f t="array" ref="G19">IFERROR(IF(9&gt;COUNTIF('DONNÉES BRUTES'!C$3:C$42,"Technology"),"",INDEX('DONNÉES BRUTES'!Z$3:Z$42,MATCH(LARGE(IF('DONNÉES BRUTES'!C$3:C$42="Technology",'DONNÉES BRUTES'!AB$3:AB$42+(ROW('DONNÉES BRUTES'!A$3:A$42)-ROW('DONNÉES BRUTES'!A$3))/1000,0),9),IF('DONNÉES BRUTES'!C$3:C$42="Technology",'DONNÉES BRUTES'!AB$3:AB$42+(ROW('DONNÉES BRUTES'!A$3:A$42)-ROW('DONNÉES BRUTES'!A$3))/1000,0),0))),"—")</f>
        <v/>
      </c>
      <c r="H19">
        <f t="array" ref="H19">IFERROR(IF(9&gt;COUNTIF('DONNÉES BRUTES'!C$3:C$42,"Technology"),"",INDEX('DONNÉES BRUTES'!AA$3:AA$42,MATCH(LARGE(IF('DONNÉES BRUTES'!C$3:C$42="Technology",'DONNÉES BRUTES'!AB$3:AB$42+(ROW('DONNÉES BRUTES'!A$3:A$42)-ROW('DONNÉES BRUTES'!A$3))/1000,0),9),IF('DONNÉES BRUTES'!C$3:C$42="Technology",'DONNÉES BRUTES'!AB$3:AB$42+(ROW('DONNÉES BRUTES'!A$3:A$42)-ROW('DONNÉES BRUTES'!A$3))/1000,0),0))),"—")</f>
        <v/>
      </c>
      <c r="I19">
        <f t="array" ref="I19">IFERROR(IF(9&gt;COUNTIF('DONNÉES BRUTES'!C$3:C$42,"Technology"),"",INDEX('DONNÉES BRUTES'!M$3:M$42,MATCH(LARGE(IF('DONNÉES BRUTES'!C$3:C$42="Technology",'DONNÉES BRUTES'!AB$3:AB$42+(ROW('DONNÉES BRUTES'!A$3:A$42)-ROW('DONNÉES BRUTES'!A$3))/1000,0),9),IF('DONNÉES BRUTES'!C$3:C$42="Technology",'DONNÉES BRUTES'!AB$3:AB$42+(ROW('DONNÉES BRUTES'!A$3:A$42)-ROW('DONNÉES BRUTES'!A$3))/1000,0),0))),"—")</f>
        <v/>
      </c>
      <c r="J19">
        <f t="array" ref="J19">IFERROR(IF(9&gt;COUNTIF('DONNÉES BRUTES'!C$3:C$42,"Technology"),"",INDEX('DONNÉES BRUTES'!N$3:N$42,MATCH(LARGE(IF('DONNÉES BRUTES'!C$3:C$42="Technology",'DONNÉES BRUTES'!AB$3:AB$42+(ROW('DONNÉES BRUTES'!A$3:A$42)-ROW('DONNÉES BRUTES'!A$3))/1000,0),9),IF('DONNÉES BRUTES'!C$3:C$42="Technology",'DONNÉES BRUTES'!AB$3:AB$42+(ROW('DONNÉES BRUTES'!A$3:A$42)-ROW('DONNÉES BRUTES'!A$3))/1000,0),0))),"—")</f>
        <v/>
      </c>
      <c r="K19">
        <f t="array" ref="K19">IFERROR(IF(9&gt;COUNTIF('DONNÉES BRUTES'!C$3:C$42,"Technology"),"",INDEX('DONNÉES BRUTES'!O$3:O$42,MATCH(LARGE(IF('DONNÉES BRUTES'!C$3:C$42="Technology",'DONNÉES BRUTES'!AB$3:AB$42+(ROW('DONNÉES BRUTES'!A$3:A$42)-ROW('DONNÉES BRUTES'!A$3))/1000,0),9),IF('DONNÉES BRUTES'!C$3:C$42="Technology",'DONNÉES BRUTES'!AB$3:AB$42+(ROW('DONNÉES BRUTES'!A$3:A$42)-ROW('DONNÉES BRUTES'!A$3))/1000,0),0))),"—")</f>
        <v/>
      </c>
      <c r="L19">
        <f t="array" ref="L19">IFERROR(IF(9&gt;COUNTIF('DONNÉES BRUTES'!C$3:C$42,"Technology"),"",INDEX('DONNÉES BRUTES'!P$3:P$42,MATCH(LARGE(IF('DONNÉES BRUTES'!C$3:C$42="Technology",'DONNÉES BRUTES'!AB$3:AB$42+(ROW('DONNÉES BRUTES'!A$3:A$42)-ROW('DONNÉES BRUTES'!A$3))/1000,0),9),IF('DONNÉES BRUTES'!C$3:C$42="Technology",'DONNÉES BRUTES'!AB$3:AB$42+(ROW('DONNÉES BRUTES'!A$3:A$42)-ROW('DONNÉES BRUTES'!A$3))/1000,0),0))),"—")</f>
        <v/>
      </c>
      <c r="M19">
        <f t="array" ref="M19">IFERROR(IF(9&gt;COUNTIF('DONNÉES BRUTES'!C$3:C$42,"Technology"),"",INDEX('DONNÉES BRUTES'!Q$3:Q$42,MATCH(LARGE(IF('DONNÉES BRUTES'!C$3:C$42="Technology",'DONNÉES BRUTES'!AB$3:AB$42+(ROW('DONNÉES BRUTES'!A$3:A$42)-ROW('DONNÉES BRUTES'!A$3))/1000,0),9),IF('DONNÉES BRUTES'!C$3:C$42="Technology",'DONNÉES BRUTES'!AB$3:AB$42+(ROW('DONNÉES BRUTES'!A$3:A$42)-ROW('DONNÉES BRUTES'!A$3))/1000,0),0))),"—")</f>
        <v/>
      </c>
      <c r="N19">
        <f t="array" ref="N19">IFERROR(IF(9&gt;COUNTIF('DONNÉES BRUTES'!C$3:C$42,"Technology"),"",INDEX('DONNÉES BRUTES'!S$3:S$42,MATCH(LARGE(IF('DONNÉES BRUTES'!C$3:C$42="Technology",'DONNÉES BRUTES'!AB$3:AB$42+(ROW('DONNÉES BRUTES'!A$3:A$42)-ROW('DONNÉES BRUTES'!A$3))/1000,0),9),IF('DONNÉES BRUTES'!C$3:C$42="Technology",'DONNÉES BRUTES'!AB$3:AB$42+(ROW('DONNÉES BRUTES'!A$3:A$42)-ROW('DONNÉES BRUTES'!A$3))/1000,0),0))),"—")</f>
        <v/>
      </c>
      <c r="O19">
        <f t="array" ref="O19">IFERROR(IF(9&gt;COUNTIF('DONNÉES BRUTES'!C$3:C$42,"Technology"),"",INDEX('DONNÉES BRUTES'!T$3:T$42,MATCH(LARGE(IF('DONNÉES BRUTES'!C$3:C$42="Technology",'DONNÉES BRUTES'!AB$3:AB$42+(ROW('DONNÉES BRUTES'!A$3:A$42)-ROW('DONNÉES BRUTES'!A$3))/1000,0),9),IF('DONNÉES BRUTES'!C$3:C$42="Technology",'DONNÉES BRUTES'!AB$3:AB$42+(ROW('DONNÉES BRUTES'!A$3:A$42)-ROW('DONNÉES BRUTES'!A$3))/1000,0),0))),"—")</f>
        <v/>
      </c>
      <c r="P19">
        <f t="array" ref="P19">IFERROR(IF(9&gt;COUNTIF('DONNÉES BRUTES'!C$3:C$42,"Technology"),"",INDEX('DONNÉES BRUTES'!U$3:U$42,MATCH(LARGE(IF('DONNÉES BRUTES'!C$3:C$42="Technology",'DONNÉES BRUTES'!AB$3:AB$42+(ROW('DONNÉES BRUTES'!A$3:A$42)-ROW('DONNÉES BRUTES'!A$3))/1000,0),9),IF('DONNÉES BRUTES'!C$3:C$42="Technology",'DONNÉES BRUTES'!AB$3:AB$42+(ROW('DONNÉES BRUTES'!A$3:A$42)-ROW('DONNÉES BRUTES'!A$3))/1000,0),0))),"—")</f>
        <v/>
      </c>
      <c r="Q19">
        <f t="array" ref="Q19">IFERROR(IF(9&gt;COUNTIF('DONNÉES BRUTES'!C$3:C$42,"Technology"),"",INDEX('DONNÉES BRUTES'!AD$3:AD$42,MATCH(LARGE(IF('DONNÉES BRUTES'!C$3:C$42="Technology",'DONNÉES BRUTES'!AB$3:AB$42+(ROW('DONNÉES BRUTES'!A$3:A$42)-ROW('DONNÉES BRUTES'!A$3))/1000,0),9),IF('DONNÉES BRUTES'!C$3:C$42="Technology",'DONNÉES BRUTES'!AB$3:AB$42+(ROW('DONNÉES BRUTES'!A$3:A$42)-ROW('DONNÉES BRUTES'!A$3))/1000,0),0))),"—")</f>
        <v/>
      </c>
    </row>
    <row r="20" ht="15.95" customHeight="1">
      <c r="B20">
        <f>IF(10&gt;COUNTIF('DONNÉES BRUTES'!C$3:C$42,"Technology"),"",10)</f>
        <v/>
      </c>
      <c r="C20">
        <f t="array" ref="C20">IFERROR(IF(10&gt;COUNTIF('DONNÉES BRUTES'!C$3:C$42,"Technology"),"",INDEX('DONNÉES BRUTES'!A$3:A$42,MATCH(LARGE(IF('DONNÉES BRUTES'!C$3:C$42="Technology",'DONNÉES BRUTES'!AB$3:AB$42+(ROW('DONNÉES BRUTES'!A$3:A$42)-ROW('DONNÉES BRUTES'!A$3))/1000,0),10),IF('DONNÉES BRUTES'!C$3:C$42="Technology",'DONNÉES BRUTES'!AB$3:AB$42+(ROW('DONNÉES BRUTES'!A$3:A$42)-ROW('DONNÉES BRUTES'!A$3))/1000,0),0))),"—")</f>
        <v/>
      </c>
      <c r="D20">
        <f t="array" ref="D20">IFERROR(IF(10&gt;COUNTIF('DONNÉES BRUTES'!C$3:C$42,"Technology"),"",INDEX('DONNÉES BRUTES'!B$3:B$42,MATCH(LARGE(IF('DONNÉES BRUTES'!C$3:C$42="Technology",'DONNÉES BRUTES'!AB$3:AB$42+(ROW('DONNÉES BRUTES'!A$3:A$42)-ROW('DONNÉES BRUTES'!A$3))/1000,0),10),IF('DONNÉES BRUTES'!C$3:C$42="Technology",'DONNÉES BRUTES'!AB$3:AB$42+(ROW('DONNÉES BRUTES'!A$3:A$42)-ROW('DONNÉES BRUTES'!A$3))/1000,0),0))),"—")</f>
        <v/>
      </c>
      <c r="E20">
        <f t="array" ref="E20">IFERROR(IF(10&gt;COUNTIF('DONNÉES BRUTES'!C$3:C$42,"Technology"),"",INT(LARGE(IF('DONNÉES BRUTES'!C$3:C$42="Technology",'DONNÉES BRUTES'!AB$3:AB$42+(ROW('DONNÉES BRUTES'!A$3:A$42)-ROW('DONNÉES BRUTES'!A$3))/1000,0),10))&amp;"/100"),"—")</f>
        <v/>
      </c>
      <c r="F20">
        <f t="array" ref="F20">IFERROR(IF(10&gt;COUNTIF('DONNÉES BRUTES'!C$3:C$42,"Technology"),"",INDEX('DONNÉES BRUTES'!Y$3:Y$42,MATCH(LARGE(IF('DONNÉES BRUTES'!C$3:C$42="Technology",'DONNÉES BRUTES'!AB$3:AB$42+(ROW('DONNÉES BRUTES'!A$3:A$42)-ROW('DONNÉES BRUTES'!A$3))/1000,0),10),IF('DONNÉES BRUTES'!C$3:C$42="Technology",'DONNÉES BRUTES'!AB$3:AB$42+(ROW('DONNÉES BRUTES'!A$3:A$42)-ROW('DONNÉES BRUTES'!A$3))/1000,0),0))),"—")</f>
        <v/>
      </c>
      <c r="G20">
        <f t="array" ref="G20">IFERROR(IF(10&gt;COUNTIF('DONNÉES BRUTES'!C$3:C$42,"Technology"),"",INDEX('DONNÉES BRUTES'!Z$3:Z$42,MATCH(LARGE(IF('DONNÉES BRUTES'!C$3:C$42="Technology",'DONNÉES BRUTES'!AB$3:AB$42+(ROW('DONNÉES BRUTES'!A$3:A$42)-ROW('DONNÉES BRUTES'!A$3))/1000,0),10),IF('DONNÉES BRUTES'!C$3:C$42="Technology",'DONNÉES BRUTES'!AB$3:AB$42+(ROW('DONNÉES BRUTES'!A$3:A$42)-ROW('DONNÉES BRUTES'!A$3))/1000,0),0))),"—")</f>
        <v/>
      </c>
      <c r="H20">
        <f t="array" ref="H20">IFERROR(IF(10&gt;COUNTIF('DONNÉES BRUTES'!C$3:C$42,"Technology"),"",INDEX('DONNÉES BRUTES'!AA$3:AA$42,MATCH(LARGE(IF('DONNÉES BRUTES'!C$3:C$42="Technology",'DONNÉES BRUTES'!AB$3:AB$42+(ROW('DONNÉES BRUTES'!A$3:A$42)-ROW('DONNÉES BRUTES'!A$3))/1000,0),10),IF('DONNÉES BRUTES'!C$3:C$42="Technology",'DONNÉES BRUTES'!AB$3:AB$42+(ROW('DONNÉES BRUTES'!A$3:A$42)-ROW('DONNÉES BRUTES'!A$3))/1000,0),0))),"—")</f>
        <v/>
      </c>
      <c r="I20">
        <f t="array" ref="I20">IFERROR(IF(10&gt;COUNTIF('DONNÉES BRUTES'!C$3:C$42,"Technology"),"",INDEX('DONNÉES BRUTES'!M$3:M$42,MATCH(LARGE(IF('DONNÉES BRUTES'!C$3:C$42="Technology",'DONNÉES BRUTES'!AB$3:AB$42+(ROW('DONNÉES BRUTES'!A$3:A$42)-ROW('DONNÉES BRUTES'!A$3))/1000,0),10),IF('DONNÉES BRUTES'!C$3:C$42="Technology",'DONNÉES BRUTES'!AB$3:AB$42+(ROW('DONNÉES BRUTES'!A$3:A$42)-ROW('DONNÉES BRUTES'!A$3))/1000,0),0))),"—")</f>
        <v/>
      </c>
      <c r="J20">
        <f t="array" ref="J20">IFERROR(IF(10&gt;COUNTIF('DONNÉES BRUTES'!C$3:C$42,"Technology"),"",INDEX('DONNÉES BRUTES'!N$3:N$42,MATCH(LARGE(IF('DONNÉES BRUTES'!C$3:C$42="Technology",'DONNÉES BRUTES'!AB$3:AB$42+(ROW('DONNÉES BRUTES'!A$3:A$42)-ROW('DONNÉES BRUTES'!A$3))/1000,0),10),IF('DONNÉES BRUTES'!C$3:C$42="Technology",'DONNÉES BRUTES'!AB$3:AB$42+(ROW('DONNÉES BRUTES'!A$3:A$42)-ROW('DONNÉES BRUTES'!A$3))/1000,0),0))),"—")</f>
        <v/>
      </c>
      <c r="K20">
        <f t="array" ref="K20">IFERROR(IF(10&gt;COUNTIF('DONNÉES BRUTES'!C$3:C$42,"Technology"),"",INDEX('DONNÉES BRUTES'!O$3:O$42,MATCH(LARGE(IF('DONNÉES BRUTES'!C$3:C$42="Technology",'DONNÉES BRUTES'!AB$3:AB$42+(ROW('DONNÉES BRUTES'!A$3:A$42)-ROW('DONNÉES BRUTES'!A$3))/1000,0),10),IF('DONNÉES BRUTES'!C$3:C$42="Technology",'DONNÉES BRUTES'!AB$3:AB$42+(ROW('DONNÉES BRUTES'!A$3:A$42)-ROW('DONNÉES BRUTES'!A$3))/1000,0),0))),"—")</f>
        <v/>
      </c>
      <c r="L20">
        <f t="array" ref="L20">IFERROR(IF(10&gt;COUNTIF('DONNÉES BRUTES'!C$3:C$42,"Technology"),"",INDEX('DONNÉES BRUTES'!P$3:P$42,MATCH(LARGE(IF('DONNÉES BRUTES'!C$3:C$42="Technology",'DONNÉES BRUTES'!AB$3:AB$42+(ROW('DONNÉES BRUTES'!A$3:A$42)-ROW('DONNÉES BRUTES'!A$3))/1000,0),10),IF('DONNÉES BRUTES'!C$3:C$42="Technology",'DONNÉES BRUTES'!AB$3:AB$42+(ROW('DONNÉES BRUTES'!A$3:A$42)-ROW('DONNÉES BRUTES'!A$3))/1000,0),0))),"—")</f>
        <v/>
      </c>
      <c r="M20">
        <f t="array" ref="M20">IFERROR(IF(10&gt;COUNTIF('DONNÉES BRUTES'!C$3:C$42,"Technology"),"",INDEX('DONNÉES BRUTES'!Q$3:Q$42,MATCH(LARGE(IF('DONNÉES BRUTES'!C$3:C$42="Technology",'DONNÉES BRUTES'!AB$3:AB$42+(ROW('DONNÉES BRUTES'!A$3:A$42)-ROW('DONNÉES BRUTES'!A$3))/1000,0),10),IF('DONNÉES BRUTES'!C$3:C$42="Technology",'DONNÉES BRUTES'!AB$3:AB$42+(ROW('DONNÉES BRUTES'!A$3:A$42)-ROW('DONNÉES BRUTES'!A$3))/1000,0),0))),"—")</f>
        <v/>
      </c>
      <c r="N20">
        <f t="array" ref="N20">IFERROR(IF(10&gt;COUNTIF('DONNÉES BRUTES'!C$3:C$42,"Technology"),"",INDEX('DONNÉES BRUTES'!S$3:S$42,MATCH(LARGE(IF('DONNÉES BRUTES'!C$3:C$42="Technology",'DONNÉES BRUTES'!AB$3:AB$42+(ROW('DONNÉES BRUTES'!A$3:A$42)-ROW('DONNÉES BRUTES'!A$3))/1000,0),10),IF('DONNÉES BRUTES'!C$3:C$42="Technology",'DONNÉES BRUTES'!AB$3:AB$42+(ROW('DONNÉES BRUTES'!A$3:A$42)-ROW('DONNÉES BRUTES'!A$3))/1000,0),0))),"—")</f>
        <v/>
      </c>
      <c r="O20">
        <f t="array" ref="O20">IFERROR(IF(10&gt;COUNTIF('DONNÉES BRUTES'!C$3:C$42,"Technology"),"",INDEX('DONNÉES BRUTES'!T$3:T$42,MATCH(LARGE(IF('DONNÉES BRUTES'!C$3:C$42="Technology",'DONNÉES BRUTES'!AB$3:AB$42+(ROW('DONNÉES BRUTES'!A$3:A$42)-ROW('DONNÉES BRUTES'!A$3))/1000,0),10),IF('DONNÉES BRUTES'!C$3:C$42="Technology",'DONNÉES BRUTES'!AB$3:AB$42+(ROW('DONNÉES BRUTES'!A$3:A$42)-ROW('DONNÉES BRUTES'!A$3))/1000,0),0))),"—")</f>
        <v/>
      </c>
      <c r="P20">
        <f t="array" ref="P20">IFERROR(IF(10&gt;COUNTIF('DONNÉES BRUTES'!C$3:C$42,"Technology"),"",INDEX('DONNÉES BRUTES'!U$3:U$42,MATCH(LARGE(IF('DONNÉES BRUTES'!C$3:C$42="Technology",'DONNÉES BRUTES'!AB$3:AB$42+(ROW('DONNÉES BRUTES'!A$3:A$42)-ROW('DONNÉES BRUTES'!A$3))/1000,0),10),IF('DONNÉES BRUTES'!C$3:C$42="Technology",'DONNÉES BRUTES'!AB$3:AB$42+(ROW('DONNÉES BRUTES'!A$3:A$42)-ROW('DONNÉES BRUTES'!A$3))/1000,0),0))),"—")</f>
        <v/>
      </c>
      <c r="Q20">
        <f t="array" ref="Q20">IFERROR(IF(10&gt;COUNTIF('DONNÉES BRUTES'!C$3:C$42,"Technology"),"",INDEX('DONNÉES BRUTES'!AD$3:AD$42,MATCH(LARGE(IF('DONNÉES BRUTES'!C$3:C$42="Technology",'DONNÉES BRUTES'!AB$3:AB$42+(ROW('DONNÉES BRUTES'!A$3:A$42)-ROW('DONNÉES BRUTES'!A$3))/1000,0),10),IF('DONNÉES BRUTES'!C$3:C$42="Technology",'DONNÉES BRUTES'!AB$3:AB$42+(ROW('DONNÉES BRUTES'!A$3:A$42)-ROW('DONNÉES BRUTES'!A$3))/1000,0),0))),"—")</f>
        <v/>
      </c>
    </row>
    <row r="21" ht="15.95" customHeight="1">
      <c r="B21">
        <f>IF(11&gt;COUNTIF('DONNÉES BRUTES'!C$3:C$42,"Technology"),"",11)</f>
        <v/>
      </c>
      <c r="C21">
        <f t="array" ref="C21">IFERROR(IF(11&gt;COUNTIF('DONNÉES BRUTES'!C$3:C$42,"Technology"),"",INDEX('DONNÉES BRUTES'!A$3:A$42,MATCH(LARGE(IF('DONNÉES BRUTES'!C$3:C$42="Technology",'DONNÉES BRUTES'!AB$3:AB$42+(ROW('DONNÉES BRUTES'!A$3:A$42)-ROW('DONNÉES BRUTES'!A$3))/1000,0),11),IF('DONNÉES BRUTES'!C$3:C$42="Technology",'DONNÉES BRUTES'!AB$3:AB$42+(ROW('DONNÉES BRUTES'!A$3:A$42)-ROW('DONNÉES BRUTES'!A$3))/1000,0),0))),"—")</f>
        <v/>
      </c>
      <c r="D21">
        <f t="array" ref="D21">IFERROR(IF(11&gt;COUNTIF('DONNÉES BRUTES'!C$3:C$42,"Technology"),"",INDEX('DONNÉES BRUTES'!B$3:B$42,MATCH(LARGE(IF('DONNÉES BRUTES'!C$3:C$42="Technology",'DONNÉES BRUTES'!AB$3:AB$42+(ROW('DONNÉES BRUTES'!A$3:A$42)-ROW('DONNÉES BRUTES'!A$3))/1000,0),11),IF('DONNÉES BRUTES'!C$3:C$42="Technology",'DONNÉES BRUTES'!AB$3:AB$42+(ROW('DONNÉES BRUTES'!A$3:A$42)-ROW('DONNÉES BRUTES'!A$3))/1000,0),0))),"—")</f>
        <v/>
      </c>
      <c r="E21">
        <f t="array" ref="E21">IFERROR(IF(11&gt;COUNTIF('DONNÉES BRUTES'!C$3:C$42,"Technology"),"",INT(LARGE(IF('DONNÉES BRUTES'!C$3:C$42="Technology",'DONNÉES BRUTES'!AB$3:AB$42+(ROW('DONNÉES BRUTES'!A$3:A$42)-ROW('DONNÉES BRUTES'!A$3))/1000,0),11))&amp;"/100"),"—")</f>
        <v/>
      </c>
      <c r="F21">
        <f t="array" ref="F21">IFERROR(IF(11&gt;COUNTIF('DONNÉES BRUTES'!C$3:C$42,"Technology"),"",INDEX('DONNÉES BRUTES'!Y$3:Y$42,MATCH(LARGE(IF('DONNÉES BRUTES'!C$3:C$42="Technology",'DONNÉES BRUTES'!AB$3:AB$42+(ROW('DONNÉES BRUTES'!A$3:A$42)-ROW('DONNÉES BRUTES'!A$3))/1000,0),11),IF('DONNÉES BRUTES'!C$3:C$42="Technology",'DONNÉES BRUTES'!AB$3:AB$42+(ROW('DONNÉES BRUTES'!A$3:A$42)-ROW('DONNÉES BRUTES'!A$3))/1000,0),0))),"—")</f>
        <v/>
      </c>
      <c r="G21">
        <f t="array" ref="G21">IFERROR(IF(11&gt;COUNTIF('DONNÉES BRUTES'!C$3:C$42,"Technology"),"",INDEX('DONNÉES BRUTES'!Z$3:Z$42,MATCH(LARGE(IF('DONNÉES BRUTES'!C$3:C$42="Technology",'DONNÉES BRUTES'!AB$3:AB$42+(ROW('DONNÉES BRUTES'!A$3:A$42)-ROW('DONNÉES BRUTES'!A$3))/1000,0),11),IF('DONNÉES BRUTES'!C$3:C$42="Technology",'DONNÉES BRUTES'!AB$3:AB$42+(ROW('DONNÉES BRUTES'!A$3:A$42)-ROW('DONNÉES BRUTES'!A$3))/1000,0),0))),"—")</f>
        <v/>
      </c>
      <c r="H21">
        <f t="array" ref="H21">IFERROR(IF(11&gt;COUNTIF('DONNÉES BRUTES'!C$3:C$42,"Technology"),"",INDEX('DONNÉES BRUTES'!AA$3:AA$42,MATCH(LARGE(IF('DONNÉES BRUTES'!C$3:C$42="Technology",'DONNÉES BRUTES'!AB$3:AB$42+(ROW('DONNÉES BRUTES'!A$3:A$42)-ROW('DONNÉES BRUTES'!A$3))/1000,0),11),IF('DONNÉES BRUTES'!C$3:C$42="Technology",'DONNÉES BRUTES'!AB$3:AB$42+(ROW('DONNÉES BRUTES'!A$3:A$42)-ROW('DONNÉES BRUTES'!A$3))/1000,0),0))),"—")</f>
        <v/>
      </c>
      <c r="I21">
        <f t="array" ref="I21">IFERROR(IF(11&gt;COUNTIF('DONNÉES BRUTES'!C$3:C$42,"Technology"),"",INDEX('DONNÉES BRUTES'!M$3:M$42,MATCH(LARGE(IF('DONNÉES BRUTES'!C$3:C$42="Technology",'DONNÉES BRUTES'!AB$3:AB$42+(ROW('DONNÉES BRUTES'!A$3:A$42)-ROW('DONNÉES BRUTES'!A$3))/1000,0),11),IF('DONNÉES BRUTES'!C$3:C$42="Technology",'DONNÉES BRUTES'!AB$3:AB$42+(ROW('DONNÉES BRUTES'!A$3:A$42)-ROW('DONNÉES BRUTES'!A$3))/1000,0),0))),"—")</f>
        <v/>
      </c>
      <c r="J21">
        <f t="array" ref="J21">IFERROR(IF(11&gt;COUNTIF('DONNÉES BRUTES'!C$3:C$42,"Technology"),"",INDEX('DONNÉES BRUTES'!N$3:N$42,MATCH(LARGE(IF('DONNÉES BRUTES'!C$3:C$42="Technology",'DONNÉES BRUTES'!AB$3:AB$42+(ROW('DONNÉES BRUTES'!A$3:A$42)-ROW('DONNÉES BRUTES'!A$3))/1000,0),11),IF('DONNÉES BRUTES'!C$3:C$42="Technology",'DONNÉES BRUTES'!AB$3:AB$42+(ROW('DONNÉES BRUTES'!A$3:A$42)-ROW('DONNÉES BRUTES'!A$3))/1000,0),0))),"—")</f>
        <v/>
      </c>
      <c r="K21">
        <f t="array" ref="K21">IFERROR(IF(11&gt;COUNTIF('DONNÉES BRUTES'!C$3:C$42,"Technology"),"",INDEX('DONNÉES BRUTES'!O$3:O$42,MATCH(LARGE(IF('DONNÉES BRUTES'!C$3:C$42="Technology",'DONNÉES BRUTES'!AB$3:AB$42+(ROW('DONNÉES BRUTES'!A$3:A$42)-ROW('DONNÉES BRUTES'!A$3))/1000,0),11),IF('DONNÉES BRUTES'!C$3:C$42="Technology",'DONNÉES BRUTES'!AB$3:AB$42+(ROW('DONNÉES BRUTES'!A$3:A$42)-ROW('DONNÉES BRUTES'!A$3))/1000,0),0))),"—")</f>
        <v/>
      </c>
      <c r="L21">
        <f t="array" ref="L21">IFERROR(IF(11&gt;COUNTIF('DONNÉES BRUTES'!C$3:C$42,"Technology"),"",INDEX('DONNÉES BRUTES'!P$3:P$42,MATCH(LARGE(IF('DONNÉES BRUTES'!C$3:C$42="Technology",'DONNÉES BRUTES'!AB$3:AB$42+(ROW('DONNÉES BRUTES'!A$3:A$42)-ROW('DONNÉES BRUTES'!A$3))/1000,0),11),IF('DONNÉES BRUTES'!C$3:C$42="Technology",'DONNÉES BRUTES'!AB$3:AB$42+(ROW('DONNÉES BRUTES'!A$3:A$42)-ROW('DONNÉES BRUTES'!A$3))/1000,0),0))),"—")</f>
        <v/>
      </c>
      <c r="M21">
        <f t="array" ref="M21">IFERROR(IF(11&gt;COUNTIF('DONNÉES BRUTES'!C$3:C$42,"Technology"),"",INDEX('DONNÉES BRUTES'!Q$3:Q$42,MATCH(LARGE(IF('DONNÉES BRUTES'!C$3:C$42="Technology",'DONNÉES BRUTES'!AB$3:AB$42+(ROW('DONNÉES BRUTES'!A$3:A$42)-ROW('DONNÉES BRUTES'!A$3))/1000,0),11),IF('DONNÉES BRUTES'!C$3:C$42="Technology",'DONNÉES BRUTES'!AB$3:AB$42+(ROW('DONNÉES BRUTES'!A$3:A$42)-ROW('DONNÉES BRUTES'!A$3))/1000,0),0))),"—")</f>
        <v/>
      </c>
      <c r="N21">
        <f t="array" ref="N21">IFERROR(IF(11&gt;COUNTIF('DONNÉES BRUTES'!C$3:C$42,"Technology"),"",INDEX('DONNÉES BRUTES'!S$3:S$42,MATCH(LARGE(IF('DONNÉES BRUTES'!C$3:C$42="Technology",'DONNÉES BRUTES'!AB$3:AB$42+(ROW('DONNÉES BRUTES'!A$3:A$42)-ROW('DONNÉES BRUTES'!A$3))/1000,0),11),IF('DONNÉES BRUTES'!C$3:C$42="Technology",'DONNÉES BRUTES'!AB$3:AB$42+(ROW('DONNÉES BRUTES'!A$3:A$42)-ROW('DONNÉES BRUTES'!A$3))/1000,0),0))),"—")</f>
        <v/>
      </c>
      <c r="O21">
        <f t="array" ref="O21">IFERROR(IF(11&gt;COUNTIF('DONNÉES BRUTES'!C$3:C$42,"Technology"),"",INDEX('DONNÉES BRUTES'!T$3:T$42,MATCH(LARGE(IF('DONNÉES BRUTES'!C$3:C$42="Technology",'DONNÉES BRUTES'!AB$3:AB$42+(ROW('DONNÉES BRUTES'!A$3:A$42)-ROW('DONNÉES BRUTES'!A$3))/1000,0),11),IF('DONNÉES BRUTES'!C$3:C$42="Technology",'DONNÉES BRUTES'!AB$3:AB$42+(ROW('DONNÉES BRUTES'!A$3:A$42)-ROW('DONNÉES BRUTES'!A$3))/1000,0),0))),"—")</f>
        <v/>
      </c>
      <c r="P21">
        <f t="array" ref="P21">IFERROR(IF(11&gt;COUNTIF('DONNÉES BRUTES'!C$3:C$42,"Technology"),"",INDEX('DONNÉES BRUTES'!U$3:U$42,MATCH(LARGE(IF('DONNÉES BRUTES'!C$3:C$42="Technology",'DONNÉES BRUTES'!AB$3:AB$42+(ROW('DONNÉES BRUTES'!A$3:A$42)-ROW('DONNÉES BRUTES'!A$3))/1000,0),11),IF('DONNÉES BRUTES'!C$3:C$42="Technology",'DONNÉES BRUTES'!AB$3:AB$42+(ROW('DONNÉES BRUTES'!A$3:A$42)-ROW('DONNÉES BRUTES'!A$3))/1000,0),0))),"—")</f>
        <v/>
      </c>
      <c r="Q21">
        <f t="array" ref="Q21">IFERROR(IF(11&gt;COUNTIF('DONNÉES BRUTES'!C$3:C$42,"Technology"),"",INDEX('DONNÉES BRUTES'!AD$3:AD$42,MATCH(LARGE(IF('DONNÉES BRUTES'!C$3:C$42="Technology",'DONNÉES BRUTES'!AB$3:AB$42+(ROW('DONNÉES BRUTES'!A$3:A$42)-ROW('DONNÉES BRUTES'!A$3))/1000,0),11),IF('DONNÉES BRUTES'!C$3:C$42="Technology",'DONNÉES BRUTES'!AB$3:AB$42+(ROW('DONNÉES BRUTES'!A$3:A$42)-ROW('DONNÉES BRUTES'!A$3))/1000,0),0))),"—")</f>
        <v/>
      </c>
    </row>
    <row r="22" ht="15.95" customHeight="1">
      <c r="B22">
        <f>IF(12&gt;COUNTIF('DONNÉES BRUTES'!C$3:C$42,"Technology"),"",12)</f>
        <v/>
      </c>
      <c r="C22">
        <f t="array" ref="C22">IFERROR(IF(12&gt;COUNTIF('DONNÉES BRUTES'!C$3:C$42,"Technology"),"",INDEX('DONNÉES BRUTES'!A$3:A$42,MATCH(LARGE(IF('DONNÉES BRUTES'!C$3:C$42="Technology",'DONNÉES BRUTES'!AB$3:AB$42+(ROW('DONNÉES BRUTES'!A$3:A$42)-ROW('DONNÉES BRUTES'!A$3))/1000,0),12),IF('DONNÉES BRUTES'!C$3:C$42="Technology",'DONNÉES BRUTES'!AB$3:AB$42+(ROW('DONNÉES BRUTES'!A$3:A$42)-ROW('DONNÉES BRUTES'!A$3))/1000,0),0))),"—")</f>
        <v/>
      </c>
      <c r="D22">
        <f t="array" ref="D22">IFERROR(IF(12&gt;COUNTIF('DONNÉES BRUTES'!C$3:C$42,"Technology"),"",INDEX('DONNÉES BRUTES'!B$3:B$42,MATCH(LARGE(IF('DONNÉES BRUTES'!C$3:C$42="Technology",'DONNÉES BRUTES'!AB$3:AB$42+(ROW('DONNÉES BRUTES'!A$3:A$42)-ROW('DONNÉES BRUTES'!A$3))/1000,0),12),IF('DONNÉES BRUTES'!C$3:C$42="Technology",'DONNÉES BRUTES'!AB$3:AB$42+(ROW('DONNÉES BRUTES'!A$3:A$42)-ROW('DONNÉES BRUTES'!A$3))/1000,0),0))),"—")</f>
        <v/>
      </c>
      <c r="E22">
        <f t="array" ref="E22">IFERROR(IF(12&gt;COUNTIF('DONNÉES BRUTES'!C$3:C$42,"Technology"),"",INT(LARGE(IF('DONNÉES BRUTES'!C$3:C$42="Technology",'DONNÉES BRUTES'!AB$3:AB$42+(ROW('DONNÉES BRUTES'!A$3:A$42)-ROW('DONNÉES BRUTES'!A$3))/1000,0),12))&amp;"/100"),"—")</f>
        <v/>
      </c>
      <c r="F22">
        <f t="array" ref="F22">IFERROR(IF(12&gt;COUNTIF('DONNÉES BRUTES'!C$3:C$42,"Technology"),"",INDEX('DONNÉES BRUTES'!Y$3:Y$42,MATCH(LARGE(IF('DONNÉES BRUTES'!C$3:C$42="Technology",'DONNÉES BRUTES'!AB$3:AB$42+(ROW('DONNÉES BRUTES'!A$3:A$42)-ROW('DONNÉES BRUTES'!A$3))/1000,0),12),IF('DONNÉES BRUTES'!C$3:C$42="Technology",'DONNÉES BRUTES'!AB$3:AB$42+(ROW('DONNÉES BRUTES'!A$3:A$42)-ROW('DONNÉES BRUTES'!A$3))/1000,0),0))),"—")</f>
        <v/>
      </c>
      <c r="G22">
        <f t="array" ref="G22">IFERROR(IF(12&gt;COUNTIF('DONNÉES BRUTES'!C$3:C$42,"Technology"),"",INDEX('DONNÉES BRUTES'!Z$3:Z$42,MATCH(LARGE(IF('DONNÉES BRUTES'!C$3:C$42="Technology",'DONNÉES BRUTES'!AB$3:AB$42+(ROW('DONNÉES BRUTES'!A$3:A$42)-ROW('DONNÉES BRUTES'!A$3))/1000,0),12),IF('DONNÉES BRUTES'!C$3:C$42="Technology",'DONNÉES BRUTES'!AB$3:AB$42+(ROW('DONNÉES BRUTES'!A$3:A$42)-ROW('DONNÉES BRUTES'!A$3))/1000,0),0))),"—")</f>
        <v/>
      </c>
      <c r="H22">
        <f t="array" ref="H22">IFERROR(IF(12&gt;COUNTIF('DONNÉES BRUTES'!C$3:C$42,"Technology"),"",INDEX('DONNÉES BRUTES'!AA$3:AA$42,MATCH(LARGE(IF('DONNÉES BRUTES'!C$3:C$42="Technology",'DONNÉES BRUTES'!AB$3:AB$42+(ROW('DONNÉES BRUTES'!A$3:A$42)-ROW('DONNÉES BRUTES'!A$3))/1000,0),12),IF('DONNÉES BRUTES'!C$3:C$42="Technology",'DONNÉES BRUTES'!AB$3:AB$42+(ROW('DONNÉES BRUTES'!A$3:A$42)-ROW('DONNÉES BRUTES'!A$3))/1000,0),0))),"—")</f>
        <v/>
      </c>
      <c r="I22">
        <f t="array" ref="I22">IFERROR(IF(12&gt;COUNTIF('DONNÉES BRUTES'!C$3:C$42,"Technology"),"",INDEX('DONNÉES BRUTES'!M$3:M$42,MATCH(LARGE(IF('DONNÉES BRUTES'!C$3:C$42="Technology",'DONNÉES BRUTES'!AB$3:AB$42+(ROW('DONNÉES BRUTES'!A$3:A$42)-ROW('DONNÉES BRUTES'!A$3))/1000,0),12),IF('DONNÉES BRUTES'!C$3:C$42="Technology",'DONNÉES BRUTES'!AB$3:AB$42+(ROW('DONNÉES BRUTES'!A$3:A$42)-ROW('DONNÉES BRUTES'!A$3))/1000,0),0))),"—")</f>
        <v/>
      </c>
      <c r="J22">
        <f t="array" ref="J22">IFERROR(IF(12&gt;COUNTIF('DONNÉES BRUTES'!C$3:C$42,"Technology"),"",INDEX('DONNÉES BRUTES'!N$3:N$42,MATCH(LARGE(IF('DONNÉES BRUTES'!C$3:C$42="Technology",'DONNÉES BRUTES'!AB$3:AB$42+(ROW('DONNÉES BRUTES'!A$3:A$42)-ROW('DONNÉES BRUTES'!A$3))/1000,0),12),IF('DONNÉES BRUTES'!C$3:C$42="Technology",'DONNÉES BRUTES'!AB$3:AB$42+(ROW('DONNÉES BRUTES'!A$3:A$42)-ROW('DONNÉES BRUTES'!A$3))/1000,0),0))),"—")</f>
        <v/>
      </c>
      <c r="K22">
        <f t="array" ref="K22">IFERROR(IF(12&gt;COUNTIF('DONNÉES BRUTES'!C$3:C$42,"Technology"),"",INDEX('DONNÉES BRUTES'!O$3:O$42,MATCH(LARGE(IF('DONNÉES BRUTES'!C$3:C$42="Technology",'DONNÉES BRUTES'!AB$3:AB$42+(ROW('DONNÉES BRUTES'!A$3:A$42)-ROW('DONNÉES BRUTES'!A$3))/1000,0),12),IF('DONNÉES BRUTES'!C$3:C$42="Technology",'DONNÉES BRUTES'!AB$3:AB$42+(ROW('DONNÉES BRUTES'!A$3:A$42)-ROW('DONNÉES BRUTES'!A$3))/1000,0),0))),"—")</f>
        <v/>
      </c>
      <c r="L22">
        <f t="array" ref="L22">IFERROR(IF(12&gt;COUNTIF('DONNÉES BRUTES'!C$3:C$42,"Technology"),"",INDEX('DONNÉES BRUTES'!P$3:P$42,MATCH(LARGE(IF('DONNÉES BRUTES'!C$3:C$42="Technology",'DONNÉES BRUTES'!AB$3:AB$42+(ROW('DONNÉES BRUTES'!A$3:A$42)-ROW('DONNÉES BRUTES'!A$3))/1000,0),12),IF('DONNÉES BRUTES'!C$3:C$42="Technology",'DONNÉES BRUTES'!AB$3:AB$42+(ROW('DONNÉES BRUTES'!A$3:A$42)-ROW('DONNÉES BRUTES'!A$3))/1000,0),0))),"—")</f>
        <v/>
      </c>
      <c r="M22">
        <f t="array" ref="M22">IFERROR(IF(12&gt;COUNTIF('DONNÉES BRUTES'!C$3:C$42,"Technology"),"",INDEX('DONNÉES BRUTES'!Q$3:Q$42,MATCH(LARGE(IF('DONNÉES BRUTES'!C$3:C$42="Technology",'DONNÉES BRUTES'!AB$3:AB$42+(ROW('DONNÉES BRUTES'!A$3:A$42)-ROW('DONNÉES BRUTES'!A$3))/1000,0),12),IF('DONNÉES BRUTES'!C$3:C$42="Technology",'DONNÉES BRUTES'!AB$3:AB$42+(ROW('DONNÉES BRUTES'!A$3:A$42)-ROW('DONNÉES BRUTES'!A$3))/1000,0),0))),"—")</f>
        <v/>
      </c>
      <c r="N22">
        <f t="array" ref="N22">IFERROR(IF(12&gt;COUNTIF('DONNÉES BRUTES'!C$3:C$42,"Technology"),"",INDEX('DONNÉES BRUTES'!S$3:S$42,MATCH(LARGE(IF('DONNÉES BRUTES'!C$3:C$42="Technology",'DONNÉES BRUTES'!AB$3:AB$42+(ROW('DONNÉES BRUTES'!A$3:A$42)-ROW('DONNÉES BRUTES'!A$3))/1000,0),12),IF('DONNÉES BRUTES'!C$3:C$42="Technology",'DONNÉES BRUTES'!AB$3:AB$42+(ROW('DONNÉES BRUTES'!A$3:A$42)-ROW('DONNÉES BRUTES'!A$3))/1000,0),0))),"—")</f>
        <v/>
      </c>
      <c r="O22">
        <f t="array" ref="O22">IFERROR(IF(12&gt;COUNTIF('DONNÉES BRUTES'!C$3:C$42,"Technology"),"",INDEX('DONNÉES BRUTES'!T$3:T$42,MATCH(LARGE(IF('DONNÉES BRUTES'!C$3:C$42="Technology",'DONNÉES BRUTES'!AB$3:AB$42+(ROW('DONNÉES BRUTES'!A$3:A$42)-ROW('DONNÉES BRUTES'!A$3))/1000,0),12),IF('DONNÉES BRUTES'!C$3:C$42="Technology",'DONNÉES BRUTES'!AB$3:AB$42+(ROW('DONNÉES BRUTES'!A$3:A$42)-ROW('DONNÉES BRUTES'!A$3))/1000,0),0))),"—")</f>
        <v/>
      </c>
      <c r="P22">
        <f t="array" ref="P22">IFERROR(IF(12&gt;COUNTIF('DONNÉES BRUTES'!C$3:C$42,"Technology"),"",INDEX('DONNÉES BRUTES'!U$3:U$42,MATCH(LARGE(IF('DONNÉES BRUTES'!C$3:C$42="Technology",'DONNÉES BRUTES'!AB$3:AB$42+(ROW('DONNÉES BRUTES'!A$3:A$42)-ROW('DONNÉES BRUTES'!A$3))/1000,0),12),IF('DONNÉES BRUTES'!C$3:C$42="Technology",'DONNÉES BRUTES'!AB$3:AB$42+(ROW('DONNÉES BRUTES'!A$3:A$42)-ROW('DONNÉES BRUTES'!A$3))/1000,0),0))),"—")</f>
        <v/>
      </c>
      <c r="Q22">
        <f t="array" ref="Q22">IFERROR(IF(12&gt;COUNTIF('DONNÉES BRUTES'!C$3:C$42,"Technology"),"",INDEX('DONNÉES BRUTES'!AD$3:AD$42,MATCH(LARGE(IF('DONNÉES BRUTES'!C$3:C$42="Technology",'DONNÉES BRUTES'!AB$3:AB$42+(ROW('DONNÉES BRUTES'!A$3:A$42)-ROW('DONNÉES BRUTES'!A$3))/1000,0),12),IF('DONNÉES BRUTES'!C$3:C$42="Technology",'DONNÉES BRUTES'!AB$3:AB$42+(ROW('DONNÉES BRUTES'!A$3:A$42)-ROW('DONNÉES BRUTES'!A$3))/1000,0),0))),"—")</f>
        <v/>
      </c>
    </row>
    <row r="23" ht="15.95" customHeight="1">
      <c r="B23">
        <f>IF(13&gt;COUNTIF('DONNÉES BRUTES'!C$3:C$42,"Technology"),"",13)</f>
        <v/>
      </c>
      <c r="C23">
        <f t="array" ref="C23">IFERROR(IF(13&gt;COUNTIF('DONNÉES BRUTES'!C$3:C$42,"Technology"),"",INDEX('DONNÉES BRUTES'!A$3:A$42,MATCH(LARGE(IF('DONNÉES BRUTES'!C$3:C$42="Technology",'DONNÉES BRUTES'!AB$3:AB$42+(ROW('DONNÉES BRUTES'!A$3:A$42)-ROW('DONNÉES BRUTES'!A$3))/1000,0),13),IF('DONNÉES BRUTES'!C$3:C$42="Technology",'DONNÉES BRUTES'!AB$3:AB$42+(ROW('DONNÉES BRUTES'!A$3:A$42)-ROW('DONNÉES BRUTES'!A$3))/1000,0),0))),"—")</f>
        <v/>
      </c>
      <c r="D23">
        <f t="array" ref="D23">IFERROR(IF(13&gt;COUNTIF('DONNÉES BRUTES'!C$3:C$42,"Technology"),"",INDEX('DONNÉES BRUTES'!B$3:B$42,MATCH(LARGE(IF('DONNÉES BRUTES'!C$3:C$42="Technology",'DONNÉES BRUTES'!AB$3:AB$42+(ROW('DONNÉES BRUTES'!A$3:A$42)-ROW('DONNÉES BRUTES'!A$3))/1000,0),13),IF('DONNÉES BRUTES'!C$3:C$42="Technology",'DONNÉES BRUTES'!AB$3:AB$42+(ROW('DONNÉES BRUTES'!A$3:A$42)-ROW('DONNÉES BRUTES'!A$3))/1000,0),0))),"—")</f>
        <v/>
      </c>
      <c r="E23">
        <f t="array" ref="E23">IFERROR(IF(13&gt;COUNTIF('DONNÉES BRUTES'!C$3:C$42,"Technology"),"",INT(LARGE(IF('DONNÉES BRUTES'!C$3:C$42="Technology",'DONNÉES BRUTES'!AB$3:AB$42+(ROW('DONNÉES BRUTES'!A$3:A$42)-ROW('DONNÉES BRUTES'!A$3))/1000,0),13))&amp;"/100"),"—")</f>
        <v/>
      </c>
      <c r="F23">
        <f t="array" ref="F23">IFERROR(IF(13&gt;COUNTIF('DONNÉES BRUTES'!C$3:C$42,"Technology"),"",INDEX('DONNÉES BRUTES'!Y$3:Y$42,MATCH(LARGE(IF('DONNÉES BRUTES'!C$3:C$42="Technology",'DONNÉES BRUTES'!AB$3:AB$42+(ROW('DONNÉES BRUTES'!A$3:A$42)-ROW('DONNÉES BRUTES'!A$3))/1000,0),13),IF('DONNÉES BRUTES'!C$3:C$42="Technology",'DONNÉES BRUTES'!AB$3:AB$42+(ROW('DONNÉES BRUTES'!A$3:A$42)-ROW('DONNÉES BRUTES'!A$3))/1000,0),0))),"—")</f>
        <v/>
      </c>
      <c r="G23">
        <f t="array" ref="G23">IFERROR(IF(13&gt;COUNTIF('DONNÉES BRUTES'!C$3:C$42,"Technology"),"",INDEX('DONNÉES BRUTES'!Z$3:Z$42,MATCH(LARGE(IF('DONNÉES BRUTES'!C$3:C$42="Technology",'DONNÉES BRUTES'!AB$3:AB$42+(ROW('DONNÉES BRUTES'!A$3:A$42)-ROW('DONNÉES BRUTES'!A$3))/1000,0),13),IF('DONNÉES BRUTES'!C$3:C$42="Technology",'DONNÉES BRUTES'!AB$3:AB$42+(ROW('DONNÉES BRUTES'!A$3:A$42)-ROW('DONNÉES BRUTES'!A$3))/1000,0),0))),"—")</f>
        <v/>
      </c>
      <c r="H23">
        <f t="array" ref="H23">IFERROR(IF(13&gt;COUNTIF('DONNÉES BRUTES'!C$3:C$42,"Technology"),"",INDEX('DONNÉES BRUTES'!AA$3:AA$42,MATCH(LARGE(IF('DONNÉES BRUTES'!C$3:C$42="Technology",'DONNÉES BRUTES'!AB$3:AB$42+(ROW('DONNÉES BRUTES'!A$3:A$42)-ROW('DONNÉES BRUTES'!A$3))/1000,0),13),IF('DONNÉES BRUTES'!C$3:C$42="Technology",'DONNÉES BRUTES'!AB$3:AB$42+(ROW('DONNÉES BRUTES'!A$3:A$42)-ROW('DONNÉES BRUTES'!A$3))/1000,0),0))),"—")</f>
        <v/>
      </c>
      <c r="I23">
        <f t="array" ref="I23">IFERROR(IF(13&gt;COUNTIF('DONNÉES BRUTES'!C$3:C$42,"Technology"),"",INDEX('DONNÉES BRUTES'!M$3:M$42,MATCH(LARGE(IF('DONNÉES BRUTES'!C$3:C$42="Technology",'DONNÉES BRUTES'!AB$3:AB$42+(ROW('DONNÉES BRUTES'!A$3:A$42)-ROW('DONNÉES BRUTES'!A$3))/1000,0),13),IF('DONNÉES BRUTES'!C$3:C$42="Technology",'DONNÉES BRUTES'!AB$3:AB$42+(ROW('DONNÉES BRUTES'!A$3:A$42)-ROW('DONNÉES BRUTES'!A$3))/1000,0),0))),"—")</f>
        <v/>
      </c>
      <c r="J23">
        <f t="array" ref="J23">IFERROR(IF(13&gt;COUNTIF('DONNÉES BRUTES'!C$3:C$42,"Technology"),"",INDEX('DONNÉES BRUTES'!N$3:N$42,MATCH(LARGE(IF('DONNÉES BRUTES'!C$3:C$42="Technology",'DONNÉES BRUTES'!AB$3:AB$42+(ROW('DONNÉES BRUTES'!A$3:A$42)-ROW('DONNÉES BRUTES'!A$3))/1000,0),13),IF('DONNÉES BRUTES'!C$3:C$42="Technology",'DONNÉES BRUTES'!AB$3:AB$42+(ROW('DONNÉES BRUTES'!A$3:A$42)-ROW('DONNÉES BRUTES'!A$3))/1000,0),0))),"—")</f>
        <v/>
      </c>
      <c r="K23">
        <f t="array" ref="K23">IFERROR(IF(13&gt;COUNTIF('DONNÉES BRUTES'!C$3:C$42,"Technology"),"",INDEX('DONNÉES BRUTES'!O$3:O$42,MATCH(LARGE(IF('DONNÉES BRUTES'!C$3:C$42="Technology",'DONNÉES BRUTES'!AB$3:AB$42+(ROW('DONNÉES BRUTES'!A$3:A$42)-ROW('DONNÉES BRUTES'!A$3))/1000,0),13),IF('DONNÉES BRUTES'!C$3:C$42="Technology",'DONNÉES BRUTES'!AB$3:AB$42+(ROW('DONNÉES BRUTES'!A$3:A$42)-ROW('DONNÉES BRUTES'!A$3))/1000,0),0))),"—")</f>
        <v/>
      </c>
      <c r="L23">
        <f t="array" ref="L23">IFERROR(IF(13&gt;COUNTIF('DONNÉES BRUTES'!C$3:C$42,"Technology"),"",INDEX('DONNÉES BRUTES'!P$3:P$42,MATCH(LARGE(IF('DONNÉES BRUTES'!C$3:C$42="Technology",'DONNÉES BRUTES'!AB$3:AB$42+(ROW('DONNÉES BRUTES'!A$3:A$42)-ROW('DONNÉES BRUTES'!A$3))/1000,0),13),IF('DONNÉES BRUTES'!C$3:C$42="Technology",'DONNÉES BRUTES'!AB$3:AB$42+(ROW('DONNÉES BRUTES'!A$3:A$42)-ROW('DONNÉES BRUTES'!A$3))/1000,0),0))),"—")</f>
        <v/>
      </c>
      <c r="M23">
        <f t="array" ref="M23">IFERROR(IF(13&gt;COUNTIF('DONNÉES BRUTES'!C$3:C$42,"Technology"),"",INDEX('DONNÉES BRUTES'!Q$3:Q$42,MATCH(LARGE(IF('DONNÉES BRUTES'!C$3:C$42="Technology",'DONNÉES BRUTES'!AB$3:AB$42+(ROW('DONNÉES BRUTES'!A$3:A$42)-ROW('DONNÉES BRUTES'!A$3))/1000,0),13),IF('DONNÉES BRUTES'!C$3:C$42="Technology",'DONNÉES BRUTES'!AB$3:AB$42+(ROW('DONNÉES BRUTES'!A$3:A$42)-ROW('DONNÉES BRUTES'!A$3))/1000,0),0))),"—")</f>
        <v/>
      </c>
      <c r="N23">
        <f t="array" ref="N23">IFERROR(IF(13&gt;COUNTIF('DONNÉES BRUTES'!C$3:C$42,"Technology"),"",INDEX('DONNÉES BRUTES'!S$3:S$42,MATCH(LARGE(IF('DONNÉES BRUTES'!C$3:C$42="Technology",'DONNÉES BRUTES'!AB$3:AB$42+(ROW('DONNÉES BRUTES'!A$3:A$42)-ROW('DONNÉES BRUTES'!A$3))/1000,0),13),IF('DONNÉES BRUTES'!C$3:C$42="Technology",'DONNÉES BRUTES'!AB$3:AB$42+(ROW('DONNÉES BRUTES'!A$3:A$42)-ROW('DONNÉES BRUTES'!A$3))/1000,0),0))),"—")</f>
        <v/>
      </c>
      <c r="O23">
        <f t="array" ref="O23">IFERROR(IF(13&gt;COUNTIF('DONNÉES BRUTES'!C$3:C$42,"Technology"),"",INDEX('DONNÉES BRUTES'!T$3:T$42,MATCH(LARGE(IF('DONNÉES BRUTES'!C$3:C$42="Technology",'DONNÉES BRUTES'!AB$3:AB$42+(ROW('DONNÉES BRUTES'!A$3:A$42)-ROW('DONNÉES BRUTES'!A$3))/1000,0),13),IF('DONNÉES BRUTES'!C$3:C$42="Technology",'DONNÉES BRUTES'!AB$3:AB$42+(ROW('DONNÉES BRUTES'!A$3:A$42)-ROW('DONNÉES BRUTES'!A$3))/1000,0),0))),"—")</f>
        <v/>
      </c>
      <c r="P23">
        <f t="array" ref="P23">IFERROR(IF(13&gt;COUNTIF('DONNÉES BRUTES'!C$3:C$42,"Technology"),"",INDEX('DONNÉES BRUTES'!U$3:U$42,MATCH(LARGE(IF('DONNÉES BRUTES'!C$3:C$42="Technology",'DONNÉES BRUTES'!AB$3:AB$42+(ROW('DONNÉES BRUTES'!A$3:A$42)-ROW('DONNÉES BRUTES'!A$3))/1000,0),13),IF('DONNÉES BRUTES'!C$3:C$42="Technology",'DONNÉES BRUTES'!AB$3:AB$42+(ROW('DONNÉES BRUTES'!A$3:A$42)-ROW('DONNÉES BRUTES'!A$3))/1000,0),0))),"—")</f>
        <v/>
      </c>
      <c r="Q23">
        <f t="array" ref="Q23">IFERROR(IF(13&gt;COUNTIF('DONNÉES BRUTES'!C$3:C$42,"Technology"),"",INDEX('DONNÉES BRUTES'!AD$3:AD$42,MATCH(LARGE(IF('DONNÉES BRUTES'!C$3:C$42="Technology",'DONNÉES BRUTES'!AB$3:AB$42+(ROW('DONNÉES BRUTES'!A$3:A$42)-ROW('DONNÉES BRUTES'!A$3))/1000,0),13),IF('DONNÉES BRUTES'!C$3:C$42="Technology",'DONNÉES BRUTES'!AB$3:AB$42+(ROW('DONNÉES BRUTES'!A$3:A$42)-ROW('DONNÉES BRUTES'!A$3))/1000,0),0))),"—")</f>
        <v/>
      </c>
    </row>
    <row r="24" ht="15.95" customHeight="1">
      <c r="B24">
        <f>IF(14&gt;COUNTIF('DONNÉES BRUTES'!C$3:C$42,"Technology"),"",14)</f>
        <v/>
      </c>
      <c r="C24">
        <f t="array" ref="C24">IFERROR(IF(14&gt;COUNTIF('DONNÉES BRUTES'!C$3:C$42,"Technology"),"",INDEX('DONNÉES BRUTES'!A$3:A$42,MATCH(LARGE(IF('DONNÉES BRUTES'!C$3:C$42="Technology",'DONNÉES BRUTES'!AB$3:AB$42+(ROW('DONNÉES BRUTES'!A$3:A$42)-ROW('DONNÉES BRUTES'!A$3))/1000,0),14),IF('DONNÉES BRUTES'!C$3:C$42="Technology",'DONNÉES BRUTES'!AB$3:AB$42+(ROW('DONNÉES BRUTES'!A$3:A$42)-ROW('DONNÉES BRUTES'!A$3))/1000,0),0))),"—")</f>
        <v/>
      </c>
      <c r="D24">
        <f t="array" ref="D24">IFERROR(IF(14&gt;COUNTIF('DONNÉES BRUTES'!C$3:C$42,"Technology"),"",INDEX('DONNÉES BRUTES'!B$3:B$42,MATCH(LARGE(IF('DONNÉES BRUTES'!C$3:C$42="Technology",'DONNÉES BRUTES'!AB$3:AB$42+(ROW('DONNÉES BRUTES'!A$3:A$42)-ROW('DONNÉES BRUTES'!A$3))/1000,0),14),IF('DONNÉES BRUTES'!C$3:C$42="Technology",'DONNÉES BRUTES'!AB$3:AB$42+(ROW('DONNÉES BRUTES'!A$3:A$42)-ROW('DONNÉES BRUTES'!A$3))/1000,0),0))),"—")</f>
        <v/>
      </c>
      <c r="E24">
        <f t="array" ref="E24">IFERROR(IF(14&gt;COUNTIF('DONNÉES BRUTES'!C$3:C$42,"Technology"),"",INT(LARGE(IF('DONNÉES BRUTES'!C$3:C$42="Technology",'DONNÉES BRUTES'!AB$3:AB$42+(ROW('DONNÉES BRUTES'!A$3:A$42)-ROW('DONNÉES BRUTES'!A$3))/1000,0),14))&amp;"/100"),"—")</f>
        <v/>
      </c>
      <c r="F24">
        <f t="array" ref="F24">IFERROR(IF(14&gt;COUNTIF('DONNÉES BRUTES'!C$3:C$42,"Technology"),"",INDEX('DONNÉES BRUTES'!Y$3:Y$42,MATCH(LARGE(IF('DONNÉES BRUTES'!C$3:C$42="Technology",'DONNÉES BRUTES'!AB$3:AB$42+(ROW('DONNÉES BRUTES'!A$3:A$42)-ROW('DONNÉES BRUTES'!A$3))/1000,0),14),IF('DONNÉES BRUTES'!C$3:C$42="Technology",'DONNÉES BRUTES'!AB$3:AB$42+(ROW('DONNÉES BRUTES'!A$3:A$42)-ROW('DONNÉES BRUTES'!A$3))/1000,0),0))),"—")</f>
        <v/>
      </c>
      <c r="G24">
        <f t="array" ref="G24">IFERROR(IF(14&gt;COUNTIF('DONNÉES BRUTES'!C$3:C$42,"Technology"),"",INDEX('DONNÉES BRUTES'!Z$3:Z$42,MATCH(LARGE(IF('DONNÉES BRUTES'!C$3:C$42="Technology",'DONNÉES BRUTES'!AB$3:AB$42+(ROW('DONNÉES BRUTES'!A$3:A$42)-ROW('DONNÉES BRUTES'!A$3))/1000,0),14),IF('DONNÉES BRUTES'!C$3:C$42="Technology",'DONNÉES BRUTES'!AB$3:AB$42+(ROW('DONNÉES BRUTES'!A$3:A$42)-ROW('DONNÉES BRUTES'!A$3))/1000,0),0))),"—")</f>
        <v/>
      </c>
      <c r="H24">
        <f t="array" ref="H24">IFERROR(IF(14&gt;COUNTIF('DONNÉES BRUTES'!C$3:C$42,"Technology"),"",INDEX('DONNÉES BRUTES'!AA$3:AA$42,MATCH(LARGE(IF('DONNÉES BRUTES'!C$3:C$42="Technology",'DONNÉES BRUTES'!AB$3:AB$42+(ROW('DONNÉES BRUTES'!A$3:A$42)-ROW('DONNÉES BRUTES'!A$3))/1000,0),14),IF('DONNÉES BRUTES'!C$3:C$42="Technology",'DONNÉES BRUTES'!AB$3:AB$42+(ROW('DONNÉES BRUTES'!A$3:A$42)-ROW('DONNÉES BRUTES'!A$3))/1000,0),0))),"—")</f>
        <v/>
      </c>
      <c r="I24">
        <f t="array" ref="I24">IFERROR(IF(14&gt;COUNTIF('DONNÉES BRUTES'!C$3:C$42,"Technology"),"",INDEX('DONNÉES BRUTES'!M$3:M$42,MATCH(LARGE(IF('DONNÉES BRUTES'!C$3:C$42="Technology",'DONNÉES BRUTES'!AB$3:AB$42+(ROW('DONNÉES BRUTES'!A$3:A$42)-ROW('DONNÉES BRUTES'!A$3))/1000,0),14),IF('DONNÉES BRUTES'!C$3:C$42="Technology",'DONNÉES BRUTES'!AB$3:AB$42+(ROW('DONNÉES BRUTES'!A$3:A$42)-ROW('DONNÉES BRUTES'!A$3))/1000,0),0))),"—")</f>
        <v/>
      </c>
      <c r="J24">
        <f t="array" ref="J24">IFERROR(IF(14&gt;COUNTIF('DONNÉES BRUTES'!C$3:C$42,"Technology"),"",INDEX('DONNÉES BRUTES'!N$3:N$42,MATCH(LARGE(IF('DONNÉES BRUTES'!C$3:C$42="Technology",'DONNÉES BRUTES'!AB$3:AB$42+(ROW('DONNÉES BRUTES'!A$3:A$42)-ROW('DONNÉES BRUTES'!A$3))/1000,0),14),IF('DONNÉES BRUTES'!C$3:C$42="Technology",'DONNÉES BRUTES'!AB$3:AB$42+(ROW('DONNÉES BRUTES'!A$3:A$42)-ROW('DONNÉES BRUTES'!A$3))/1000,0),0))),"—")</f>
        <v/>
      </c>
      <c r="K24">
        <f t="array" ref="K24">IFERROR(IF(14&gt;COUNTIF('DONNÉES BRUTES'!C$3:C$42,"Technology"),"",INDEX('DONNÉES BRUTES'!O$3:O$42,MATCH(LARGE(IF('DONNÉES BRUTES'!C$3:C$42="Technology",'DONNÉES BRUTES'!AB$3:AB$42+(ROW('DONNÉES BRUTES'!A$3:A$42)-ROW('DONNÉES BRUTES'!A$3))/1000,0),14),IF('DONNÉES BRUTES'!C$3:C$42="Technology",'DONNÉES BRUTES'!AB$3:AB$42+(ROW('DONNÉES BRUTES'!A$3:A$42)-ROW('DONNÉES BRUTES'!A$3))/1000,0),0))),"—")</f>
        <v/>
      </c>
      <c r="L24">
        <f t="array" ref="L24">IFERROR(IF(14&gt;COUNTIF('DONNÉES BRUTES'!C$3:C$42,"Technology"),"",INDEX('DONNÉES BRUTES'!P$3:P$42,MATCH(LARGE(IF('DONNÉES BRUTES'!C$3:C$42="Technology",'DONNÉES BRUTES'!AB$3:AB$42+(ROW('DONNÉES BRUTES'!A$3:A$42)-ROW('DONNÉES BRUTES'!A$3))/1000,0),14),IF('DONNÉES BRUTES'!C$3:C$42="Technology",'DONNÉES BRUTES'!AB$3:AB$42+(ROW('DONNÉES BRUTES'!A$3:A$42)-ROW('DONNÉES BRUTES'!A$3))/1000,0),0))),"—")</f>
        <v/>
      </c>
      <c r="M24">
        <f t="array" ref="M24">IFERROR(IF(14&gt;COUNTIF('DONNÉES BRUTES'!C$3:C$42,"Technology"),"",INDEX('DONNÉES BRUTES'!Q$3:Q$42,MATCH(LARGE(IF('DONNÉES BRUTES'!C$3:C$42="Technology",'DONNÉES BRUTES'!AB$3:AB$42+(ROW('DONNÉES BRUTES'!A$3:A$42)-ROW('DONNÉES BRUTES'!A$3))/1000,0),14),IF('DONNÉES BRUTES'!C$3:C$42="Technology",'DONNÉES BRUTES'!AB$3:AB$42+(ROW('DONNÉES BRUTES'!A$3:A$42)-ROW('DONNÉES BRUTES'!A$3))/1000,0),0))),"—")</f>
        <v/>
      </c>
      <c r="N24">
        <f t="array" ref="N24">IFERROR(IF(14&gt;COUNTIF('DONNÉES BRUTES'!C$3:C$42,"Technology"),"",INDEX('DONNÉES BRUTES'!S$3:S$42,MATCH(LARGE(IF('DONNÉES BRUTES'!C$3:C$42="Technology",'DONNÉES BRUTES'!AB$3:AB$42+(ROW('DONNÉES BRUTES'!A$3:A$42)-ROW('DONNÉES BRUTES'!A$3))/1000,0),14),IF('DONNÉES BRUTES'!C$3:C$42="Technology",'DONNÉES BRUTES'!AB$3:AB$42+(ROW('DONNÉES BRUTES'!A$3:A$42)-ROW('DONNÉES BRUTES'!A$3))/1000,0),0))),"—")</f>
        <v/>
      </c>
      <c r="O24">
        <f t="array" ref="O24">IFERROR(IF(14&gt;COUNTIF('DONNÉES BRUTES'!C$3:C$42,"Technology"),"",INDEX('DONNÉES BRUTES'!T$3:T$42,MATCH(LARGE(IF('DONNÉES BRUTES'!C$3:C$42="Technology",'DONNÉES BRUTES'!AB$3:AB$42+(ROW('DONNÉES BRUTES'!A$3:A$42)-ROW('DONNÉES BRUTES'!A$3))/1000,0),14),IF('DONNÉES BRUTES'!C$3:C$42="Technology",'DONNÉES BRUTES'!AB$3:AB$42+(ROW('DONNÉES BRUTES'!A$3:A$42)-ROW('DONNÉES BRUTES'!A$3))/1000,0),0))),"—")</f>
        <v/>
      </c>
      <c r="P24">
        <f t="array" ref="P24">IFERROR(IF(14&gt;COUNTIF('DONNÉES BRUTES'!C$3:C$42,"Technology"),"",INDEX('DONNÉES BRUTES'!U$3:U$42,MATCH(LARGE(IF('DONNÉES BRUTES'!C$3:C$42="Technology",'DONNÉES BRUTES'!AB$3:AB$42+(ROW('DONNÉES BRUTES'!A$3:A$42)-ROW('DONNÉES BRUTES'!A$3))/1000,0),14),IF('DONNÉES BRUTES'!C$3:C$42="Technology",'DONNÉES BRUTES'!AB$3:AB$42+(ROW('DONNÉES BRUTES'!A$3:A$42)-ROW('DONNÉES BRUTES'!A$3))/1000,0),0))),"—")</f>
        <v/>
      </c>
      <c r="Q24">
        <f t="array" ref="Q24">IFERROR(IF(14&gt;COUNTIF('DONNÉES BRUTES'!C$3:C$42,"Technology"),"",INDEX('DONNÉES BRUTES'!AD$3:AD$42,MATCH(LARGE(IF('DONNÉES BRUTES'!C$3:C$42="Technology",'DONNÉES BRUTES'!AB$3:AB$42+(ROW('DONNÉES BRUTES'!A$3:A$42)-ROW('DONNÉES BRUTES'!A$3))/1000,0),14),IF('DONNÉES BRUTES'!C$3:C$42="Technology",'DONNÉES BRUTES'!AB$3:AB$42+(ROW('DONNÉES BRUTES'!A$3:A$42)-ROW('DONNÉES BRUTES'!A$3))/1000,0),0))),"—")</f>
        <v/>
      </c>
    </row>
    <row r="25" ht="15.95" customHeight="1">
      <c r="B25">
        <f>IF(15&gt;COUNTIF('DONNÉES BRUTES'!C$3:C$42,"Technology"),"",15)</f>
        <v/>
      </c>
      <c r="C25">
        <f t="array" ref="C25">IFERROR(IF(15&gt;COUNTIF('DONNÉES BRUTES'!C$3:C$42,"Technology"),"",INDEX('DONNÉES BRUTES'!A$3:A$42,MATCH(LARGE(IF('DONNÉES BRUTES'!C$3:C$42="Technology",'DONNÉES BRUTES'!AB$3:AB$42+(ROW('DONNÉES BRUTES'!A$3:A$42)-ROW('DONNÉES BRUTES'!A$3))/1000,0),15),IF('DONNÉES BRUTES'!C$3:C$42="Technology",'DONNÉES BRUTES'!AB$3:AB$42+(ROW('DONNÉES BRUTES'!A$3:A$42)-ROW('DONNÉES BRUTES'!A$3))/1000,0),0))),"—")</f>
        <v/>
      </c>
      <c r="D25">
        <f t="array" ref="D25">IFERROR(IF(15&gt;COUNTIF('DONNÉES BRUTES'!C$3:C$42,"Technology"),"",INDEX('DONNÉES BRUTES'!B$3:B$42,MATCH(LARGE(IF('DONNÉES BRUTES'!C$3:C$42="Technology",'DONNÉES BRUTES'!AB$3:AB$42+(ROW('DONNÉES BRUTES'!A$3:A$42)-ROW('DONNÉES BRUTES'!A$3))/1000,0),15),IF('DONNÉES BRUTES'!C$3:C$42="Technology",'DONNÉES BRUTES'!AB$3:AB$42+(ROW('DONNÉES BRUTES'!A$3:A$42)-ROW('DONNÉES BRUTES'!A$3))/1000,0),0))),"—")</f>
        <v/>
      </c>
      <c r="E25">
        <f t="array" ref="E25">IFERROR(IF(15&gt;COUNTIF('DONNÉES BRUTES'!C$3:C$42,"Technology"),"",INT(LARGE(IF('DONNÉES BRUTES'!C$3:C$42="Technology",'DONNÉES BRUTES'!AB$3:AB$42+(ROW('DONNÉES BRUTES'!A$3:A$42)-ROW('DONNÉES BRUTES'!A$3))/1000,0),15))&amp;"/100"),"—")</f>
        <v/>
      </c>
      <c r="F25">
        <f t="array" ref="F25">IFERROR(IF(15&gt;COUNTIF('DONNÉES BRUTES'!C$3:C$42,"Technology"),"",INDEX('DONNÉES BRUTES'!Y$3:Y$42,MATCH(LARGE(IF('DONNÉES BRUTES'!C$3:C$42="Technology",'DONNÉES BRUTES'!AB$3:AB$42+(ROW('DONNÉES BRUTES'!A$3:A$42)-ROW('DONNÉES BRUTES'!A$3))/1000,0),15),IF('DONNÉES BRUTES'!C$3:C$42="Technology",'DONNÉES BRUTES'!AB$3:AB$42+(ROW('DONNÉES BRUTES'!A$3:A$42)-ROW('DONNÉES BRUTES'!A$3))/1000,0),0))),"—")</f>
        <v/>
      </c>
      <c r="G25">
        <f t="array" ref="G25">IFERROR(IF(15&gt;COUNTIF('DONNÉES BRUTES'!C$3:C$42,"Technology"),"",INDEX('DONNÉES BRUTES'!Z$3:Z$42,MATCH(LARGE(IF('DONNÉES BRUTES'!C$3:C$42="Technology",'DONNÉES BRUTES'!AB$3:AB$42+(ROW('DONNÉES BRUTES'!A$3:A$42)-ROW('DONNÉES BRUTES'!A$3))/1000,0),15),IF('DONNÉES BRUTES'!C$3:C$42="Technology",'DONNÉES BRUTES'!AB$3:AB$42+(ROW('DONNÉES BRUTES'!A$3:A$42)-ROW('DONNÉES BRUTES'!A$3))/1000,0),0))),"—")</f>
        <v/>
      </c>
      <c r="H25">
        <f t="array" ref="H25">IFERROR(IF(15&gt;COUNTIF('DONNÉES BRUTES'!C$3:C$42,"Technology"),"",INDEX('DONNÉES BRUTES'!AA$3:AA$42,MATCH(LARGE(IF('DONNÉES BRUTES'!C$3:C$42="Technology",'DONNÉES BRUTES'!AB$3:AB$42+(ROW('DONNÉES BRUTES'!A$3:A$42)-ROW('DONNÉES BRUTES'!A$3))/1000,0),15),IF('DONNÉES BRUTES'!C$3:C$42="Technology",'DONNÉES BRUTES'!AB$3:AB$42+(ROW('DONNÉES BRUTES'!A$3:A$42)-ROW('DONNÉES BRUTES'!A$3))/1000,0),0))),"—")</f>
        <v/>
      </c>
      <c r="I25">
        <f t="array" ref="I25">IFERROR(IF(15&gt;COUNTIF('DONNÉES BRUTES'!C$3:C$42,"Technology"),"",INDEX('DONNÉES BRUTES'!M$3:M$42,MATCH(LARGE(IF('DONNÉES BRUTES'!C$3:C$42="Technology",'DONNÉES BRUTES'!AB$3:AB$42+(ROW('DONNÉES BRUTES'!A$3:A$42)-ROW('DONNÉES BRUTES'!A$3))/1000,0),15),IF('DONNÉES BRUTES'!C$3:C$42="Technology",'DONNÉES BRUTES'!AB$3:AB$42+(ROW('DONNÉES BRUTES'!A$3:A$42)-ROW('DONNÉES BRUTES'!A$3))/1000,0),0))),"—")</f>
        <v/>
      </c>
      <c r="J25">
        <f t="array" ref="J25">IFERROR(IF(15&gt;COUNTIF('DONNÉES BRUTES'!C$3:C$42,"Technology"),"",INDEX('DONNÉES BRUTES'!N$3:N$42,MATCH(LARGE(IF('DONNÉES BRUTES'!C$3:C$42="Technology",'DONNÉES BRUTES'!AB$3:AB$42+(ROW('DONNÉES BRUTES'!A$3:A$42)-ROW('DONNÉES BRUTES'!A$3))/1000,0),15),IF('DONNÉES BRUTES'!C$3:C$42="Technology",'DONNÉES BRUTES'!AB$3:AB$42+(ROW('DONNÉES BRUTES'!A$3:A$42)-ROW('DONNÉES BRUTES'!A$3))/1000,0),0))),"—")</f>
        <v/>
      </c>
      <c r="K25">
        <f t="array" ref="K25">IFERROR(IF(15&gt;COUNTIF('DONNÉES BRUTES'!C$3:C$42,"Technology"),"",INDEX('DONNÉES BRUTES'!O$3:O$42,MATCH(LARGE(IF('DONNÉES BRUTES'!C$3:C$42="Technology",'DONNÉES BRUTES'!AB$3:AB$42+(ROW('DONNÉES BRUTES'!A$3:A$42)-ROW('DONNÉES BRUTES'!A$3))/1000,0),15),IF('DONNÉES BRUTES'!C$3:C$42="Technology",'DONNÉES BRUTES'!AB$3:AB$42+(ROW('DONNÉES BRUTES'!A$3:A$42)-ROW('DONNÉES BRUTES'!A$3))/1000,0),0))),"—")</f>
        <v/>
      </c>
      <c r="L25">
        <f t="array" ref="L25">IFERROR(IF(15&gt;COUNTIF('DONNÉES BRUTES'!C$3:C$42,"Technology"),"",INDEX('DONNÉES BRUTES'!P$3:P$42,MATCH(LARGE(IF('DONNÉES BRUTES'!C$3:C$42="Technology",'DONNÉES BRUTES'!AB$3:AB$42+(ROW('DONNÉES BRUTES'!A$3:A$42)-ROW('DONNÉES BRUTES'!A$3))/1000,0),15),IF('DONNÉES BRUTES'!C$3:C$42="Technology",'DONNÉES BRUTES'!AB$3:AB$42+(ROW('DONNÉES BRUTES'!A$3:A$42)-ROW('DONNÉES BRUTES'!A$3))/1000,0),0))),"—")</f>
        <v/>
      </c>
      <c r="M25">
        <f t="array" ref="M25">IFERROR(IF(15&gt;COUNTIF('DONNÉES BRUTES'!C$3:C$42,"Technology"),"",INDEX('DONNÉES BRUTES'!Q$3:Q$42,MATCH(LARGE(IF('DONNÉES BRUTES'!C$3:C$42="Technology",'DONNÉES BRUTES'!AB$3:AB$42+(ROW('DONNÉES BRUTES'!A$3:A$42)-ROW('DONNÉES BRUTES'!A$3))/1000,0),15),IF('DONNÉES BRUTES'!C$3:C$42="Technology",'DONNÉES BRUTES'!AB$3:AB$42+(ROW('DONNÉES BRUTES'!A$3:A$42)-ROW('DONNÉES BRUTES'!A$3))/1000,0),0))),"—")</f>
        <v/>
      </c>
      <c r="N25">
        <f t="array" ref="N25">IFERROR(IF(15&gt;COUNTIF('DONNÉES BRUTES'!C$3:C$42,"Technology"),"",INDEX('DONNÉES BRUTES'!S$3:S$42,MATCH(LARGE(IF('DONNÉES BRUTES'!C$3:C$42="Technology",'DONNÉES BRUTES'!AB$3:AB$42+(ROW('DONNÉES BRUTES'!A$3:A$42)-ROW('DONNÉES BRUTES'!A$3))/1000,0),15),IF('DONNÉES BRUTES'!C$3:C$42="Technology",'DONNÉES BRUTES'!AB$3:AB$42+(ROW('DONNÉES BRUTES'!A$3:A$42)-ROW('DONNÉES BRUTES'!A$3))/1000,0),0))),"—")</f>
        <v/>
      </c>
      <c r="O25">
        <f t="array" ref="O25">IFERROR(IF(15&gt;COUNTIF('DONNÉES BRUTES'!C$3:C$42,"Technology"),"",INDEX('DONNÉES BRUTES'!T$3:T$42,MATCH(LARGE(IF('DONNÉES BRUTES'!C$3:C$42="Technology",'DONNÉES BRUTES'!AB$3:AB$42+(ROW('DONNÉES BRUTES'!A$3:A$42)-ROW('DONNÉES BRUTES'!A$3))/1000,0),15),IF('DONNÉES BRUTES'!C$3:C$42="Technology",'DONNÉES BRUTES'!AB$3:AB$42+(ROW('DONNÉES BRUTES'!A$3:A$42)-ROW('DONNÉES BRUTES'!A$3))/1000,0),0))),"—")</f>
        <v/>
      </c>
      <c r="P25">
        <f t="array" ref="P25">IFERROR(IF(15&gt;COUNTIF('DONNÉES BRUTES'!C$3:C$42,"Technology"),"",INDEX('DONNÉES BRUTES'!U$3:U$42,MATCH(LARGE(IF('DONNÉES BRUTES'!C$3:C$42="Technology",'DONNÉES BRUTES'!AB$3:AB$42+(ROW('DONNÉES BRUTES'!A$3:A$42)-ROW('DONNÉES BRUTES'!A$3))/1000,0),15),IF('DONNÉES BRUTES'!C$3:C$42="Technology",'DONNÉES BRUTES'!AB$3:AB$42+(ROW('DONNÉES BRUTES'!A$3:A$42)-ROW('DONNÉES BRUTES'!A$3))/1000,0),0))),"—")</f>
        <v/>
      </c>
      <c r="Q25">
        <f t="array" ref="Q25">IFERROR(IF(15&gt;COUNTIF('DONNÉES BRUTES'!C$3:C$42,"Technology"),"",INDEX('DONNÉES BRUTES'!AD$3:AD$42,MATCH(LARGE(IF('DONNÉES BRUTES'!C$3:C$42="Technology",'DONNÉES BRUTES'!AB$3:AB$42+(ROW('DONNÉES BRUTES'!A$3:A$42)-ROW('DONNÉES BRUTES'!A$3))/1000,0),15),IF('DONNÉES BRUTES'!C$3:C$42="Technology",'DONNÉES BRUTES'!AB$3:AB$42+(ROW('DONNÉES BRUTES'!A$3:A$42)-ROW('DONNÉES BRUTES'!A$3))/1000,0),0))),"—")</f>
        <v/>
      </c>
    </row>
    <row r="26" ht="15.95" customHeight="1"/>
    <row r="27" ht="15.95" customHeight="1"/>
    <row r="28" ht="15.95" customHeight="1">
      <c r="S28" s="235" t="inlineStr">
        <is>
          <t>Société</t>
        </is>
      </c>
      <c r="T28" s="235" t="inlineStr">
        <is>
          <t>Score</t>
        </is>
      </c>
      <c r="U28" s="235" t="inlineStr">
        <is>
          <t>Growth</t>
        </is>
      </c>
      <c r="V28" s="235" t="inlineStr">
        <is>
          <t>Quality</t>
        </is>
      </c>
      <c r="W28" s="235" t="inlineStr">
        <is>
          <t>Momentum</t>
        </is>
      </c>
      <c r="X28" s="235" t="n"/>
      <c r="Y28" s="235" t="inlineStr">
        <is>
          <t>Société</t>
        </is>
      </c>
      <c r="Z28" s="235" t="inlineStr">
        <is>
          <t>Growth</t>
        </is>
      </c>
      <c r="AA28" s="235" t="inlineStr">
        <is>
          <t>Quality</t>
        </is>
      </c>
      <c r="AB28" s="235" t="inlineStr">
        <is>
          <t>Momentum</t>
        </is>
      </c>
    </row>
    <row r="29" ht="15.95" customHeight="1">
      <c r="S29" s="235">
        <f>IF(D11="","",LEFT(D11,14))</f>
        <v/>
      </c>
      <c r="T29" s="235">
        <f>IF(E11="","",IFERROR(VALUE(LEFT(E11,FIND("/",E11)-1)),0))</f>
        <v/>
      </c>
      <c r="U29" s="235">
        <f>IF(ISNUMBER(F11),F11,0)</f>
        <v/>
      </c>
      <c r="V29" s="235">
        <f>IF(ISNUMBER(G11),G11,0)</f>
        <v/>
      </c>
      <c r="W29" s="235">
        <f>IF(ISNUMBER(H11),H11,0)</f>
        <v/>
      </c>
      <c r="X29" s="235">
        <f>IF(ISNUMBER(F11),F11,"")</f>
        <v/>
      </c>
      <c r="Y29" s="235">
        <f>IF(ISNUMBER(G11),G11,"")</f>
        <v/>
      </c>
      <c r="Z29" s="235">
        <f>IF(ISNUMBER(H11),H11,"")</f>
        <v/>
      </c>
      <c r="AA29" s="235" t="n">
        <v>100</v>
      </c>
      <c r="AB29" s="235" t="n">
        <v>74</v>
      </c>
    </row>
    <row r="30" ht="15.95" customHeight="1">
      <c r="S30" s="235">
        <f>IF(D12="","",LEFT(D12,14))</f>
        <v/>
      </c>
      <c r="T30" s="235">
        <f>IF(E12="","",IFERROR(VALUE(LEFT(E12,FIND("/",E12)-1)),0))</f>
        <v/>
      </c>
      <c r="U30" s="235">
        <f>IF(ISNUMBER(F12),F12,0)</f>
        <v/>
      </c>
      <c r="V30" s="235">
        <f>IF(ISNUMBER(G12),G12,0)</f>
        <v/>
      </c>
      <c r="W30" s="235">
        <f>IF(ISNUMBER(H12),H12,0)</f>
        <v/>
      </c>
      <c r="X30" s="235">
        <f>IF(ISNUMBER(F12),F12,"")</f>
        <v/>
      </c>
      <c r="Y30" s="235">
        <f>IF(ISNUMBER(G12),G12,"")</f>
        <v/>
      </c>
      <c r="Z30" s="235">
        <f>IF(ISNUMBER(H12),H12,"")</f>
        <v/>
      </c>
      <c r="AA30" s="235" t="n">
        <v>36</v>
      </c>
      <c r="AB30" s="235" t="n">
        <v>87</v>
      </c>
    </row>
    <row r="31" ht="15.95" customHeight="1">
      <c r="S31" s="235">
        <f>IF(D13="","",LEFT(D13,14))</f>
        <v/>
      </c>
      <c r="T31" s="235">
        <f>IF(E13="","",IFERROR(VALUE(LEFT(E13,FIND("/",E13)-1)),0))</f>
        <v/>
      </c>
      <c r="U31" s="235">
        <f>IF(ISNUMBER(F13),F13,0)</f>
        <v/>
      </c>
      <c r="V31" s="235">
        <f>IF(ISNUMBER(G13),G13,0)</f>
        <v/>
      </c>
      <c r="W31" s="235">
        <f>IF(ISNUMBER(H13),H13,0)</f>
        <v/>
      </c>
      <c r="X31" s="235">
        <f>IF(ISNUMBER(F13),F13,"")</f>
        <v/>
      </c>
      <c r="Y31" s="235">
        <f>IF(ISNUMBER(G13),G13,"")</f>
        <v/>
      </c>
      <c r="Z31" s="235">
        <f>IF(ISNUMBER(H13),H13,"")</f>
        <v/>
      </c>
      <c r="AA31" s="235" t="n">
        <v>44</v>
      </c>
      <c r="AB31" s="235" t="n">
        <v>0</v>
      </c>
    </row>
    <row r="32">
      <c r="S32" s="235">
        <f>IF(D14="","",LEFT(D14,14))</f>
        <v/>
      </c>
      <c r="T32" s="235">
        <f>IF(E14="","",IFERROR(VALUE(LEFT(E14,FIND("/",E14)-1)),0))</f>
        <v/>
      </c>
      <c r="U32" s="235">
        <f>IF(ISNUMBER(F14),F14,0)</f>
        <v/>
      </c>
      <c r="V32" s="235">
        <f>IF(ISNUMBER(G14),G14,0)</f>
        <v/>
      </c>
      <c r="W32" s="235">
        <f>IF(ISNUMBER(H14),H14,0)</f>
        <v/>
      </c>
      <c r="X32" s="235">
        <f>IF(ISNUMBER(F14),F14,"")</f>
        <v/>
      </c>
      <c r="Y32" s="235">
        <f>IF(ISNUMBER(G14),G14,"")</f>
        <v/>
      </c>
      <c r="Z32" s="235">
        <f>IF(ISNUMBER(H14),H14,"")</f>
        <v/>
      </c>
      <c r="AA32" s="235" t="n">
        <v>0</v>
      </c>
      <c r="AB32" s="235" t="n">
        <v>5</v>
      </c>
    </row>
  </sheetData>
  <mergeCells count="3">
    <mergeCell ref="B2:Q2"/>
    <mergeCell ref="B1:Q1"/>
    <mergeCell ref="B8:Q8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AB32"/>
  <sheetViews>
    <sheetView showGridLines="0" zoomScaleNormal="100" workbookViewId="0">
      <selection activeCell="A14" sqref="A14"/>
    </sheetView>
  </sheetViews>
  <sheetFormatPr baseColWidth="10" defaultColWidth="8.85546875" defaultRowHeight="15"/>
  <cols>
    <col width="1.5703125" customWidth="1" min="1" max="1"/>
    <col width="5.28515625" customWidth="1" min="2" max="2"/>
    <col width="10.42578125" customWidth="1" min="3" max="3"/>
    <col width="21.85546875" customWidth="1" min="4" max="4"/>
    <col width="10.42578125" customWidth="1" min="5" max="5"/>
    <col width="5.28515625" customWidth="1" min="6" max="8"/>
    <col width="8" customWidth="1" min="9" max="10"/>
    <col width="7.28515625" customWidth="1" min="11" max="11"/>
    <col width="8" customWidth="1" min="12" max="13"/>
    <col width="6.42578125" customWidth="1" min="14" max="14"/>
    <col width="7.28515625" customWidth="1" min="15" max="15"/>
    <col width="6.42578125" customWidth="1" min="16" max="16"/>
    <col width="14.140625" bestFit="1" customWidth="1" min="17" max="17"/>
  </cols>
  <sheetData>
    <row r="1" ht="30" customHeight="1">
      <c r="B1" s="273">
        <f>"FinSight IA  ·  Consumer Disc.  ·  CAC 40  ·  "&amp;COUNTIF('DONNÉES BRUTES'!C$3:C$42,"Consumer Disc.")&amp;" sociétés  ·  22/03/2026"</f>
        <v/>
      </c>
    </row>
    <row r="2" ht="18" customHeight="1">
      <c r="B2" s="274" t="inlineStr">
        <is>
          <t>Zoom sectoriel  ·  Ratios clés  ·  Score FinSight  ·  Usage confidentiel</t>
        </is>
      </c>
    </row>
    <row r="3" ht="8.1" customHeight="1"/>
    <row r="4" ht="8.1" customHeight="1"/>
    <row r="5" ht="30" customHeight="1">
      <c r="B5" s="282" t="n"/>
      <c r="C5" s="246">
        <f>COUNTIF('DONNÉES BRUTES'!C$3:C$42,"Consumer Disc.")</f>
        <v/>
      </c>
      <c r="D5" s="282" t="n"/>
      <c r="E5" s="282">
        <f>ROUND(AVERAGEIF('DONNÉES BRUTES'!C$3:C$42,"Consumer Disc.",'DONNÉES BRUTES'!AB$3:AB$42),0)&amp;"/100"</f>
        <v/>
      </c>
      <c r="F5" s="282" t="n"/>
      <c r="G5" s="282" t="n"/>
      <c r="H5" s="283">
        <f t="array" ref="H5">LEFT(IFERROR(INDEX('DONNÉES BRUTES'!B$3:B$42,MATCH(LARGE(IF('DONNÉES BRUTES'!C$3:C$42="Consumer Disc.",'DONNÉES BRUTES'!AB$3:AB$42+(ROW('DONNÉES BRUTES'!A$3:A$42)-ROW('DONNÉES BRUTES'!A$3))/1000,0),1),IF('DONNÉES BRUTES'!C$3:C$42="Consumer Disc.",'DONNÉES BRUTES'!AB$3:AB$42+(ROW('DONNÉES BRUTES'!A$3:A$42)-ROW('DONNÉES BRUTES'!A$3))/1000,0),0)),"—"),18)</f>
        <v/>
      </c>
      <c r="I5" s="282" t="n"/>
      <c r="J5" s="282" t="n"/>
      <c r="K5" s="282" t="n"/>
      <c r="L5" s="251">
        <f>IFERROR(VLOOKUP("Consumer Disc.",'SECTOR OVERVIEW'!B$8:G$19,6,0),"—")</f>
        <v/>
      </c>
      <c r="M5" s="282" t="n"/>
      <c r="N5" s="252">
        <f t="array" ref="N5">IFERROR(ROUND(MEDIAN(IF('DONNÉES BRUTES'!C$3:C$42="Consumer Disc.",IF(ISNUMBER('DONNÉES BRUTES'!Y$3:Y$42),'DONNÉES BRUTES'!Y$3:Y$42))),0),"—")</f>
        <v/>
      </c>
      <c r="O5" s="282" t="n"/>
      <c r="P5" s="284">
        <f>IF(COUNTIFS('DONNÉES BRUTES'!C$3:C$42,"Consumer Disc.",'DONNÉES BRUTES'!AD$3:AD$42,"Surpondérer")&gt;0,"Surpondérer",IF(COUNTIFS('DONNÉES BRUTES'!C$3:C$42,"Consumer Disc.",'DONNÉES BRUTES'!AD$3:AD$42,"Neutre")&gt;=COUNTIFS('DONNÉES BRUTES'!C$3:C$42,"Consumer Disc.",'DONNÉES BRUTES'!AD$3:AD$42,"Sous-pondérer"),"Neutre","Sous-pondérer"))</f>
        <v/>
      </c>
      <c r="Q5" s="282" t="n"/>
    </row>
    <row r="6" ht="15" customHeight="1">
      <c r="B6" s="282" t="n"/>
      <c r="C6" s="247" t="inlineStr">
        <is>
          <t>Sociétés</t>
        </is>
      </c>
      <c r="D6" s="247" t="n"/>
      <c r="E6" s="247" t="inlineStr">
        <is>
          <t>Score moyen</t>
        </is>
      </c>
      <c r="F6" s="247" t="n"/>
      <c r="G6" s="247" t="n"/>
      <c r="H6" s="247" t="inlineStr">
        <is>
          <t>Meilleure société</t>
        </is>
      </c>
      <c r="I6" s="247" t="n"/>
      <c r="J6" s="247" t="n"/>
      <c r="K6" s="282" t="n"/>
      <c r="L6" s="248" t="inlineStr">
        <is>
          <t>Mg. EBITDA Méd.</t>
        </is>
      </c>
      <c r="M6" s="282" t="n"/>
      <c r="N6" s="248" t="inlineStr">
        <is>
          <t>Score Growth Méd.</t>
        </is>
      </c>
      <c r="O6" s="282" t="n"/>
      <c r="P6" s="248" t="inlineStr">
        <is>
          <t>Signal</t>
        </is>
      </c>
      <c r="Q6" s="247" t="n"/>
    </row>
    <row r="7" ht="8.1" customHeight="1"/>
    <row r="8" ht="21.95" customHeight="1">
      <c r="B8" s="275">
        <f>"ANALYSE DÉTAILLÉE  ·  "&amp;UPPER("Consumer Disc.")&amp;"  ·  "&amp;COUNTIF('DONNÉES BRUTES'!C$3:C$42,"Consumer Disc.")&amp;" sociétés  ·  Triée par Score Global"</f>
        <v/>
      </c>
    </row>
    <row r="9" ht="6" customHeight="1"/>
    <row r="10" ht="20.1" customHeight="1">
      <c r="B10" s="254" t="inlineStr">
        <is>
          <t>#</t>
        </is>
      </c>
      <c r="C10" s="254" t="inlineStr">
        <is>
          <t>Ticker</t>
        </is>
      </c>
      <c r="D10" s="254" t="inlineStr">
        <is>
          <t>Société</t>
        </is>
      </c>
      <c r="E10" s="254" t="inlineStr">
        <is>
          <t>Score</t>
        </is>
      </c>
      <c r="F10" s="254" t="inlineStr">
        <is>
          <t>Gr.</t>
        </is>
      </c>
      <c r="G10" s="254" t="inlineStr">
        <is>
          <t>Qual.</t>
        </is>
      </c>
      <c r="H10" s="254" t="inlineStr">
        <is>
          <t>Mom.</t>
        </is>
      </c>
      <c r="I10" s="254" t="inlineStr">
        <is>
          <t>Mg. Brute</t>
        </is>
      </c>
      <c r="J10" s="254" t="inlineStr">
        <is>
          <t>Mg. EBITDA</t>
        </is>
      </c>
      <c r="K10" s="254" t="inlineStr">
        <is>
          <t>Mg. Nette</t>
        </is>
      </c>
      <c r="L10" s="254" t="inlineStr">
        <is>
          <t>Croiss. Rev.</t>
        </is>
      </c>
      <c r="M10" s="254" t="inlineStr">
        <is>
          <t>ROE</t>
        </is>
      </c>
      <c r="N10" s="254" t="inlineStr">
        <is>
          <t>Curr. R.</t>
        </is>
      </c>
      <c r="O10" s="254" t="inlineStr">
        <is>
          <t>ND/EBITDA</t>
        </is>
      </c>
      <c r="P10" s="254" t="inlineStr">
        <is>
          <t>Altman Z</t>
        </is>
      </c>
      <c r="Q10" s="254" t="inlineStr">
        <is>
          <t>Signal</t>
        </is>
      </c>
    </row>
    <row r="11" ht="18" customHeight="1">
      <c r="B11">
        <f>IF(1&gt;COUNTIF('DONNÉES BRUTES'!C$3:C$42,"Consumer Disc."),"",1)</f>
        <v/>
      </c>
      <c r="C11">
        <f t="array" ref="C11">IFERROR(IF(1&gt;COUNTIF('DONNÉES BRUTES'!C$3:C$42,"Consumer Disc."),"",INDEX('DONNÉES BRUTES'!A$3:A$42,MATCH(LARGE(IF('DONNÉES BRUTES'!C$3:C$42="Consumer Disc.",'DONNÉES BRUTES'!AB$3:AB$42+(ROW('DONNÉES BRUTES'!A$3:A$42)-ROW('DONNÉES BRUTES'!A$3))/1000,0),1),IF('DONNÉES BRUTES'!C$3:C$42="Consumer Disc.",'DONNÉES BRUTES'!AB$3:AB$42+(ROW('DONNÉES BRUTES'!A$3:A$42)-ROW('DONNÉES BRUTES'!A$3))/1000,0),0))),"—")</f>
        <v/>
      </c>
      <c r="D11">
        <f t="array" ref="D11">IFERROR(IF(1&gt;COUNTIF('DONNÉES BRUTES'!C$3:C$42,"Consumer Disc."),"",INDEX('DONNÉES BRUTES'!B$3:B$42,MATCH(LARGE(IF('DONNÉES BRUTES'!C$3:C$42="Consumer Disc.",'DONNÉES BRUTES'!AB$3:AB$42+(ROW('DONNÉES BRUTES'!A$3:A$42)-ROW('DONNÉES BRUTES'!A$3))/1000,0),1),IF('DONNÉES BRUTES'!C$3:C$42="Consumer Disc.",'DONNÉES BRUTES'!AB$3:AB$42+(ROW('DONNÉES BRUTES'!A$3:A$42)-ROW('DONNÉES BRUTES'!A$3))/1000,0),0))),"—")</f>
        <v/>
      </c>
      <c r="E11">
        <f t="array" ref="E11">IFERROR(IF(1&gt;COUNTIF('DONNÉES BRUTES'!C$3:C$42,"Consumer Disc."),"",INT(LARGE(IF('DONNÉES BRUTES'!C$3:C$42="Consumer Disc.",'DONNÉES BRUTES'!AB$3:AB$42+(ROW('DONNÉES BRUTES'!A$3:A$42)-ROW('DONNÉES BRUTES'!A$3))/1000,0),1))&amp;"/100"),"—")</f>
        <v/>
      </c>
      <c r="F11">
        <f t="array" ref="F11">IFERROR(IF(1&gt;COUNTIF('DONNÉES BRUTES'!C$3:C$42,"Consumer Disc."),"",INDEX('DONNÉES BRUTES'!Y$3:Y$42,MATCH(LARGE(IF('DONNÉES BRUTES'!C$3:C$42="Consumer Disc.",'DONNÉES BRUTES'!AB$3:AB$42+(ROW('DONNÉES BRUTES'!A$3:A$42)-ROW('DONNÉES BRUTES'!A$3))/1000,0),1),IF('DONNÉES BRUTES'!C$3:C$42="Consumer Disc.",'DONNÉES BRUTES'!AB$3:AB$42+(ROW('DONNÉES BRUTES'!A$3:A$42)-ROW('DONNÉES BRUTES'!A$3))/1000,0),0))),"—")</f>
        <v/>
      </c>
      <c r="G11">
        <f t="array" ref="G11">IFERROR(IF(1&gt;COUNTIF('DONNÉES BRUTES'!C$3:C$42,"Consumer Disc."),"",INDEX('DONNÉES BRUTES'!Z$3:Z$42,MATCH(LARGE(IF('DONNÉES BRUTES'!C$3:C$42="Consumer Disc.",'DONNÉES BRUTES'!AB$3:AB$42+(ROW('DONNÉES BRUTES'!A$3:A$42)-ROW('DONNÉES BRUTES'!A$3))/1000,0),1),IF('DONNÉES BRUTES'!C$3:C$42="Consumer Disc.",'DONNÉES BRUTES'!AB$3:AB$42+(ROW('DONNÉES BRUTES'!A$3:A$42)-ROW('DONNÉES BRUTES'!A$3))/1000,0),0))),"—")</f>
        <v/>
      </c>
      <c r="H11">
        <f t="array" ref="H11">IFERROR(IF(1&gt;COUNTIF('DONNÉES BRUTES'!C$3:C$42,"Consumer Disc."),"",INDEX('DONNÉES BRUTES'!AA$3:AA$42,MATCH(LARGE(IF('DONNÉES BRUTES'!C$3:C$42="Consumer Disc.",'DONNÉES BRUTES'!AB$3:AB$42+(ROW('DONNÉES BRUTES'!A$3:A$42)-ROW('DONNÉES BRUTES'!A$3))/1000,0),1),IF('DONNÉES BRUTES'!C$3:C$42="Consumer Disc.",'DONNÉES BRUTES'!AB$3:AB$42+(ROW('DONNÉES BRUTES'!A$3:A$42)-ROW('DONNÉES BRUTES'!A$3))/1000,0),0))),"—")</f>
        <v/>
      </c>
      <c r="I11">
        <f t="array" ref="I11">IFERROR(IF(1&gt;COUNTIF('DONNÉES BRUTES'!C$3:C$42,"Consumer Disc."),"",INDEX('DONNÉES BRUTES'!M$3:M$42,MATCH(LARGE(IF('DONNÉES BRUTES'!C$3:C$42="Consumer Disc.",'DONNÉES BRUTES'!AB$3:AB$42+(ROW('DONNÉES BRUTES'!A$3:A$42)-ROW('DONNÉES BRUTES'!A$3))/1000,0),1),IF('DONNÉES BRUTES'!C$3:C$42="Consumer Disc.",'DONNÉES BRUTES'!AB$3:AB$42+(ROW('DONNÉES BRUTES'!A$3:A$42)-ROW('DONNÉES BRUTES'!A$3))/1000,0),0))),"—")</f>
        <v/>
      </c>
      <c r="J11">
        <f t="array" ref="J11">IFERROR(IF(1&gt;COUNTIF('DONNÉES BRUTES'!C$3:C$42,"Consumer Disc."),"",INDEX('DONNÉES BRUTES'!N$3:N$42,MATCH(LARGE(IF('DONNÉES BRUTES'!C$3:C$42="Consumer Disc.",'DONNÉES BRUTES'!AB$3:AB$42+(ROW('DONNÉES BRUTES'!A$3:A$42)-ROW('DONNÉES BRUTES'!A$3))/1000,0),1),IF('DONNÉES BRUTES'!C$3:C$42="Consumer Disc.",'DONNÉES BRUTES'!AB$3:AB$42+(ROW('DONNÉES BRUTES'!A$3:A$42)-ROW('DONNÉES BRUTES'!A$3))/1000,0),0))),"—")</f>
        <v/>
      </c>
      <c r="K11">
        <f t="array" ref="K11">IFERROR(IF(1&gt;COUNTIF('DONNÉES BRUTES'!C$3:C$42,"Consumer Disc."),"",INDEX('DONNÉES BRUTES'!O$3:O$42,MATCH(LARGE(IF('DONNÉES BRUTES'!C$3:C$42="Consumer Disc.",'DONNÉES BRUTES'!AB$3:AB$42+(ROW('DONNÉES BRUTES'!A$3:A$42)-ROW('DONNÉES BRUTES'!A$3))/1000,0),1),IF('DONNÉES BRUTES'!C$3:C$42="Consumer Disc.",'DONNÉES BRUTES'!AB$3:AB$42+(ROW('DONNÉES BRUTES'!A$3:A$42)-ROW('DONNÉES BRUTES'!A$3))/1000,0),0))),"—")</f>
        <v/>
      </c>
      <c r="L11">
        <f t="array" ref="L11">IFERROR(IF(1&gt;COUNTIF('DONNÉES BRUTES'!C$3:C$42,"Consumer Disc."),"",INDEX('DONNÉES BRUTES'!P$3:P$42,MATCH(LARGE(IF('DONNÉES BRUTES'!C$3:C$42="Consumer Disc.",'DONNÉES BRUTES'!AB$3:AB$42+(ROW('DONNÉES BRUTES'!A$3:A$42)-ROW('DONNÉES BRUTES'!A$3))/1000,0),1),IF('DONNÉES BRUTES'!C$3:C$42="Consumer Disc.",'DONNÉES BRUTES'!AB$3:AB$42+(ROW('DONNÉES BRUTES'!A$3:A$42)-ROW('DONNÉES BRUTES'!A$3))/1000,0),0))),"—")</f>
        <v/>
      </c>
      <c r="M11">
        <f t="array" ref="M11">IFERROR(IF(1&gt;COUNTIF('DONNÉES BRUTES'!C$3:C$42,"Consumer Disc."),"",INDEX('DONNÉES BRUTES'!Q$3:Q$42,MATCH(LARGE(IF('DONNÉES BRUTES'!C$3:C$42="Consumer Disc.",'DONNÉES BRUTES'!AB$3:AB$42+(ROW('DONNÉES BRUTES'!A$3:A$42)-ROW('DONNÉES BRUTES'!A$3))/1000,0),1),IF('DONNÉES BRUTES'!C$3:C$42="Consumer Disc.",'DONNÉES BRUTES'!AB$3:AB$42+(ROW('DONNÉES BRUTES'!A$3:A$42)-ROW('DONNÉES BRUTES'!A$3))/1000,0),0))),"—")</f>
        <v/>
      </c>
      <c r="N11">
        <f t="array" ref="N11">IFERROR(IF(1&gt;COUNTIF('DONNÉES BRUTES'!C$3:C$42,"Consumer Disc."),"",INDEX('DONNÉES BRUTES'!S$3:S$42,MATCH(LARGE(IF('DONNÉES BRUTES'!C$3:C$42="Consumer Disc.",'DONNÉES BRUTES'!AB$3:AB$42+(ROW('DONNÉES BRUTES'!A$3:A$42)-ROW('DONNÉES BRUTES'!A$3))/1000,0),1),IF('DONNÉES BRUTES'!C$3:C$42="Consumer Disc.",'DONNÉES BRUTES'!AB$3:AB$42+(ROW('DONNÉES BRUTES'!A$3:A$42)-ROW('DONNÉES BRUTES'!A$3))/1000,0),0))),"—")</f>
        <v/>
      </c>
      <c r="O11">
        <f t="array" ref="O11">IFERROR(IF(1&gt;COUNTIF('DONNÉES BRUTES'!C$3:C$42,"Consumer Disc."),"",INDEX('DONNÉES BRUTES'!T$3:T$42,MATCH(LARGE(IF('DONNÉES BRUTES'!C$3:C$42="Consumer Disc.",'DONNÉES BRUTES'!AB$3:AB$42+(ROW('DONNÉES BRUTES'!A$3:A$42)-ROW('DONNÉES BRUTES'!A$3))/1000,0),1),IF('DONNÉES BRUTES'!C$3:C$42="Consumer Disc.",'DONNÉES BRUTES'!AB$3:AB$42+(ROW('DONNÉES BRUTES'!A$3:A$42)-ROW('DONNÉES BRUTES'!A$3))/1000,0),0))),"—")</f>
        <v/>
      </c>
      <c r="P11">
        <f t="array" ref="P11">IFERROR(IF(1&gt;COUNTIF('DONNÉES BRUTES'!C$3:C$42,"Consumer Disc."),"",INDEX('DONNÉES BRUTES'!U$3:U$42,MATCH(LARGE(IF('DONNÉES BRUTES'!C$3:C$42="Consumer Disc.",'DONNÉES BRUTES'!AB$3:AB$42+(ROW('DONNÉES BRUTES'!A$3:A$42)-ROW('DONNÉES BRUTES'!A$3))/1000,0),1),IF('DONNÉES BRUTES'!C$3:C$42="Consumer Disc.",'DONNÉES BRUTES'!AB$3:AB$42+(ROW('DONNÉES BRUTES'!A$3:A$42)-ROW('DONNÉES BRUTES'!A$3))/1000,0),0))),"—")</f>
        <v/>
      </c>
      <c r="Q11">
        <f t="array" ref="Q11">IFERROR(IF(1&gt;COUNTIF('DONNÉES BRUTES'!C$3:C$42,"Consumer Disc."),"",INDEX('DONNÉES BRUTES'!AD$3:AD$42,MATCH(LARGE(IF('DONNÉES BRUTES'!C$3:C$42="Consumer Disc.",'DONNÉES BRUTES'!AB$3:AB$42+(ROW('DONNÉES BRUTES'!A$3:A$42)-ROW('DONNÉES BRUTES'!A$3))/1000,0),1),IF('DONNÉES BRUTES'!C$3:C$42="Consumer Disc.",'DONNÉES BRUTES'!AB$3:AB$42+(ROW('DONNÉES BRUTES'!A$3:A$42)-ROW('DONNÉES BRUTES'!A$3))/1000,0),0))),"—")</f>
        <v/>
      </c>
    </row>
    <row r="12" ht="15.95" customHeight="1">
      <c r="B12">
        <f>IF(2&gt;COUNTIF('DONNÉES BRUTES'!C$3:C$42,"Consumer Disc."),"",2)</f>
        <v/>
      </c>
      <c r="C12">
        <f t="array" ref="C12">IFERROR(IF(2&gt;COUNTIF('DONNÉES BRUTES'!C$3:C$42,"Consumer Disc."),"",INDEX('DONNÉES BRUTES'!A$3:A$42,MATCH(LARGE(IF('DONNÉES BRUTES'!C$3:C$42="Consumer Disc.",'DONNÉES BRUTES'!AB$3:AB$42+(ROW('DONNÉES BRUTES'!A$3:A$42)-ROW('DONNÉES BRUTES'!A$3))/1000,0),2),IF('DONNÉES BRUTES'!C$3:C$42="Consumer Disc.",'DONNÉES BRUTES'!AB$3:AB$42+(ROW('DONNÉES BRUTES'!A$3:A$42)-ROW('DONNÉES BRUTES'!A$3))/1000,0),0))),"—")</f>
        <v/>
      </c>
      <c r="D12">
        <f t="array" ref="D12">IFERROR(IF(2&gt;COUNTIF('DONNÉES BRUTES'!C$3:C$42,"Consumer Disc."),"",INDEX('DONNÉES BRUTES'!B$3:B$42,MATCH(LARGE(IF('DONNÉES BRUTES'!C$3:C$42="Consumer Disc.",'DONNÉES BRUTES'!AB$3:AB$42+(ROW('DONNÉES BRUTES'!A$3:A$42)-ROW('DONNÉES BRUTES'!A$3))/1000,0),2),IF('DONNÉES BRUTES'!C$3:C$42="Consumer Disc.",'DONNÉES BRUTES'!AB$3:AB$42+(ROW('DONNÉES BRUTES'!A$3:A$42)-ROW('DONNÉES BRUTES'!A$3))/1000,0),0))),"—")</f>
        <v/>
      </c>
      <c r="E12">
        <f t="array" ref="E12">IFERROR(IF(2&gt;COUNTIF('DONNÉES BRUTES'!C$3:C$42,"Consumer Disc."),"",INT(LARGE(IF('DONNÉES BRUTES'!C$3:C$42="Consumer Disc.",'DONNÉES BRUTES'!AB$3:AB$42+(ROW('DONNÉES BRUTES'!A$3:A$42)-ROW('DONNÉES BRUTES'!A$3))/1000,0),2))&amp;"/100"),"—")</f>
        <v/>
      </c>
      <c r="F12">
        <f t="array" ref="F12">IFERROR(IF(2&gt;COUNTIF('DONNÉES BRUTES'!C$3:C$42,"Consumer Disc."),"",INDEX('DONNÉES BRUTES'!Y$3:Y$42,MATCH(LARGE(IF('DONNÉES BRUTES'!C$3:C$42="Consumer Disc.",'DONNÉES BRUTES'!AB$3:AB$42+(ROW('DONNÉES BRUTES'!A$3:A$42)-ROW('DONNÉES BRUTES'!A$3))/1000,0),2),IF('DONNÉES BRUTES'!C$3:C$42="Consumer Disc.",'DONNÉES BRUTES'!AB$3:AB$42+(ROW('DONNÉES BRUTES'!A$3:A$42)-ROW('DONNÉES BRUTES'!A$3))/1000,0),0))),"—")</f>
        <v/>
      </c>
      <c r="G12">
        <f t="array" ref="G12">IFERROR(IF(2&gt;COUNTIF('DONNÉES BRUTES'!C$3:C$42,"Consumer Disc."),"",INDEX('DONNÉES BRUTES'!Z$3:Z$42,MATCH(LARGE(IF('DONNÉES BRUTES'!C$3:C$42="Consumer Disc.",'DONNÉES BRUTES'!AB$3:AB$42+(ROW('DONNÉES BRUTES'!A$3:A$42)-ROW('DONNÉES BRUTES'!A$3))/1000,0),2),IF('DONNÉES BRUTES'!C$3:C$42="Consumer Disc.",'DONNÉES BRUTES'!AB$3:AB$42+(ROW('DONNÉES BRUTES'!A$3:A$42)-ROW('DONNÉES BRUTES'!A$3))/1000,0),0))),"—")</f>
        <v/>
      </c>
      <c r="H12">
        <f t="array" ref="H12">IFERROR(IF(2&gt;COUNTIF('DONNÉES BRUTES'!C$3:C$42,"Consumer Disc."),"",INDEX('DONNÉES BRUTES'!AA$3:AA$42,MATCH(LARGE(IF('DONNÉES BRUTES'!C$3:C$42="Consumer Disc.",'DONNÉES BRUTES'!AB$3:AB$42+(ROW('DONNÉES BRUTES'!A$3:A$42)-ROW('DONNÉES BRUTES'!A$3))/1000,0),2),IF('DONNÉES BRUTES'!C$3:C$42="Consumer Disc.",'DONNÉES BRUTES'!AB$3:AB$42+(ROW('DONNÉES BRUTES'!A$3:A$42)-ROW('DONNÉES BRUTES'!A$3))/1000,0),0))),"—")</f>
        <v/>
      </c>
      <c r="I12">
        <f t="array" ref="I12">IFERROR(IF(2&gt;COUNTIF('DONNÉES BRUTES'!C$3:C$42,"Consumer Disc."),"",INDEX('DONNÉES BRUTES'!M$3:M$42,MATCH(LARGE(IF('DONNÉES BRUTES'!C$3:C$42="Consumer Disc.",'DONNÉES BRUTES'!AB$3:AB$42+(ROW('DONNÉES BRUTES'!A$3:A$42)-ROW('DONNÉES BRUTES'!A$3))/1000,0),2),IF('DONNÉES BRUTES'!C$3:C$42="Consumer Disc.",'DONNÉES BRUTES'!AB$3:AB$42+(ROW('DONNÉES BRUTES'!A$3:A$42)-ROW('DONNÉES BRUTES'!A$3))/1000,0),0))),"—")</f>
        <v/>
      </c>
      <c r="J12">
        <f t="array" ref="J12">IFERROR(IF(2&gt;COUNTIF('DONNÉES BRUTES'!C$3:C$42,"Consumer Disc."),"",INDEX('DONNÉES BRUTES'!N$3:N$42,MATCH(LARGE(IF('DONNÉES BRUTES'!C$3:C$42="Consumer Disc.",'DONNÉES BRUTES'!AB$3:AB$42+(ROW('DONNÉES BRUTES'!A$3:A$42)-ROW('DONNÉES BRUTES'!A$3))/1000,0),2),IF('DONNÉES BRUTES'!C$3:C$42="Consumer Disc.",'DONNÉES BRUTES'!AB$3:AB$42+(ROW('DONNÉES BRUTES'!A$3:A$42)-ROW('DONNÉES BRUTES'!A$3))/1000,0),0))),"—")</f>
        <v/>
      </c>
      <c r="K12">
        <f t="array" ref="K12">IFERROR(IF(2&gt;COUNTIF('DONNÉES BRUTES'!C$3:C$42,"Consumer Disc."),"",INDEX('DONNÉES BRUTES'!O$3:O$42,MATCH(LARGE(IF('DONNÉES BRUTES'!C$3:C$42="Consumer Disc.",'DONNÉES BRUTES'!AB$3:AB$42+(ROW('DONNÉES BRUTES'!A$3:A$42)-ROW('DONNÉES BRUTES'!A$3))/1000,0),2),IF('DONNÉES BRUTES'!C$3:C$42="Consumer Disc.",'DONNÉES BRUTES'!AB$3:AB$42+(ROW('DONNÉES BRUTES'!A$3:A$42)-ROW('DONNÉES BRUTES'!A$3))/1000,0),0))),"—")</f>
        <v/>
      </c>
      <c r="L12">
        <f t="array" ref="L12">IFERROR(IF(2&gt;COUNTIF('DONNÉES BRUTES'!C$3:C$42,"Consumer Disc."),"",INDEX('DONNÉES BRUTES'!P$3:P$42,MATCH(LARGE(IF('DONNÉES BRUTES'!C$3:C$42="Consumer Disc.",'DONNÉES BRUTES'!AB$3:AB$42+(ROW('DONNÉES BRUTES'!A$3:A$42)-ROW('DONNÉES BRUTES'!A$3))/1000,0),2),IF('DONNÉES BRUTES'!C$3:C$42="Consumer Disc.",'DONNÉES BRUTES'!AB$3:AB$42+(ROW('DONNÉES BRUTES'!A$3:A$42)-ROW('DONNÉES BRUTES'!A$3))/1000,0),0))),"—")</f>
        <v/>
      </c>
      <c r="M12">
        <f t="array" ref="M12">IFERROR(IF(2&gt;COUNTIF('DONNÉES BRUTES'!C$3:C$42,"Consumer Disc."),"",INDEX('DONNÉES BRUTES'!Q$3:Q$42,MATCH(LARGE(IF('DONNÉES BRUTES'!C$3:C$42="Consumer Disc.",'DONNÉES BRUTES'!AB$3:AB$42+(ROW('DONNÉES BRUTES'!A$3:A$42)-ROW('DONNÉES BRUTES'!A$3))/1000,0),2),IF('DONNÉES BRUTES'!C$3:C$42="Consumer Disc.",'DONNÉES BRUTES'!AB$3:AB$42+(ROW('DONNÉES BRUTES'!A$3:A$42)-ROW('DONNÉES BRUTES'!A$3))/1000,0),0))),"—")</f>
        <v/>
      </c>
      <c r="N12">
        <f t="array" ref="N12">IFERROR(IF(2&gt;COUNTIF('DONNÉES BRUTES'!C$3:C$42,"Consumer Disc."),"",INDEX('DONNÉES BRUTES'!S$3:S$42,MATCH(LARGE(IF('DONNÉES BRUTES'!C$3:C$42="Consumer Disc.",'DONNÉES BRUTES'!AB$3:AB$42+(ROW('DONNÉES BRUTES'!A$3:A$42)-ROW('DONNÉES BRUTES'!A$3))/1000,0),2),IF('DONNÉES BRUTES'!C$3:C$42="Consumer Disc.",'DONNÉES BRUTES'!AB$3:AB$42+(ROW('DONNÉES BRUTES'!A$3:A$42)-ROW('DONNÉES BRUTES'!A$3))/1000,0),0))),"—")</f>
        <v/>
      </c>
      <c r="O12">
        <f t="array" ref="O12">IFERROR(IF(2&gt;COUNTIF('DONNÉES BRUTES'!C$3:C$42,"Consumer Disc."),"",INDEX('DONNÉES BRUTES'!T$3:T$42,MATCH(LARGE(IF('DONNÉES BRUTES'!C$3:C$42="Consumer Disc.",'DONNÉES BRUTES'!AB$3:AB$42+(ROW('DONNÉES BRUTES'!A$3:A$42)-ROW('DONNÉES BRUTES'!A$3))/1000,0),2),IF('DONNÉES BRUTES'!C$3:C$42="Consumer Disc.",'DONNÉES BRUTES'!AB$3:AB$42+(ROW('DONNÉES BRUTES'!A$3:A$42)-ROW('DONNÉES BRUTES'!A$3))/1000,0),0))),"—")</f>
        <v/>
      </c>
      <c r="P12">
        <f t="array" ref="P12">IFERROR(IF(2&gt;COUNTIF('DONNÉES BRUTES'!C$3:C$42,"Consumer Disc."),"",INDEX('DONNÉES BRUTES'!U$3:U$42,MATCH(LARGE(IF('DONNÉES BRUTES'!C$3:C$42="Consumer Disc.",'DONNÉES BRUTES'!AB$3:AB$42+(ROW('DONNÉES BRUTES'!A$3:A$42)-ROW('DONNÉES BRUTES'!A$3))/1000,0),2),IF('DONNÉES BRUTES'!C$3:C$42="Consumer Disc.",'DONNÉES BRUTES'!AB$3:AB$42+(ROW('DONNÉES BRUTES'!A$3:A$42)-ROW('DONNÉES BRUTES'!A$3))/1000,0),0))),"—")</f>
        <v/>
      </c>
      <c r="Q12">
        <f t="array" ref="Q12">IFERROR(IF(2&gt;COUNTIF('DONNÉES BRUTES'!C$3:C$42,"Consumer Disc."),"",INDEX('DONNÉES BRUTES'!AD$3:AD$42,MATCH(LARGE(IF('DONNÉES BRUTES'!C$3:C$42="Consumer Disc.",'DONNÉES BRUTES'!AB$3:AB$42+(ROW('DONNÉES BRUTES'!A$3:A$42)-ROW('DONNÉES BRUTES'!A$3))/1000,0),2),IF('DONNÉES BRUTES'!C$3:C$42="Consumer Disc.",'DONNÉES BRUTES'!AB$3:AB$42+(ROW('DONNÉES BRUTES'!A$3:A$42)-ROW('DONNÉES BRUTES'!A$3))/1000,0),0))),"—")</f>
        <v/>
      </c>
    </row>
    <row r="13" ht="15.95" customHeight="1">
      <c r="B13">
        <f>IF(3&gt;COUNTIF('DONNÉES BRUTES'!C$3:C$42,"Consumer Disc."),"",3)</f>
        <v/>
      </c>
      <c r="C13">
        <f t="array" ref="C13">IFERROR(IF(3&gt;COUNTIF('DONNÉES BRUTES'!C$3:C$42,"Consumer Disc."),"",INDEX('DONNÉES BRUTES'!A$3:A$42,MATCH(LARGE(IF('DONNÉES BRUTES'!C$3:C$42="Consumer Disc.",'DONNÉES BRUTES'!AB$3:AB$42+(ROW('DONNÉES BRUTES'!A$3:A$42)-ROW('DONNÉES BRUTES'!A$3))/1000,0),3),IF('DONNÉES BRUTES'!C$3:C$42="Consumer Disc.",'DONNÉES BRUTES'!AB$3:AB$42+(ROW('DONNÉES BRUTES'!A$3:A$42)-ROW('DONNÉES BRUTES'!A$3))/1000,0),0))),"—")</f>
        <v/>
      </c>
      <c r="D13">
        <f t="array" ref="D13">IFERROR(IF(3&gt;COUNTIF('DONNÉES BRUTES'!C$3:C$42,"Consumer Disc."),"",INDEX('DONNÉES BRUTES'!B$3:B$42,MATCH(LARGE(IF('DONNÉES BRUTES'!C$3:C$42="Consumer Disc.",'DONNÉES BRUTES'!AB$3:AB$42+(ROW('DONNÉES BRUTES'!A$3:A$42)-ROW('DONNÉES BRUTES'!A$3))/1000,0),3),IF('DONNÉES BRUTES'!C$3:C$42="Consumer Disc.",'DONNÉES BRUTES'!AB$3:AB$42+(ROW('DONNÉES BRUTES'!A$3:A$42)-ROW('DONNÉES BRUTES'!A$3))/1000,0),0))),"—")</f>
        <v/>
      </c>
      <c r="E13">
        <f t="array" ref="E13">IFERROR(IF(3&gt;COUNTIF('DONNÉES BRUTES'!C$3:C$42,"Consumer Disc."),"",INT(LARGE(IF('DONNÉES BRUTES'!C$3:C$42="Consumer Disc.",'DONNÉES BRUTES'!AB$3:AB$42+(ROW('DONNÉES BRUTES'!A$3:A$42)-ROW('DONNÉES BRUTES'!A$3))/1000,0),3))&amp;"/100"),"—")</f>
        <v/>
      </c>
      <c r="F13">
        <f t="array" ref="F13">IFERROR(IF(3&gt;COUNTIF('DONNÉES BRUTES'!C$3:C$42,"Consumer Disc."),"",INDEX('DONNÉES BRUTES'!Y$3:Y$42,MATCH(LARGE(IF('DONNÉES BRUTES'!C$3:C$42="Consumer Disc.",'DONNÉES BRUTES'!AB$3:AB$42+(ROW('DONNÉES BRUTES'!A$3:A$42)-ROW('DONNÉES BRUTES'!A$3))/1000,0),3),IF('DONNÉES BRUTES'!C$3:C$42="Consumer Disc.",'DONNÉES BRUTES'!AB$3:AB$42+(ROW('DONNÉES BRUTES'!A$3:A$42)-ROW('DONNÉES BRUTES'!A$3))/1000,0),0))),"—")</f>
        <v/>
      </c>
      <c r="G13">
        <f t="array" ref="G13">IFERROR(IF(3&gt;COUNTIF('DONNÉES BRUTES'!C$3:C$42,"Consumer Disc."),"",INDEX('DONNÉES BRUTES'!Z$3:Z$42,MATCH(LARGE(IF('DONNÉES BRUTES'!C$3:C$42="Consumer Disc.",'DONNÉES BRUTES'!AB$3:AB$42+(ROW('DONNÉES BRUTES'!A$3:A$42)-ROW('DONNÉES BRUTES'!A$3))/1000,0),3),IF('DONNÉES BRUTES'!C$3:C$42="Consumer Disc.",'DONNÉES BRUTES'!AB$3:AB$42+(ROW('DONNÉES BRUTES'!A$3:A$42)-ROW('DONNÉES BRUTES'!A$3))/1000,0),0))),"—")</f>
        <v/>
      </c>
      <c r="H13">
        <f t="array" ref="H13">IFERROR(IF(3&gt;COUNTIF('DONNÉES BRUTES'!C$3:C$42,"Consumer Disc."),"",INDEX('DONNÉES BRUTES'!AA$3:AA$42,MATCH(LARGE(IF('DONNÉES BRUTES'!C$3:C$42="Consumer Disc.",'DONNÉES BRUTES'!AB$3:AB$42+(ROW('DONNÉES BRUTES'!A$3:A$42)-ROW('DONNÉES BRUTES'!A$3))/1000,0),3),IF('DONNÉES BRUTES'!C$3:C$42="Consumer Disc.",'DONNÉES BRUTES'!AB$3:AB$42+(ROW('DONNÉES BRUTES'!A$3:A$42)-ROW('DONNÉES BRUTES'!A$3))/1000,0),0))),"—")</f>
        <v/>
      </c>
      <c r="I13">
        <f t="array" ref="I13">IFERROR(IF(3&gt;COUNTIF('DONNÉES BRUTES'!C$3:C$42,"Consumer Disc."),"",INDEX('DONNÉES BRUTES'!M$3:M$42,MATCH(LARGE(IF('DONNÉES BRUTES'!C$3:C$42="Consumer Disc.",'DONNÉES BRUTES'!AB$3:AB$42+(ROW('DONNÉES BRUTES'!A$3:A$42)-ROW('DONNÉES BRUTES'!A$3))/1000,0),3),IF('DONNÉES BRUTES'!C$3:C$42="Consumer Disc.",'DONNÉES BRUTES'!AB$3:AB$42+(ROW('DONNÉES BRUTES'!A$3:A$42)-ROW('DONNÉES BRUTES'!A$3))/1000,0),0))),"—")</f>
        <v/>
      </c>
      <c r="J13">
        <f t="array" ref="J13">IFERROR(IF(3&gt;COUNTIF('DONNÉES BRUTES'!C$3:C$42,"Consumer Disc."),"",INDEX('DONNÉES BRUTES'!N$3:N$42,MATCH(LARGE(IF('DONNÉES BRUTES'!C$3:C$42="Consumer Disc.",'DONNÉES BRUTES'!AB$3:AB$42+(ROW('DONNÉES BRUTES'!A$3:A$42)-ROW('DONNÉES BRUTES'!A$3))/1000,0),3),IF('DONNÉES BRUTES'!C$3:C$42="Consumer Disc.",'DONNÉES BRUTES'!AB$3:AB$42+(ROW('DONNÉES BRUTES'!A$3:A$42)-ROW('DONNÉES BRUTES'!A$3))/1000,0),0))),"—")</f>
        <v/>
      </c>
      <c r="K13">
        <f t="array" ref="K13">IFERROR(IF(3&gt;COUNTIF('DONNÉES BRUTES'!C$3:C$42,"Consumer Disc."),"",INDEX('DONNÉES BRUTES'!O$3:O$42,MATCH(LARGE(IF('DONNÉES BRUTES'!C$3:C$42="Consumer Disc.",'DONNÉES BRUTES'!AB$3:AB$42+(ROW('DONNÉES BRUTES'!A$3:A$42)-ROW('DONNÉES BRUTES'!A$3))/1000,0),3),IF('DONNÉES BRUTES'!C$3:C$42="Consumer Disc.",'DONNÉES BRUTES'!AB$3:AB$42+(ROW('DONNÉES BRUTES'!A$3:A$42)-ROW('DONNÉES BRUTES'!A$3))/1000,0),0))),"—")</f>
        <v/>
      </c>
      <c r="L13">
        <f t="array" ref="L13">IFERROR(IF(3&gt;COUNTIF('DONNÉES BRUTES'!C$3:C$42,"Consumer Disc."),"",INDEX('DONNÉES BRUTES'!P$3:P$42,MATCH(LARGE(IF('DONNÉES BRUTES'!C$3:C$42="Consumer Disc.",'DONNÉES BRUTES'!AB$3:AB$42+(ROW('DONNÉES BRUTES'!A$3:A$42)-ROW('DONNÉES BRUTES'!A$3))/1000,0),3),IF('DONNÉES BRUTES'!C$3:C$42="Consumer Disc.",'DONNÉES BRUTES'!AB$3:AB$42+(ROW('DONNÉES BRUTES'!A$3:A$42)-ROW('DONNÉES BRUTES'!A$3))/1000,0),0))),"—")</f>
        <v/>
      </c>
      <c r="M13">
        <f t="array" ref="M13">IFERROR(IF(3&gt;COUNTIF('DONNÉES BRUTES'!C$3:C$42,"Consumer Disc."),"",INDEX('DONNÉES BRUTES'!Q$3:Q$42,MATCH(LARGE(IF('DONNÉES BRUTES'!C$3:C$42="Consumer Disc.",'DONNÉES BRUTES'!AB$3:AB$42+(ROW('DONNÉES BRUTES'!A$3:A$42)-ROW('DONNÉES BRUTES'!A$3))/1000,0),3),IF('DONNÉES BRUTES'!C$3:C$42="Consumer Disc.",'DONNÉES BRUTES'!AB$3:AB$42+(ROW('DONNÉES BRUTES'!A$3:A$42)-ROW('DONNÉES BRUTES'!A$3))/1000,0),0))),"—")</f>
        <v/>
      </c>
      <c r="N13">
        <f t="array" ref="N13">IFERROR(IF(3&gt;COUNTIF('DONNÉES BRUTES'!C$3:C$42,"Consumer Disc."),"",INDEX('DONNÉES BRUTES'!S$3:S$42,MATCH(LARGE(IF('DONNÉES BRUTES'!C$3:C$42="Consumer Disc.",'DONNÉES BRUTES'!AB$3:AB$42+(ROW('DONNÉES BRUTES'!A$3:A$42)-ROW('DONNÉES BRUTES'!A$3))/1000,0),3),IF('DONNÉES BRUTES'!C$3:C$42="Consumer Disc.",'DONNÉES BRUTES'!AB$3:AB$42+(ROW('DONNÉES BRUTES'!A$3:A$42)-ROW('DONNÉES BRUTES'!A$3))/1000,0),0))),"—")</f>
        <v/>
      </c>
      <c r="O13">
        <f t="array" ref="O13">IFERROR(IF(3&gt;COUNTIF('DONNÉES BRUTES'!C$3:C$42,"Consumer Disc."),"",INDEX('DONNÉES BRUTES'!T$3:T$42,MATCH(LARGE(IF('DONNÉES BRUTES'!C$3:C$42="Consumer Disc.",'DONNÉES BRUTES'!AB$3:AB$42+(ROW('DONNÉES BRUTES'!A$3:A$42)-ROW('DONNÉES BRUTES'!A$3))/1000,0),3),IF('DONNÉES BRUTES'!C$3:C$42="Consumer Disc.",'DONNÉES BRUTES'!AB$3:AB$42+(ROW('DONNÉES BRUTES'!A$3:A$42)-ROW('DONNÉES BRUTES'!A$3))/1000,0),0))),"—")</f>
        <v/>
      </c>
      <c r="P13">
        <f t="array" ref="P13">IFERROR(IF(3&gt;COUNTIF('DONNÉES BRUTES'!C$3:C$42,"Consumer Disc."),"",INDEX('DONNÉES BRUTES'!U$3:U$42,MATCH(LARGE(IF('DONNÉES BRUTES'!C$3:C$42="Consumer Disc.",'DONNÉES BRUTES'!AB$3:AB$42+(ROW('DONNÉES BRUTES'!A$3:A$42)-ROW('DONNÉES BRUTES'!A$3))/1000,0),3),IF('DONNÉES BRUTES'!C$3:C$42="Consumer Disc.",'DONNÉES BRUTES'!AB$3:AB$42+(ROW('DONNÉES BRUTES'!A$3:A$42)-ROW('DONNÉES BRUTES'!A$3))/1000,0),0))),"—")</f>
        <v/>
      </c>
      <c r="Q13">
        <f t="array" ref="Q13">IFERROR(IF(3&gt;COUNTIF('DONNÉES BRUTES'!C$3:C$42,"Consumer Disc."),"",INDEX('DONNÉES BRUTES'!AD$3:AD$42,MATCH(LARGE(IF('DONNÉES BRUTES'!C$3:C$42="Consumer Disc.",'DONNÉES BRUTES'!AB$3:AB$42+(ROW('DONNÉES BRUTES'!A$3:A$42)-ROW('DONNÉES BRUTES'!A$3))/1000,0),3),IF('DONNÉES BRUTES'!C$3:C$42="Consumer Disc.",'DONNÉES BRUTES'!AB$3:AB$42+(ROW('DONNÉES BRUTES'!A$3:A$42)-ROW('DONNÉES BRUTES'!A$3))/1000,0),0))),"—")</f>
        <v/>
      </c>
    </row>
    <row r="14" ht="15.95" customHeight="1">
      <c r="B14">
        <f>IF(4&gt;COUNTIF('DONNÉES BRUTES'!C$3:C$42,"Consumer Disc."),"",4)</f>
        <v/>
      </c>
      <c r="C14">
        <f t="array" ref="C14">IFERROR(IF(4&gt;COUNTIF('DONNÉES BRUTES'!C$3:C$42,"Consumer Disc."),"",INDEX('DONNÉES BRUTES'!A$3:A$42,MATCH(LARGE(IF('DONNÉES BRUTES'!C$3:C$42="Consumer Disc.",'DONNÉES BRUTES'!AB$3:AB$42+(ROW('DONNÉES BRUTES'!A$3:A$42)-ROW('DONNÉES BRUTES'!A$3))/1000,0),4),IF('DONNÉES BRUTES'!C$3:C$42="Consumer Disc.",'DONNÉES BRUTES'!AB$3:AB$42+(ROW('DONNÉES BRUTES'!A$3:A$42)-ROW('DONNÉES BRUTES'!A$3))/1000,0),0))),"—")</f>
        <v/>
      </c>
      <c r="D14">
        <f t="array" ref="D14">IFERROR(IF(4&gt;COUNTIF('DONNÉES BRUTES'!C$3:C$42,"Consumer Disc."),"",INDEX('DONNÉES BRUTES'!B$3:B$42,MATCH(LARGE(IF('DONNÉES BRUTES'!C$3:C$42="Consumer Disc.",'DONNÉES BRUTES'!AB$3:AB$42+(ROW('DONNÉES BRUTES'!A$3:A$42)-ROW('DONNÉES BRUTES'!A$3))/1000,0),4),IF('DONNÉES BRUTES'!C$3:C$42="Consumer Disc.",'DONNÉES BRUTES'!AB$3:AB$42+(ROW('DONNÉES BRUTES'!A$3:A$42)-ROW('DONNÉES BRUTES'!A$3))/1000,0),0))),"—")</f>
        <v/>
      </c>
      <c r="E14">
        <f t="array" ref="E14">IFERROR(IF(4&gt;COUNTIF('DONNÉES BRUTES'!C$3:C$42,"Consumer Disc."),"",INT(LARGE(IF('DONNÉES BRUTES'!C$3:C$42="Consumer Disc.",'DONNÉES BRUTES'!AB$3:AB$42+(ROW('DONNÉES BRUTES'!A$3:A$42)-ROW('DONNÉES BRUTES'!A$3))/1000,0),4))&amp;"/100"),"—")</f>
        <v/>
      </c>
      <c r="F14">
        <f t="array" ref="F14">IFERROR(IF(4&gt;COUNTIF('DONNÉES BRUTES'!C$3:C$42,"Consumer Disc."),"",INDEX('DONNÉES BRUTES'!Y$3:Y$42,MATCH(LARGE(IF('DONNÉES BRUTES'!C$3:C$42="Consumer Disc.",'DONNÉES BRUTES'!AB$3:AB$42+(ROW('DONNÉES BRUTES'!A$3:A$42)-ROW('DONNÉES BRUTES'!A$3))/1000,0),4),IF('DONNÉES BRUTES'!C$3:C$42="Consumer Disc.",'DONNÉES BRUTES'!AB$3:AB$42+(ROW('DONNÉES BRUTES'!A$3:A$42)-ROW('DONNÉES BRUTES'!A$3))/1000,0),0))),"—")</f>
        <v/>
      </c>
      <c r="G14">
        <f t="array" ref="G14">IFERROR(IF(4&gt;COUNTIF('DONNÉES BRUTES'!C$3:C$42,"Consumer Disc."),"",INDEX('DONNÉES BRUTES'!Z$3:Z$42,MATCH(LARGE(IF('DONNÉES BRUTES'!C$3:C$42="Consumer Disc.",'DONNÉES BRUTES'!AB$3:AB$42+(ROW('DONNÉES BRUTES'!A$3:A$42)-ROW('DONNÉES BRUTES'!A$3))/1000,0),4),IF('DONNÉES BRUTES'!C$3:C$42="Consumer Disc.",'DONNÉES BRUTES'!AB$3:AB$42+(ROW('DONNÉES BRUTES'!A$3:A$42)-ROW('DONNÉES BRUTES'!A$3))/1000,0),0))),"—")</f>
        <v/>
      </c>
      <c r="H14">
        <f t="array" ref="H14">IFERROR(IF(4&gt;COUNTIF('DONNÉES BRUTES'!C$3:C$42,"Consumer Disc."),"",INDEX('DONNÉES BRUTES'!AA$3:AA$42,MATCH(LARGE(IF('DONNÉES BRUTES'!C$3:C$42="Consumer Disc.",'DONNÉES BRUTES'!AB$3:AB$42+(ROW('DONNÉES BRUTES'!A$3:A$42)-ROW('DONNÉES BRUTES'!A$3))/1000,0),4),IF('DONNÉES BRUTES'!C$3:C$42="Consumer Disc.",'DONNÉES BRUTES'!AB$3:AB$42+(ROW('DONNÉES BRUTES'!A$3:A$42)-ROW('DONNÉES BRUTES'!A$3))/1000,0),0))),"—")</f>
        <v/>
      </c>
      <c r="I14">
        <f t="array" ref="I14">IFERROR(IF(4&gt;COUNTIF('DONNÉES BRUTES'!C$3:C$42,"Consumer Disc."),"",INDEX('DONNÉES BRUTES'!M$3:M$42,MATCH(LARGE(IF('DONNÉES BRUTES'!C$3:C$42="Consumer Disc.",'DONNÉES BRUTES'!AB$3:AB$42+(ROW('DONNÉES BRUTES'!A$3:A$42)-ROW('DONNÉES BRUTES'!A$3))/1000,0),4),IF('DONNÉES BRUTES'!C$3:C$42="Consumer Disc.",'DONNÉES BRUTES'!AB$3:AB$42+(ROW('DONNÉES BRUTES'!A$3:A$42)-ROW('DONNÉES BRUTES'!A$3))/1000,0),0))),"—")</f>
        <v/>
      </c>
      <c r="J14">
        <f t="array" ref="J14">IFERROR(IF(4&gt;COUNTIF('DONNÉES BRUTES'!C$3:C$42,"Consumer Disc."),"",INDEX('DONNÉES BRUTES'!N$3:N$42,MATCH(LARGE(IF('DONNÉES BRUTES'!C$3:C$42="Consumer Disc.",'DONNÉES BRUTES'!AB$3:AB$42+(ROW('DONNÉES BRUTES'!A$3:A$42)-ROW('DONNÉES BRUTES'!A$3))/1000,0),4),IF('DONNÉES BRUTES'!C$3:C$42="Consumer Disc.",'DONNÉES BRUTES'!AB$3:AB$42+(ROW('DONNÉES BRUTES'!A$3:A$42)-ROW('DONNÉES BRUTES'!A$3))/1000,0),0))),"—")</f>
        <v/>
      </c>
      <c r="K14">
        <f t="array" ref="K14">IFERROR(IF(4&gt;COUNTIF('DONNÉES BRUTES'!C$3:C$42,"Consumer Disc."),"",INDEX('DONNÉES BRUTES'!O$3:O$42,MATCH(LARGE(IF('DONNÉES BRUTES'!C$3:C$42="Consumer Disc.",'DONNÉES BRUTES'!AB$3:AB$42+(ROW('DONNÉES BRUTES'!A$3:A$42)-ROW('DONNÉES BRUTES'!A$3))/1000,0),4),IF('DONNÉES BRUTES'!C$3:C$42="Consumer Disc.",'DONNÉES BRUTES'!AB$3:AB$42+(ROW('DONNÉES BRUTES'!A$3:A$42)-ROW('DONNÉES BRUTES'!A$3))/1000,0),0))),"—")</f>
        <v/>
      </c>
      <c r="L14">
        <f t="array" ref="L14">IFERROR(IF(4&gt;COUNTIF('DONNÉES BRUTES'!C$3:C$42,"Consumer Disc."),"",INDEX('DONNÉES BRUTES'!P$3:P$42,MATCH(LARGE(IF('DONNÉES BRUTES'!C$3:C$42="Consumer Disc.",'DONNÉES BRUTES'!AB$3:AB$42+(ROW('DONNÉES BRUTES'!A$3:A$42)-ROW('DONNÉES BRUTES'!A$3))/1000,0),4),IF('DONNÉES BRUTES'!C$3:C$42="Consumer Disc.",'DONNÉES BRUTES'!AB$3:AB$42+(ROW('DONNÉES BRUTES'!A$3:A$42)-ROW('DONNÉES BRUTES'!A$3))/1000,0),0))),"—")</f>
        <v/>
      </c>
      <c r="M14">
        <f t="array" ref="M14">IFERROR(IF(4&gt;COUNTIF('DONNÉES BRUTES'!C$3:C$42,"Consumer Disc."),"",INDEX('DONNÉES BRUTES'!Q$3:Q$42,MATCH(LARGE(IF('DONNÉES BRUTES'!C$3:C$42="Consumer Disc.",'DONNÉES BRUTES'!AB$3:AB$42+(ROW('DONNÉES BRUTES'!A$3:A$42)-ROW('DONNÉES BRUTES'!A$3))/1000,0),4),IF('DONNÉES BRUTES'!C$3:C$42="Consumer Disc.",'DONNÉES BRUTES'!AB$3:AB$42+(ROW('DONNÉES BRUTES'!A$3:A$42)-ROW('DONNÉES BRUTES'!A$3))/1000,0),0))),"—")</f>
        <v/>
      </c>
      <c r="N14">
        <f t="array" ref="N14">IFERROR(IF(4&gt;COUNTIF('DONNÉES BRUTES'!C$3:C$42,"Consumer Disc."),"",INDEX('DONNÉES BRUTES'!S$3:S$42,MATCH(LARGE(IF('DONNÉES BRUTES'!C$3:C$42="Consumer Disc.",'DONNÉES BRUTES'!AB$3:AB$42+(ROW('DONNÉES BRUTES'!A$3:A$42)-ROW('DONNÉES BRUTES'!A$3))/1000,0),4),IF('DONNÉES BRUTES'!C$3:C$42="Consumer Disc.",'DONNÉES BRUTES'!AB$3:AB$42+(ROW('DONNÉES BRUTES'!A$3:A$42)-ROW('DONNÉES BRUTES'!A$3))/1000,0),0))),"—")</f>
        <v/>
      </c>
      <c r="O14">
        <f t="array" ref="O14">IFERROR(IF(4&gt;COUNTIF('DONNÉES BRUTES'!C$3:C$42,"Consumer Disc."),"",INDEX('DONNÉES BRUTES'!T$3:T$42,MATCH(LARGE(IF('DONNÉES BRUTES'!C$3:C$42="Consumer Disc.",'DONNÉES BRUTES'!AB$3:AB$42+(ROW('DONNÉES BRUTES'!A$3:A$42)-ROW('DONNÉES BRUTES'!A$3))/1000,0),4),IF('DONNÉES BRUTES'!C$3:C$42="Consumer Disc.",'DONNÉES BRUTES'!AB$3:AB$42+(ROW('DONNÉES BRUTES'!A$3:A$42)-ROW('DONNÉES BRUTES'!A$3))/1000,0),0))),"—")</f>
        <v/>
      </c>
      <c r="P14">
        <f t="array" ref="P14">IFERROR(IF(4&gt;COUNTIF('DONNÉES BRUTES'!C$3:C$42,"Consumer Disc."),"",INDEX('DONNÉES BRUTES'!U$3:U$42,MATCH(LARGE(IF('DONNÉES BRUTES'!C$3:C$42="Consumer Disc.",'DONNÉES BRUTES'!AB$3:AB$42+(ROW('DONNÉES BRUTES'!A$3:A$42)-ROW('DONNÉES BRUTES'!A$3))/1000,0),4),IF('DONNÉES BRUTES'!C$3:C$42="Consumer Disc.",'DONNÉES BRUTES'!AB$3:AB$42+(ROW('DONNÉES BRUTES'!A$3:A$42)-ROW('DONNÉES BRUTES'!A$3))/1000,0),0))),"—")</f>
        <v/>
      </c>
      <c r="Q14">
        <f t="array" ref="Q14">IFERROR(IF(4&gt;COUNTIF('DONNÉES BRUTES'!C$3:C$42,"Consumer Disc."),"",INDEX('DONNÉES BRUTES'!AD$3:AD$42,MATCH(LARGE(IF('DONNÉES BRUTES'!C$3:C$42="Consumer Disc.",'DONNÉES BRUTES'!AB$3:AB$42+(ROW('DONNÉES BRUTES'!A$3:A$42)-ROW('DONNÉES BRUTES'!A$3))/1000,0),4),IF('DONNÉES BRUTES'!C$3:C$42="Consumer Disc.",'DONNÉES BRUTES'!AB$3:AB$42+(ROW('DONNÉES BRUTES'!A$3:A$42)-ROW('DONNÉES BRUTES'!A$3))/1000,0),0))),"—")</f>
        <v/>
      </c>
    </row>
    <row r="15" ht="15.95" customHeight="1">
      <c r="B15">
        <f>IF(5&gt;COUNTIF('DONNÉES BRUTES'!C$3:C$42,"Consumer Disc."),"",5)</f>
        <v/>
      </c>
      <c r="C15">
        <f t="array" ref="C15">IFERROR(IF(5&gt;COUNTIF('DONNÉES BRUTES'!C$3:C$42,"Consumer Disc."),"",INDEX('DONNÉES BRUTES'!A$3:A$42,MATCH(LARGE(IF('DONNÉES BRUTES'!C$3:C$42="Consumer Disc.",'DONNÉES BRUTES'!AB$3:AB$42+(ROW('DONNÉES BRUTES'!A$3:A$42)-ROW('DONNÉES BRUTES'!A$3))/1000,0),5),IF('DONNÉES BRUTES'!C$3:C$42="Consumer Disc.",'DONNÉES BRUTES'!AB$3:AB$42+(ROW('DONNÉES BRUTES'!A$3:A$42)-ROW('DONNÉES BRUTES'!A$3))/1000,0),0))),"—")</f>
        <v/>
      </c>
      <c r="D15">
        <f t="array" ref="D15">IFERROR(IF(5&gt;COUNTIF('DONNÉES BRUTES'!C$3:C$42,"Consumer Disc."),"",INDEX('DONNÉES BRUTES'!B$3:B$42,MATCH(LARGE(IF('DONNÉES BRUTES'!C$3:C$42="Consumer Disc.",'DONNÉES BRUTES'!AB$3:AB$42+(ROW('DONNÉES BRUTES'!A$3:A$42)-ROW('DONNÉES BRUTES'!A$3))/1000,0),5),IF('DONNÉES BRUTES'!C$3:C$42="Consumer Disc.",'DONNÉES BRUTES'!AB$3:AB$42+(ROW('DONNÉES BRUTES'!A$3:A$42)-ROW('DONNÉES BRUTES'!A$3))/1000,0),0))),"—")</f>
        <v/>
      </c>
      <c r="E15">
        <f t="array" ref="E15">IFERROR(IF(5&gt;COUNTIF('DONNÉES BRUTES'!C$3:C$42,"Consumer Disc."),"",INT(LARGE(IF('DONNÉES BRUTES'!C$3:C$42="Consumer Disc.",'DONNÉES BRUTES'!AB$3:AB$42+(ROW('DONNÉES BRUTES'!A$3:A$42)-ROW('DONNÉES BRUTES'!A$3))/1000,0),5))&amp;"/100"),"—")</f>
        <v/>
      </c>
      <c r="F15">
        <f t="array" ref="F15">IFERROR(IF(5&gt;COUNTIF('DONNÉES BRUTES'!C$3:C$42,"Consumer Disc."),"",INDEX('DONNÉES BRUTES'!Y$3:Y$42,MATCH(LARGE(IF('DONNÉES BRUTES'!C$3:C$42="Consumer Disc.",'DONNÉES BRUTES'!AB$3:AB$42+(ROW('DONNÉES BRUTES'!A$3:A$42)-ROW('DONNÉES BRUTES'!A$3))/1000,0),5),IF('DONNÉES BRUTES'!C$3:C$42="Consumer Disc.",'DONNÉES BRUTES'!AB$3:AB$42+(ROW('DONNÉES BRUTES'!A$3:A$42)-ROW('DONNÉES BRUTES'!A$3))/1000,0),0))),"—")</f>
        <v/>
      </c>
      <c r="G15">
        <f t="array" ref="G15">IFERROR(IF(5&gt;COUNTIF('DONNÉES BRUTES'!C$3:C$42,"Consumer Disc."),"",INDEX('DONNÉES BRUTES'!Z$3:Z$42,MATCH(LARGE(IF('DONNÉES BRUTES'!C$3:C$42="Consumer Disc.",'DONNÉES BRUTES'!AB$3:AB$42+(ROW('DONNÉES BRUTES'!A$3:A$42)-ROW('DONNÉES BRUTES'!A$3))/1000,0),5),IF('DONNÉES BRUTES'!C$3:C$42="Consumer Disc.",'DONNÉES BRUTES'!AB$3:AB$42+(ROW('DONNÉES BRUTES'!A$3:A$42)-ROW('DONNÉES BRUTES'!A$3))/1000,0),0))),"—")</f>
        <v/>
      </c>
      <c r="H15">
        <f t="array" ref="H15">IFERROR(IF(5&gt;COUNTIF('DONNÉES BRUTES'!C$3:C$42,"Consumer Disc."),"",INDEX('DONNÉES BRUTES'!AA$3:AA$42,MATCH(LARGE(IF('DONNÉES BRUTES'!C$3:C$42="Consumer Disc.",'DONNÉES BRUTES'!AB$3:AB$42+(ROW('DONNÉES BRUTES'!A$3:A$42)-ROW('DONNÉES BRUTES'!A$3))/1000,0),5),IF('DONNÉES BRUTES'!C$3:C$42="Consumer Disc.",'DONNÉES BRUTES'!AB$3:AB$42+(ROW('DONNÉES BRUTES'!A$3:A$42)-ROW('DONNÉES BRUTES'!A$3))/1000,0),0))),"—")</f>
        <v/>
      </c>
      <c r="I15">
        <f t="array" ref="I15">IFERROR(IF(5&gt;COUNTIF('DONNÉES BRUTES'!C$3:C$42,"Consumer Disc."),"",INDEX('DONNÉES BRUTES'!M$3:M$42,MATCH(LARGE(IF('DONNÉES BRUTES'!C$3:C$42="Consumer Disc.",'DONNÉES BRUTES'!AB$3:AB$42+(ROW('DONNÉES BRUTES'!A$3:A$42)-ROW('DONNÉES BRUTES'!A$3))/1000,0),5),IF('DONNÉES BRUTES'!C$3:C$42="Consumer Disc.",'DONNÉES BRUTES'!AB$3:AB$42+(ROW('DONNÉES BRUTES'!A$3:A$42)-ROW('DONNÉES BRUTES'!A$3))/1000,0),0))),"—")</f>
        <v/>
      </c>
      <c r="J15">
        <f t="array" ref="J15">IFERROR(IF(5&gt;COUNTIF('DONNÉES BRUTES'!C$3:C$42,"Consumer Disc."),"",INDEX('DONNÉES BRUTES'!N$3:N$42,MATCH(LARGE(IF('DONNÉES BRUTES'!C$3:C$42="Consumer Disc.",'DONNÉES BRUTES'!AB$3:AB$42+(ROW('DONNÉES BRUTES'!A$3:A$42)-ROW('DONNÉES BRUTES'!A$3))/1000,0),5),IF('DONNÉES BRUTES'!C$3:C$42="Consumer Disc.",'DONNÉES BRUTES'!AB$3:AB$42+(ROW('DONNÉES BRUTES'!A$3:A$42)-ROW('DONNÉES BRUTES'!A$3))/1000,0),0))),"—")</f>
        <v/>
      </c>
      <c r="K15">
        <f t="array" ref="K15">IFERROR(IF(5&gt;COUNTIF('DONNÉES BRUTES'!C$3:C$42,"Consumer Disc."),"",INDEX('DONNÉES BRUTES'!O$3:O$42,MATCH(LARGE(IF('DONNÉES BRUTES'!C$3:C$42="Consumer Disc.",'DONNÉES BRUTES'!AB$3:AB$42+(ROW('DONNÉES BRUTES'!A$3:A$42)-ROW('DONNÉES BRUTES'!A$3))/1000,0),5),IF('DONNÉES BRUTES'!C$3:C$42="Consumer Disc.",'DONNÉES BRUTES'!AB$3:AB$42+(ROW('DONNÉES BRUTES'!A$3:A$42)-ROW('DONNÉES BRUTES'!A$3))/1000,0),0))),"—")</f>
        <v/>
      </c>
      <c r="L15">
        <f t="array" ref="L15">IFERROR(IF(5&gt;COUNTIF('DONNÉES BRUTES'!C$3:C$42,"Consumer Disc."),"",INDEX('DONNÉES BRUTES'!P$3:P$42,MATCH(LARGE(IF('DONNÉES BRUTES'!C$3:C$42="Consumer Disc.",'DONNÉES BRUTES'!AB$3:AB$42+(ROW('DONNÉES BRUTES'!A$3:A$42)-ROW('DONNÉES BRUTES'!A$3))/1000,0),5),IF('DONNÉES BRUTES'!C$3:C$42="Consumer Disc.",'DONNÉES BRUTES'!AB$3:AB$42+(ROW('DONNÉES BRUTES'!A$3:A$42)-ROW('DONNÉES BRUTES'!A$3))/1000,0),0))),"—")</f>
        <v/>
      </c>
      <c r="M15">
        <f t="array" ref="M15">IFERROR(IF(5&gt;COUNTIF('DONNÉES BRUTES'!C$3:C$42,"Consumer Disc."),"",INDEX('DONNÉES BRUTES'!Q$3:Q$42,MATCH(LARGE(IF('DONNÉES BRUTES'!C$3:C$42="Consumer Disc.",'DONNÉES BRUTES'!AB$3:AB$42+(ROW('DONNÉES BRUTES'!A$3:A$42)-ROW('DONNÉES BRUTES'!A$3))/1000,0),5),IF('DONNÉES BRUTES'!C$3:C$42="Consumer Disc.",'DONNÉES BRUTES'!AB$3:AB$42+(ROW('DONNÉES BRUTES'!A$3:A$42)-ROW('DONNÉES BRUTES'!A$3))/1000,0),0))),"—")</f>
        <v/>
      </c>
      <c r="N15">
        <f t="array" ref="N15">IFERROR(IF(5&gt;COUNTIF('DONNÉES BRUTES'!C$3:C$42,"Consumer Disc."),"",INDEX('DONNÉES BRUTES'!S$3:S$42,MATCH(LARGE(IF('DONNÉES BRUTES'!C$3:C$42="Consumer Disc.",'DONNÉES BRUTES'!AB$3:AB$42+(ROW('DONNÉES BRUTES'!A$3:A$42)-ROW('DONNÉES BRUTES'!A$3))/1000,0),5),IF('DONNÉES BRUTES'!C$3:C$42="Consumer Disc.",'DONNÉES BRUTES'!AB$3:AB$42+(ROW('DONNÉES BRUTES'!A$3:A$42)-ROW('DONNÉES BRUTES'!A$3))/1000,0),0))),"—")</f>
        <v/>
      </c>
      <c r="O15">
        <f t="array" ref="O15">IFERROR(IF(5&gt;COUNTIF('DONNÉES BRUTES'!C$3:C$42,"Consumer Disc."),"",INDEX('DONNÉES BRUTES'!T$3:T$42,MATCH(LARGE(IF('DONNÉES BRUTES'!C$3:C$42="Consumer Disc.",'DONNÉES BRUTES'!AB$3:AB$42+(ROW('DONNÉES BRUTES'!A$3:A$42)-ROW('DONNÉES BRUTES'!A$3))/1000,0),5),IF('DONNÉES BRUTES'!C$3:C$42="Consumer Disc.",'DONNÉES BRUTES'!AB$3:AB$42+(ROW('DONNÉES BRUTES'!A$3:A$42)-ROW('DONNÉES BRUTES'!A$3))/1000,0),0))),"—")</f>
        <v/>
      </c>
      <c r="P15">
        <f t="array" ref="P15">IFERROR(IF(5&gt;COUNTIF('DONNÉES BRUTES'!C$3:C$42,"Consumer Disc."),"",INDEX('DONNÉES BRUTES'!U$3:U$42,MATCH(LARGE(IF('DONNÉES BRUTES'!C$3:C$42="Consumer Disc.",'DONNÉES BRUTES'!AB$3:AB$42+(ROW('DONNÉES BRUTES'!A$3:A$42)-ROW('DONNÉES BRUTES'!A$3))/1000,0),5),IF('DONNÉES BRUTES'!C$3:C$42="Consumer Disc.",'DONNÉES BRUTES'!AB$3:AB$42+(ROW('DONNÉES BRUTES'!A$3:A$42)-ROW('DONNÉES BRUTES'!A$3))/1000,0),0))),"—")</f>
        <v/>
      </c>
      <c r="Q15">
        <f t="array" ref="Q15">IFERROR(IF(5&gt;COUNTIF('DONNÉES BRUTES'!C$3:C$42,"Consumer Disc."),"",INDEX('DONNÉES BRUTES'!AD$3:AD$42,MATCH(LARGE(IF('DONNÉES BRUTES'!C$3:C$42="Consumer Disc.",'DONNÉES BRUTES'!AB$3:AB$42+(ROW('DONNÉES BRUTES'!A$3:A$42)-ROW('DONNÉES BRUTES'!A$3))/1000,0),5),IF('DONNÉES BRUTES'!C$3:C$42="Consumer Disc.",'DONNÉES BRUTES'!AB$3:AB$42+(ROW('DONNÉES BRUTES'!A$3:A$42)-ROW('DONNÉES BRUTES'!A$3))/1000,0),0))),"—")</f>
        <v/>
      </c>
    </row>
    <row r="16" ht="15.95" customHeight="1">
      <c r="B16">
        <f>IF(6&gt;COUNTIF('DONNÉES BRUTES'!C$3:C$42,"Consumer Disc."),"",6)</f>
        <v/>
      </c>
      <c r="C16">
        <f t="array" ref="C16">IFERROR(IF(6&gt;COUNTIF('DONNÉES BRUTES'!C$3:C$42,"Consumer Disc."),"",INDEX('DONNÉES BRUTES'!A$3:A$42,MATCH(LARGE(IF('DONNÉES BRUTES'!C$3:C$42="Consumer Disc.",'DONNÉES BRUTES'!AB$3:AB$42+(ROW('DONNÉES BRUTES'!A$3:A$42)-ROW('DONNÉES BRUTES'!A$3))/1000,0),6),IF('DONNÉES BRUTES'!C$3:C$42="Consumer Disc.",'DONNÉES BRUTES'!AB$3:AB$42+(ROW('DONNÉES BRUTES'!A$3:A$42)-ROW('DONNÉES BRUTES'!A$3))/1000,0),0))),"—")</f>
        <v/>
      </c>
      <c r="D16">
        <f t="array" ref="D16">IFERROR(IF(6&gt;COUNTIF('DONNÉES BRUTES'!C$3:C$42,"Consumer Disc."),"",INDEX('DONNÉES BRUTES'!B$3:B$42,MATCH(LARGE(IF('DONNÉES BRUTES'!C$3:C$42="Consumer Disc.",'DONNÉES BRUTES'!AB$3:AB$42+(ROW('DONNÉES BRUTES'!A$3:A$42)-ROW('DONNÉES BRUTES'!A$3))/1000,0),6),IF('DONNÉES BRUTES'!C$3:C$42="Consumer Disc.",'DONNÉES BRUTES'!AB$3:AB$42+(ROW('DONNÉES BRUTES'!A$3:A$42)-ROW('DONNÉES BRUTES'!A$3))/1000,0),0))),"—")</f>
        <v/>
      </c>
      <c r="E16">
        <f t="array" ref="E16">IFERROR(IF(6&gt;COUNTIF('DONNÉES BRUTES'!C$3:C$42,"Consumer Disc."),"",INT(LARGE(IF('DONNÉES BRUTES'!C$3:C$42="Consumer Disc.",'DONNÉES BRUTES'!AB$3:AB$42+(ROW('DONNÉES BRUTES'!A$3:A$42)-ROW('DONNÉES BRUTES'!A$3))/1000,0),6))&amp;"/100"),"—")</f>
        <v/>
      </c>
      <c r="F16">
        <f t="array" ref="F16">IFERROR(IF(6&gt;COUNTIF('DONNÉES BRUTES'!C$3:C$42,"Consumer Disc."),"",INDEX('DONNÉES BRUTES'!Y$3:Y$42,MATCH(LARGE(IF('DONNÉES BRUTES'!C$3:C$42="Consumer Disc.",'DONNÉES BRUTES'!AB$3:AB$42+(ROW('DONNÉES BRUTES'!A$3:A$42)-ROW('DONNÉES BRUTES'!A$3))/1000,0),6),IF('DONNÉES BRUTES'!C$3:C$42="Consumer Disc.",'DONNÉES BRUTES'!AB$3:AB$42+(ROW('DONNÉES BRUTES'!A$3:A$42)-ROW('DONNÉES BRUTES'!A$3))/1000,0),0))),"—")</f>
        <v/>
      </c>
      <c r="G16">
        <f t="array" ref="G16">IFERROR(IF(6&gt;COUNTIF('DONNÉES BRUTES'!C$3:C$42,"Consumer Disc."),"",INDEX('DONNÉES BRUTES'!Z$3:Z$42,MATCH(LARGE(IF('DONNÉES BRUTES'!C$3:C$42="Consumer Disc.",'DONNÉES BRUTES'!AB$3:AB$42+(ROW('DONNÉES BRUTES'!A$3:A$42)-ROW('DONNÉES BRUTES'!A$3))/1000,0),6),IF('DONNÉES BRUTES'!C$3:C$42="Consumer Disc.",'DONNÉES BRUTES'!AB$3:AB$42+(ROW('DONNÉES BRUTES'!A$3:A$42)-ROW('DONNÉES BRUTES'!A$3))/1000,0),0))),"—")</f>
        <v/>
      </c>
      <c r="H16">
        <f t="array" ref="H16">IFERROR(IF(6&gt;COUNTIF('DONNÉES BRUTES'!C$3:C$42,"Consumer Disc."),"",INDEX('DONNÉES BRUTES'!AA$3:AA$42,MATCH(LARGE(IF('DONNÉES BRUTES'!C$3:C$42="Consumer Disc.",'DONNÉES BRUTES'!AB$3:AB$42+(ROW('DONNÉES BRUTES'!A$3:A$42)-ROW('DONNÉES BRUTES'!A$3))/1000,0),6),IF('DONNÉES BRUTES'!C$3:C$42="Consumer Disc.",'DONNÉES BRUTES'!AB$3:AB$42+(ROW('DONNÉES BRUTES'!A$3:A$42)-ROW('DONNÉES BRUTES'!A$3))/1000,0),0))),"—")</f>
        <v/>
      </c>
      <c r="I16">
        <f t="array" ref="I16">IFERROR(IF(6&gt;COUNTIF('DONNÉES BRUTES'!C$3:C$42,"Consumer Disc."),"",INDEX('DONNÉES BRUTES'!M$3:M$42,MATCH(LARGE(IF('DONNÉES BRUTES'!C$3:C$42="Consumer Disc.",'DONNÉES BRUTES'!AB$3:AB$42+(ROW('DONNÉES BRUTES'!A$3:A$42)-ROW('DONNÉES BRUTES'!A$3))/1000,0),6),IF('DONNÉES BRUTES'!C$3:C$42="Consumer Disc.",'DONNÉES BRUTES'!AB$3:AB$42+(ROW('DONNÉES BRUTES'!A$3:A$42)-ROW('DONNÉES BRUTES'!A$3))/1000,0),0))),"—")</f>
        <v/>
      </c>
      <c r="J16">
        <f t="array" ref="J16">IFERROR(IF(6&gt;COUNTIF('DONNÉES BRUTES'!C$3:C$42,"Consumer Disc."),"",INDEX('DONNÉES BRUTES'!N$3:N$42,MATCH(LARGE(IF('DONNÉES BRUTES'!C$3:C$42="Consumer Disc.",'DONNÉES BRUTES'!AB$3:AB$42+(ROW('DONNÉES BRUTES'!A$3:A$42)-ROW('DONNÉES BRUTES'!A$3))/1000,0),6),IF('DONNÉES BRUTES'!C$3:C$42="Consumer Disc.",'DONNÉES BRUTES'!AB$3:AB$42+(ROW('DONNÉES BRUTES'!A$3:A$42)-ROW('DONNÉES BRUTES'!A$3))/1000,0),0))),"—")</f>
        <v/>
      </c>
      <c r="K16">
        <f t="array" ref="K16">IFERROR(IF(6&gt;COUNTIF('DONNÉES BRUTES'!C$3:C$42,"Consumer Disc."),"",INDEX('DONNÉES BRUTES'!O$3:O$42,MATCH(LARGE(IF('DONNÉES BRUTES'!C$3:C$42="Consumer Disc.",'DONNÉES BRUTES'!AB$3:AB$42+(ROW('DONNÉES BRUTES'!A$3:A$42)-ROW('DONNÉES BRUTES'!A$3))/1000,0),6),IF('DONNÉES BRUTES'!C$3:C$42="Consumer Disc.",'DONNÉES BRUTES'!AB$3:AB$42+(ROW('DONNÉES BRUTES'!A$3:A$42)-ROW('DONNÉES BRUTES'!A$3))/1000,0),0))),"—")</f>
        <v/>
      </c>
      <c r="L16">
        <f t="array" ref="L16">IFERROR(IF(6&gt;COUNTIF('DONNÉES BRUTES'!C$3:C$42,"Consumer Disc."),"",INDEX('DONNÉES BRUTES'!P$3:P$42,MATCH(LARGE(IF('DONNÉES BRUTES'!C$3:C$42="Consumer Disc.",'DONNÉES BRUTES'!AB$3:AB$42+(ROW('DONNÉES BRUTES'!A$3:A$42)-ROW('DONNÉES BRUTES'!A$3))/1000,0),6),IF('DONNÉES BRUTES'!C$3:C$42="Consumer Disc.",'DONNÉES BRUTES'!AB$3:AB$42+(ROW('DONNÉES BRUTES'!A$3:A$42)-ROW('DONNÉES BRUTES'!A$3))/1000,0),0))),"—")</f>
        <v/>
      </c>
      <c r="M16">
        <f t="array" ref="M16">IFERROR(IF(6&gt;COUNTIF('DONNÉES BRUTES'!C$3:C$42,"Consumer Disc."),"",INDEX('DONNÉES BRUTES'!Q$3:Q$42,MATCH(LARGE(IF('DONNÉES BRUTES'!C$3:C$42="Consumer Disc.",'DONNÉES BRUTES'!AB$3:AB$42+(ROW('DONNÉES BRUTES'!A$3:A$42)-ROW('DONNÉES BRUTES'!A$3))/1000,0),6),IF('DONNÉES BRUTES'!C$3:C$42="Consumer Disc.",'DONNÉES BRUTES'!AB$3:AB$42+(ROW('DONNÉES BRUTES'!A$3:A$42)-ROW('DONNÉES BRUTES'!A$3))/1000,0),0))),"—")</f>
        <v/>
      </c>
      <c r="N16">
        <f t="array" ref="N16">IFERROR(IF(6&gt;COUNTIF('DONNÉES BRUTES'!C$3:C$42,"Consumer Disc."),"",INDEX('DONNÉES BRUTES'!S$3:S$42,MATCH(LARGE(IF('DONNÉES BRUTES'!C$3:C$42="Consumer Disc.",'DONNÉES BRUTES'!AB$3:AB$42+(ROW('DONNÉES BRUTES'!A$3:A$42)-ROW('DONNÉES BRUTES'!A$3))/1000,0),6),IF('DONNÉES BRUTES'!C$3:C$42="Consumer Disc.",'DONNÉES BRUTES'!AB$3:AB$42+(ROW('DONNÉES BRUTES'!A$3:A$42)-ROW('DONNÉES BRUTES'!A$3))/1000,0),0))),"—")</f>
        <v/>
      </c>
      <c r="O16">
        <f t="array" ref="O16">IFERROR(IF(6&gt;COUNTIF('DONNÉES BRUTES'!C$3:C$42,"Consumer Disc."),"",INDEX('DONNÉES BRUTES'!T$3:T$42,MATCH(LARGE(IF('DONNÉES BRUTES'!C$3:C$42="Consumer Disc.",'DONNÉES BRUTES'!AB$3:AB$42+(ROW('DONNÉES BRUTES'!A$3:A$42)-ROW('DONNÉES BRUTES'!A$3))/1000,0),6),IF('DONNÉES BRUTES'!C$3:C$42="Consumer Disc.",'DONNÉES BRUTES'!AB$3:AB$42+(ROW('DONNÉES BRUTES'!A$3:A$42)-ROW('DONNÉES BRUTES'!A$3))/1000,0),0))),"—")</f>
        <v/>
      </c>
      <c r="P16">
        <f t="array" ref="P16">IFERROR(IF(6&gt;COUNTIF('DONNÉES BRUTES'!C$3:C$42,"Consumer Disc."),"",INDEX('DONNÉES BRUTES'!U$3:U$42,MATCH(LARGE(IF('DONNÉES BRUTES'!C$3:C$42="Consumer Disc.",'DONNÉES BRUTES'!AB$3:AB$42+(ROW('DONNÉES BRUTES'!A$3:A$42)-ROW('DONNÉES BRUTES'!A$3))/1000,0),6),IF('DONNÉES BRUTES'!C$3:C$42="Consumer Disc.",'DONNÉES BRUTES'!AB$3:AB$42+(ROW('DONNÉES BRUTES'!A$3:A$42)-ROW('DONNÉES BRUTES'!A$3))/1000,0),0))),"—")</f>
        <v/>
      </c>
      <c r="Q16">
        <f t="array" ref="Q16">IFERROR(IF(6&gt;COUNTIF('DONNÉES BRUTES'!C$3:C$42,"Consumer Disc."),"",INDEX('DONNÉES BRUTES'!AD$3:AD$42,MATCH(LARGE(IF('DONNÉES BRUTES'!C$3:C$42="Consumer Disc.",'DONNÉES BRUTES'!AB$3:AB$42+(ROW('DONNÉES BRUTES'!A$3:A$42)-ROW('DONNÉES BRUTES'!A$3))/1000,0),6),IF('DONNÉES BRUTES'!C$3:C$42="Consumer Disc.",'DONNÉES BRUTES'!AB$3:AB$42+(ROW('DONNÉES BRUTES'!A$3:A$42)-ROW('DONNÉES BRUTES'!A$3))/1000,0),0))),"—")</f>
        <v/>
      </c>
    </row>
    <row r="17" ht="15.95" customHeight="1">
      <c r="B17">
        <f>IF(7&gt;COUNTIF('DONNÉES BRUTES'!C$3:C$42,"Consumer Disc."),"",7)</f>
        <v/>
      </c>
      <c r="C17">
        <f t="array" ref="C17">IFERROR(IF(7&gt;COUNTIF('DONNÉES BRUTES'!C$3:C$42,"Consumer Disc."),"",INDEX('DONNÉES BRUTES'!A$3:A$42,MATCH(LARGE(IF('DONNÉES BRUTES'!C$3:C$42="Consumer Disc.",'DONNÉES BRUTES'!AB$3:AB$42+(ROW('DONNÉES BRUTES'!A$3:A$42)-ROW('DONNÉES BRUTES'!A$3))/1000,0),7),IF('DONNÉES BRUTES'!C$3:C$42="Consumer Disc.",'DONNÉES BRUTES'!AB$3:AB$42+(ROW('DONNÉES BRUTES'!A$3:A$42)-ROW('DONNÉES BRUTES'!A$3))/1000,0),0))),"—")</f>
        <v/>
      </c>
      <c r="D17">
        <f t="array" ref="D17">IFERROR(IF(7&gt;COUNTIF('DONNÉES BRUTES'!C$3:C$42,"Consumer Disc."),"",INDEX('DONNÉES BRUTES'!B$3:B$42,MATCH(LARGE(IF('DONNÉES BRUTES'!C$3:C$42="Consumer Disc.",'DONNÉES BRUTES'!AB$3:AB$42+(ROW('DONNÉES BRUTES'!A$3:A$42)-ROW('DONNÉES BRUTES'!A$3))/1000,0),7),IF('DONNÉES BRUTES'!C$3:C$42="Consumer Disc.",'DONNÉES BRUTES'!AB$3:AB$42+(ROW('DONNÉES BRUTES'!A$3:A$42)-ROW('DONNÉES BRUTES'!A$3))/1000,0),0))),"—")</f>
        <v/>
      </c>
      <c r="E17">
        <f t="array" ref="E17">IFERROR(IF(7&gt;COUNTIF('DONNÉES BRUTES'!C$3:C$42,"Consumer Disc."),"",INT(LARGE(IF('DONNÉES BRUTES'!C$3:C$42="Consumer Disc.",'DONNÉES BRUTES'!AB$3:AB$42+(ROW('DONNÉES BRUTES'!A$3:A$42)-ROW('DONNÉES BRUTES'!A$3))/1000,0),7))&amp;"/100"),"—")</f>
        <v/>
      </c>
      <c r="F17">
        <f t="array" ref="F17">IFERROR(IF(7&gt;COUNTIF('DONNÉES BRUTES'!C$3:C$42,"Consumer Disc."),"",INDEX('DONNÉES BRUTES'!Y$3:Y$42,MATCH(LARGE(IF('DONNÉES BRUTES'!C$3:C$42="Consumer Disc.",'DONNÉES BRUTES'!AB$3:AB$42+(ROW('DONNÉES BRUTES'!A$3:A$42)-ROW('DONNÉES BRUTES'!A$3))/1000,0),7),IF('DONNÉES BRUTES'!C$3:C$42="Consumer Disc.",'DONNÉES BRUTES'!AB$3:AB$42+(ROW('DONNÉES BRUTES'!A$3:A$42)-ROW('DONNÉES BRUTES'!A$3))/1000,0),0))),"—")</f>
        <v/>
      </c>
      <c r="G17">
        <f t="array" ref="G17">IFERROR(IF(7&gt;COUNTIF('DONNÉES BRUTES'!C$3:C$42,"Consumer Disc."),"",INDEX('DONNÉES BRUTES'!Z$3:Z$42,MATCH(LARGE(IF('DONNÉES BRUTES'!C$3:C$42="Consumer Disc.",'DONNÉES BRUTES'!AB$3:AB$42+(ROW('DONNÉES BRUTES'!A$3:A$42)-ROW('DONNÉES BRUTES'!A$3))/1000,0),7),IF('DONNÉES BRUTES'!C$3:C$42="Consumer Disc.",'DONNÉES BRUTES'!AB$3:AB$42+(ROW('DONNÉES BRUTES'!A$3:A$42)-ROW('DONNÉES BRUTES'!A$3))/1000,0),0))),"—")</f>
        <v/>
      </c>
      <c r="H17">
        <f t="array" ref="H17">IFERROR(IF(7&gt;COUNTIF('DONNÉES BRUTES'!C$3:C$42,"Consumer Disc."),"",INDEX('DONNÉES BRUTES'!AA$3:AA$42,MATCH(LARGE(IF('DONNÉES BRUTES'!C$3:C$42="Consumer Disc.",'DONNÉES BRUTES'!AB$3:AB$42+(ROW('DONNÉES BRUTES'!A$3:A$42)-ROW('DONNÉES BRUTES'!A$3))/1000,0),7),IF('DONNÉES BRUTES'!C$3:C$42="Consumer Disc.",'DONNÉES BRUTES'!AB$3:AB$42+(ROW('DONNÉES BRUTES'!A$3:A$42)-ROW('DONNÉES BRUTES'!A$3))/1000,0),0))),"—")</f>
        <v/>
      </c>
      <c r="I17">
        <f t="array" ref="I17">IFERROR(IF(7&gt;COUNTIF('DONNÉES BRUTES'!C$3:C$42,"Consumer Disc."),"",INDEX('DONNÉES BRUTES'!M$3:M$42,MATCH(LARGE(IF('DONNÉES BRUTES'!C$3:C$42="Consumer Disc.",'DONNÉES BRUTES'!AB$3:AB$42+(ROW('DONNÉES BRUTES'!A$3:A$42)-ROW('DONNÉES BRUTES'!A$3))/1000,0),7),IF('DONNÉES BRUTES'!C$3:C$42="Consumer Disc.",'DONNÉES BRUTES'!AB$3:AB$42+(ROW('DONNÉES BRUTES'!A$3:A$42)-ROW('DONNÉES BRUTES'!A$3))/1000,0),0))),"—")</f>
        <v/>
      </c>
      <c r="J17">
        <f t="array" ref="J17">IFERROR(IF(7&gt;COUNTIF('DONNÉES BRUTES'!C$3:C$42,"Consumer Disc."),"",INDEX('DONNÉES BRUTES'!N$3:N$42,MATCH(LARGE(IF('DONNÉES BRUTES'!C$3:C$42="Consumer Disc.",'DONNÉES BRUTES'!AB$3:AB$42+(ROW('DONNÉES BRUTES'!A$3:A$42)-ROW('DONNÉES BRUTES'!A$3))/1000,0),7),IF('DONNÉES BRUTES'!C$3:C$42="Consumer Disc.",'DONNÉES BRUTES'!AB$3:AB$42+(ROW('DONNÉES BRUTES'!A$3:A$42)-ROW('DONNÉES BRUTES'!A$3))/1000,0),0))),"—")</f>
        <v/>
      </c>
      <c r="K17">
        <f t="array" ref="K17">IFERROR(IF(7&gt;COUNTIF('DONNÉES BRUTES'!C$3:C$42,"Consumer Disc."),"",INDEX('DONNÉES BRUTES'!O$3:O$42,MATCH(LARGE(IF('DONNÉES BRUTES'!C$3:C$42="Consumer Disc.",'DONNÉES BRUTES'!AB$3:AB$42+(ROW('DONNÉES BRUTES'!A$3:A$42)-ROW('DONNÉES BRUTES'!A$3))/1000,0),7),IF('DONNÉES BRUTES'!C$3:C$42="Consumer Disc.",'DONNÉES BRUTES'!AB$3:AB$42+(ROW('DONNÉES BRUTES'!A$3:A$42)-ROW('DONNÉES BRUTES'!A$3))/1000,0),0))),"—")</f>
        <v/>
      </c>
      <c r="L17">
        <f t="array" ref="L17">IFERROR(IF(7&gt;COUNTIF('DONNÉES BRUTES'!C$3:C$42,"Consumer Disc."),"",INDEX('DONNÉES BRUTES'!P$3:P$42,MATCH(LARGE(IF('DONNÉES BRUTES'!C$3:C$42="Consumer Disc.",'DONNÉES BRUTES'!AB$3:AB$42+(ROW('DONNÉES BRUTES'!A$3:A$42)-ROW('DONNÉES BRUTES'!A$3))/1000,0),7),IF('DONNÉES BRUTES'!C$3:C$42="Consumer Disc.",'DONNÉES BRUTES'!AB$3:AB$42+(ROW('DONNÉES BRUTES'!A$3:A$42)-ROW('DONNÉES BRUTES'!A$3))/1000,0),0))),"—")</f>
        <v/>
      </c>
      <c r="M17">
        <f t="array" ref="M17">IFERROR(IF(7&gt;COUNTIF('DONNÉES BRUTES'!C$3:C$42,"Consumer Disc."),"",INDEX('DONNÉES BRUTES'!Q$3:Q$42,MATCH(LARGE(IF('DONNÉES BRUTES'!C$3:C$42="Consumer Disc.",'DONNÉES BRUTES'!AB$3:AB$42+(ROW('DONNÉES BRUTES'!A$3:A$42)-ROW('DONNÉES BRUTES'!A$3))/1000,0),7),IF('DONNÉES BRUTES'!C$3:C$42="Consumer Disc.",'DONNÉES BRUTES'!AB$3:AB$42+(ROW('DONNÉES BRUTES'!A$3:A$42)-ROW('DONNÉES BRUTES'!A$3))/1000,0),0))),"—")</f>
        <v/>
      </c>
      <c r="N17">
        <f t="array" ref="N17">IFERROR(IF(7&gt;COUNTIF('DONNÉES BRUTES'!C$3:C$42,"Consumer Disc."),"",INDEX('DONNÉES BRUTES'!S$3:S$42,MATCH(LARGE(IF('DONNÉES BRUTES'!C$3:C$42="Consumer Disc.",'DONNÉES BRUTES'!AB$3:AB$42+(ROW('DONNÉES BRUTES'!A$3:A$42)-ROW('DONNÉES BRUTES'!A$3))/1000,0),7),IF('DONNÉES BRUTES'!C$3:C$42="Consumer Disc.",'DONNÉES BRUTES'!AB$3:AB$42+(ROW('DONNÉES BRUTES'!A$3:A$42)-ROW('DONNÉES BRUTES'!A$3))/1000,0),0))),"—")</f>
        <v/>
      </c>
      <c r="O17">
        <f t="array" ref="O17">IFERROR(IF(7&gt;COUNTIF('DONNÉES BRUTES'!C$3:C$42,"Consumer Disc."),"",INDEX('DONNÉES BRUTES'!T$3:T$42,MATCH(LARGE(IF('DONNÉES BRUTES'!C$3:C$42="Consumer Disc.",'DONNÉES BRUTES'!AB$3:AB$42+(ROW('DONNÉES BRUTES'!A$3:A$42)-ROW('DONNÉES BRUTES'!A$3))/1000,0),7),IF('DONNÉES BRUTES'!C$3:C$42="Consumer Disc.",'DONNÉES BRUTES'!AB$3:AB$42+(ROW('DONNÉES BRUTES'!A$3:A$42)-ROW('DONNÉES BRUTES'!A$3))/1000,0),0))),"—")</f>
        <v/>
      </c>
      <c r="P17">
        <f t="array" ref="P17">IFERROR(IF(7&gt;COUNTIF('DONNÉES BRUTES'!C$3:C$42,"Consumer Disc."),"",INDEX('DONNÉES BRUTES'!U$3:U$42,MATCH(LARGE(IF('DONNÉES BRUTES'!C$3:C$42="Consumer Disc.",'DONNÉES BRUTES'!AB$3:AB$42+(ROW('DONNÉES BRUTES'!A$3:A$42)-ROW('DONNÉES BRUTES'!A$3))/1000,0),7),IF('DONNÉES BRUTES'!C$3:C$42="Consumer Disc.",'DONNÉES BRUTES'!AB$3:AB$42+(ROW('DONNÉES BRUTES'!A$3:A$42)-ROW('DONNÉES BRUTES'!A$3))/1000,0),0))),"—")</f>
        <v/>
      </c>
      <c r="Q17">
        <f t="array" ref="Q17">IFERROR(IF(7&gt;COUNTIF('DONNÉES BRUTES'!C$3:C$42,"Consumer Disc."),"",INDEX('DONNÉES BRUTES'!AD$3:AD$42,MATCH(LARGE(IF('DONNÉES BRUTES'!C$3:C$42="Consumer Disc.",'DONNÉES BRUTES'!AB$3:AB$42+(ROW('DONNÉES BRUTES'!A$3:A$42)-ROW('DONNÉES BRUTES'!A$3))/1000,0),7),IF('DONNÉES BRUTES'!C$3:C$42="Consumer Disc.",'DONNÉES BRUTES'!AB$3:AB$42+(ROW('DONNÉES BRUTES'!A$3:A$42)-ROW('DONNÉES BRUTES'!A$3))/1000,0),0))),"—")</f>
        <v/>
      </c>
    </row>
    <row r="18" ht="15.95" customHeight="1">
      <c r="B18">
        <f>IF(8&gt;COUNTIF('DONNÉES BRUTES'!C$3:C$42,"Consumer Disc."),"",8)</f>
        <v/>
      </c>
      <c r="C18">
        <f t="array" ref="C18">IFERROR(IF(8&gt;COUNTIF('DONNÉES BRUTES'!C$3:C$42,"Consumer Disc."),"",INDEX('DONNÉES BRUTES'!A$3:A$42,MATCH(LARGE(IF('DONNÉES BRUTES'!C$3:C$42="Consumer Disc.",'DONNÉES BRUTES'!AB$3:AB$42+(ROW('DONNÉES BRUTES'!A$3:A$42)-ROW('DONNÉES BRUTES'!A$3))/1000,0),8),IF('DONNÉES BRUTES'!C$3:C$42="Consumer Disc.",'DONNÉES BRUTES'!AB$3:AB$42+(ROW('DONNÉES BRUTES'!A$3:A$42)-ROW('DONNÉES BRUTES'!A$3))/1000,0),0))),"—")</f>
        <v/>
      </c>
      <c r="D18">
        <f t="array" ref="D18">IFERROR(IF(8&gt;COUNTIF('DONNÉES BRUTES'!C$3:C$42,"Consumer Disc."),"",INDEX('DONNÉES BRUTES'!B$3:B$42,MATCH(LARGE(IF('DONNÉES BRUTES'!C$3:C$42="Consumer Disc.",'DONNÉES BRUTES'!AB$3:AB$42+(ROW('DONNÉES BRUTES'!A$3:A$42)-ROW('DONNÉES BRUTES'!A$3))/1000,0),8),IF('DONNÉES BRUTES'!C$3:C$42="Consumer Disc.",'DONNÉES BRUTES'!AB$3:AB$42+(ROW('DONNÉES BRUTES'!A$3:A$42)-ROW('DONNÉES BRUTES'!A$3))/1000,0),0))),"—")</f>
        <v/>
      </c>
      <c r="E18">
        <f t="array" ref="E18">IFERROR(IF(8&gt;COUNTIF('DONNÉES BRUTES'!C$3:C$42,"Consumer Disc."),"",INT(LARGE(IF('DONNÉES BRUTES'!C$3:C$42="Consumer Disc.",'DONNÉES BRUTES'!AB$3:AB$42+(ROW('DONNÉES BRUTES'!A$3:A$42)-ROW('DONNÉES BRUTES'!A$3))/1000,0),8))&amp;"/100"),"—")</f>
        <v/>
      </c>
      <c r="F18">
        <f t="array" ref="F18">IFERROR(IF(8&gt;COUNTIF('DONNÉES BRUTES'!C$3:C$42,"Consumer Disc."),"",INDEX('DONNÉES BRUTES'!Y$3:Y$42,MATCH(LARGE(IF('DONNÉES BRUTES'!C$3:C$42="Consumer Disc.",'DONNÉES BRUTES'!AB$3:AB$42+(ROW('DONNÉES BRUTES'!A$3:A$42)-ROW('DONNÉES BRUTES'!A$3))/1000,0),8),IF('DONNÉES BRUTES'!C$3:C$42="Consumer Disc.",'DONNÉES BRUTES'!AB$3:AB$42+(ROW('DONNÉES BRUTES'!A$3:A$42)-ROW('DONNÉES BRUTES'!A$3))/1000,0),0))),"—")</f>
        <v/>
      </c>
      <c r="G18">
        <f t="array" ref="G18">IFERROR(IF(8&gt;COUNTIF('DONNÉES BRUTES'!C$3:C$42,"Consumer Disc."),"",INDEX('DONNÉES BRUTES'!Z$3:Z$42,MATCH(LARGE(IF('DONNÉES BRUTES'!C$3:C$42="Consumer Disc.",'DONNÉES BRUTES'!AB$3:AB$42+(ROW('DONNÉES BRUTES'!A$3:A$42)-ROW('DONNÉES BRUTES'!A$3))/1000,0),8),IF('DONNÉES BRUTES'!C$3:C$42="Consumer Disc.",'DONNÉES BRUTES'!AB$3:AB$42+(ROW('DONNÉES BRUTES'!A$3:A$42)-ROW('DONNÉES BRUTES'!A$3))/1000,0),0))),"—")</f>
        <v/>
      </c>
      <c r="H18">
        <f t="array" ref="H18">IFERROR(IF(8&gt;COUNTIF('DONNÉES BRUTES'!C$3:C$42,"Consumer Disc."),"",INDEX('DONNÉES BRUTES'!AA$3:AA$42,MATCH(LARGE(IF('DONNÉES BRUTES'!C$3:C$42="Consumer Disc.",'DONNÉES BRUTES'!AB$3:AB$42+(ROW('DONNÉES BRUTES'!A$3:A$42)-ROW('DONNÉES BRUTES'!A$3))/1000,0),8),IF('DONNÉES BRUTES'!C$3:C$42="Consumer Disc.",'DONNÉES BRUTES'!AB$3:AB$42+(ROW('DONNÉES BRUTES'!A$3:A$42)-ROW('DONNÉES BRUTES'!A$3))/1000,0),0))),"—")</f>
        <v/>
      </c>
      <c r="I18">
        <f t="array" ref="I18">IFERROR(IF(8&gt;COUNTIF('DONNÉES BRUTES'!C$3:C$42,"Consumer Disc."),"",INDEX('DONNÉES BRUTES'!M$3:M$42,MATCH(LARGE(IF('DONNÉES BRUTES'!C$3:C$42="Consumer Disc.",'DONNÉES BRUTES'!AB$3:AB$42+(ROW('DONNÉES BRUTES'!A$3:A$42)-ROW('DONNÉES BRUTES'!A$3))/1000,0),8),IF('DONNÉES BRUTES'!C$3:C$42="Consumer Disc.",'DONNÉES BRUTES'!AB$3:AB$42+(ROW('DONNÉES BRUTES'!A$3:A$42)-ROW('DONNÉES BRUTES'!A$3))/1000,0),0))),"—")</f>
        <v/>
      </c>
      <c r="J18">
        <f t="array" ref="J18">IFERROR(IF(8&gt;COUNTIF('DONNÉES BRUTES'!C$3:C$42,"Consumer Disc."),"",INDEX('DONNÉES BRUTES'!N$3:N$42,MATCH(LARGE(IF('DONNÉES BRUTES'!C$3:C$42="Consumer Disc.",'DONNÉES BRUTES'!AB$3:AB$42+(ROW('DONNÉES BRUTES'!A$3:A$42)-ROW('DONNÉES BRUTES'!A$3))/1000,0),8),IF('DONNÉES BRUTES'!C$3:C$42="Consumer Disc.",'DONNÉES BRUTES'!AB$3:AB$42+(ROW('DONNÉES BRUTES'!A$3:A$42)-ROW('DONNÉES BRUTES'!A$3))/1000,0),0))),"—")</f>
        <v/>
      </c>
      <c r="K18">
        <f t="array" ref="K18">IFERROR(IF(8&gt;COUNTIF('DONNÉES BRUTES'!C$3:C$42,"Consumer Disc."),"",INDEX('DONNÉES BRUTES'!O$3:O$42,MATCH(LARGE(IF('DONNÉES BRUTES'!C$3:C$42="Consumer Disc.",'DONNÉES BRUTES'!AB$3:AB$42+(ROW('DONNÉES BRUTES'!A$3:A$42)-ROW('DONNÉES BRUTES'!A$3))/1000,0),8),IF('DONNÉES BRUTES'!C$3:C$42="Consumer Disc.",'DONNÉES BRUTES'!AB$3:AB$42+(ROW('DONNÉES BRUTES'!A$3:A$42)-ROW('DONNÉES BRUTES'!A$3))/1000,0),0))),"—")</f>
        <v/>
      </c>
      <c r="L18">
        <f t="array" ref="L18">IFERROR(IF(8&gt;COUNTIF('DONNÉES BRUTES'!C$3:C$42,"Consumer Disc."),"",INDEX('DONNÉES BRUTES'!P$3:P$42,MATCH(LARGE(IF('DONNÉES BRUTES'!C$3:C$42="Consumer Disc.",'DONNÉES BRUTES'!AB$3:AB$42+(ROW('DONNÉES BRUTES'!A$3:A$42)-ROW('DONNÉES BRUTES'!A$3))/1000,0),8),IF('DONNÉES BRUTES'!C$3:C$42="Consumer Disc.",'DONNÉES BRUTES'!AB$3:AB$42+(ROW('DONNÉES BRUTES'!A$3:A$42)-ROW('DONNÉES BRUTES'!A$3))/1000,0),0))),"—")</f>
        <v/>
      </c>
      <c r="M18">
        <f t="array" ref="M18">IFERROR(IF(8&gt;COUNTIF('DONNÉES BRUTES'!C$3:C$42,"Consumer Disc."),"",INDEX('DONNÉES BRUTES'!Q$3:Q$42,MATCH(LARGE(IF('DONNÉES BRUTES'!C$3:C$42="Consumer Disc.",'DONNÉES BRUTES'!AB$3:AB$42+(ROW('DONNÉES BRUTES'!A$3:A$42)-ROW('DONNÉES BRUTES'!A$3))/1000,0),8),IF('DONNÉES BRUTES'!C$3:C$42="Consumer Disc.",'DONNÉES BRUTES'!AB$3:AB$42+(ROW('DONNÉES BRUTES'!A$3:A$42)-ROW('DONNÉES BRUTES'!A$3))/1000,0),0))),"—")</f>
        <v/>
      </c>
      <c r="N18">
        <f t="array" ref="N18">IFERROR(IF(8&gt;COUNTIF('DONNÉES BRUTES'!C$3:C$42,"Consumer Disc."),"",INDEX('DONNÉES BRUTES'!S$3:S$42,MATCH(LARGE(IF('DONNÉES BRUTES'!C$3:C$42="Consumer Disc.",'DONNÉES BRUTES'!AB$3:AB$42+(ROW('DONNÉES BRUTES'!A$3:A$42)-ROW('DONNÉES BRUTES'!A$3))/1000,0),8),IF('DONNÉES BRUTES'!C$3:C$42="Consumer Disc.",'DONNÉES BRUTES'!AB$3:AB$42+(ROW('DONNÉES BRUTES'!A$3:A$42)-ROW('DONNÉES BRUTES'!A$3))/1000,0),0))),"—")</f>
        <v/>
      </c>
      <c r="O18">
        <f t="array" ref="O18">IFERROR(IF(8&gt;COUNTIF('DONNÉES BRUTES'!C$3:C$42,"Consumer Disc."),"",INDEX('DONNÉES BRUTES'!T$3:T$42,MATCH(LARGE(IF('DONNÉES BRUTES'!C$3:C$42="Consumer Disc.",'DONNÉES BRUTES'!AB$3:AB$42+(ROW('DONNÉES BRUTES'!A$3:A$42)-ROW('DONNÉES BRUTES'!A$3))/1000,0),8),IF('DONNÉES BRUTES'!C$3:C$42="Consumer Disc.",'DONNÉES BRUTES'!AB$3:AB$42+(ROW('DONNÉES BRUTES'!A$3:A$42)-ROW('DONNÉES BRUTES'!A$3))/1000,0),0))),"—")</f>
        <v/>
      </c>
      <c r="P18">
        <f t="array" ref="P18">IFERROR(IF(8&gt;COUNTIF('DONNÉES BRUTES'!C$3:C$42,"Consumer Disc."),"",INDEX('DONNÉES BRUTES'!U$3:U$42,MATCH(LARGE(IF('DONNÉES BRUTES'!C$3:C$42="Consumer Disc.",'DONNÉES BRUTES'!AB$3:AB$42+(ROW('DONNÉES BRUTES'!A$3:A$42)-ROW('DONNÉES BRUTES'!A$3))/1000,0),8),IF('DONNÉES BRUTES'!C$3:C$42="Consumer Disc.",'DONNÉES BRUTES'!AB$3:AB$42+(ROW('DONNÉES BRUTES'!A$3:A$42)-ROW('DONNÉES BRUTES'!A$3))/1000,0),0))),"—")</f>
        <v/>
      </c>
      <c r="Q18">
        <f t="array" ref="Q18">IFERROR(IF(8&gt;COUNTIF('DONNÉES BRUTES'!C$3:C$42,"Consumer Disc."),"",INDEX('DONNÉES BRUTES'!AD$3:AD$42,MATCH(LARGE(IF('DONNÉES BRUTES'!C$3:C$42="Consumer Disc.",'DONNÉES BRUTES'!AB$3:AB$42+(ROW('DONNÉES BRUTES'!A$3:A$42)-ROW('DONNÉES BRUTES'!A$3))/1000,0),8),IF('DONNÉES BRUTES'!C$3:C$42="Consumer Disc.",'DONNÉES BRUTES'!AB$3:AB$42+(ROW('DONNÉES BRUTES'!A$3:A$42)-ROW('DONNÉES BRUTES'!A$3))/1000,0),0))),"—")</f>
        <v/>
      </c>
    </row>
    <row r="19" ht="15.95" customHeight="1">
      <c r="B19">
        <f>IF(9&gt;COUNTIF('DONNÉES BRUTES'!C$3:C$42,"Consumer Disc."),"",9)</f>
        <v/>
      </c>
      <c r="C19">
        <f t="array" ref="C19">IFERROR(IF(9&gt;COUNTIF('DONNÉES BRUTES'!C$3:C$42,"Consumer Disc."),"",INDEX('DONNÉES BRUTES'!A$3:A$42,MATCH(LARGE(IF('DONNÉES BRUTES'!C$3:C$42="Consumer Disc.",'DONNÉES BRUTES'!AB$3:AB$42+(ROW('DONNÉES BRUTES'!A$3:A$42)-ROW('DONNÉES BRUTES'!A$3))/1000,0),9),IF('DONNÉES BRUTES'!C$3:C$42="Consumer Disc.",'DONNÉES BRUTES'!AB$3:AB$42+(ROW('DONNÉES BRUTES'!A$3:A$42)-ROW('DONNÉES BRUTES'!A$3))/1000,0),0))),"—")</f>
        <v/>
      </c>
      <c r="D19">
        <f t="array" ref="D19">IFERROR(IF(9&gt;COUNTIF('DONNÉES BRUTES'!C$3:C$42,"Consumer Disc."),"",INDEX('DONNÉES BRUTES'!B$3:B$42,MATCH(LARGE(IF('DONNÉES BRUTES'!C$3:C$42="Consumer Disc.",'DONNÉES BRUTES'!AB$3:AB$42+(ROW('DONNÉES BRUTES'!A$3:A$42)-ROW('DONNÉES BRUTES'!A$3))/1000,0),9),IF('DONNÉES BRUTES'!C$3:C$42="Consumer Disc.",'DONNÉES BRUTES'!AB$3:AB$42+(ROW('DONNÉES BRUTES'!A$3:A$42)-ROW('DONNÉES BRUTES'!A$3))/1000,0),0))),"—")</f>
        <v/>
      </c>
      <c r="E19">
        <f t="array" ref="E19">IFERROR(IF(9&gt;COUNTIF('DONNÉES BRUTES'!C$3:C$42,"Consumer Disc."),"",INT(LARGE(IF('DONNÉES BRUTES'!C$3:C$42="Consumer Disc.",'DONNÉES BRUTES'!AB$3:AB$42+(ROW('DONNÉES BRUTES'!A$3:A$42)-ROW('DONNÉES BRUTES'!A$3))/1000,0),9))&amp;"/100"),"—")</f>
        <v/>
      </c>
      <c r="F19">
        <f t="array" ref="F19">IFERROR(IF(9&gt;COUNTIF('DONNÉES BRUTES'!C$3:C$42,"Consumer Disc."),"",INDEX('DONNÉES BRUTES'!Y$3:Y$42,MATCH(LARGE(IF('DONNÉES BRUTES'!C$3:C$42="Consumer Disc.",'DONNÉES BRUTES'!AB$3:AB$42+(ROW('DONNÉES BRUTES'!A$3:A$42)-ROW('DONNÉES BRUTES'!A$3))/1000,0),9),IF('DONNÉES BRUTES'!C$3:C$42="Consumer Disc.",'DONNÉES BRUTES'!AB$3:AB$42+(ROW('DONNÉES BRUTES'!A$3:A$42)-ROW('DONNÉES BRUTES'!A$3))/1000,0),0))),"—")</f>
        <v/>
      </c>
      <c r="G19">
        <f t="array" ref="G19">IFERROR(IF(9&gt;COUNTIF('DONNÉES BRUTES'!C$3:C$42,"Consumer Disc."),"",INDEX('DONNÉES BRUTES'!Z$3:Z$42,MATCH(LARGE(IF('DONNÉES BRUTES'!C$3:C$42="Consumer Disc.",'DONNÉES BRUTES'!AB$3:AB$42+(ROW('DONNÉES BRUTES'!A$3:A$42)-ROW('DONNÉES BRUTES'!A$3))/1000,0),9),IF('DONNÉES BRUTES'!C$3:C$42="Consumer Disc.",'DONNÉES BRUTES'!AB$3:AB$42+(ROW('DONNÉES BRUTES'!A$3:A$42)-ROW('DONNÉES BRUTES'!A$3))/1000,0),0))),"—")</f>
        <v/>
      </c>
      <c r="H19">
        <f t="array" ref="H19">IFERROR(IF(9&gt;COUNTIF('DONNÉES BRUTES'!C$3:C$42,"Consumer Disc."),"",INDEX('DONNÉES BRUTES'!AA$3:AA$42,MATCH(LARGE(IF('DONNÉES BRUTES'!C$3:C$42="Consumer Disc.",'DONNÉES BRUTES'!AB$3:AB$42+(ROW('DONNÉES BRUTES'!A$3:A$42)-ROW('DONNÉES BRUTES'!A$3))/1000,0),9),IF('DONNÉES BRUTES'!C$3:C$42="Consumer Disc.",'DONNÉES BRUTES'!AB$3:AB$42+(ROW('DONNÉES BRUTES'!A$3:A$42)-ROW('DONNÉES BRUTES'!A$3))/1000,0),0))),"—")</f>
        <v/>
      </c>
      <c r="I19">
        <f t="array" ref="I19">IFERROR(IF(9&gt;COUNTIF('DONNÉES BRUTES'!C$3:C$42,"Consumer Disc."),"",INDEX('DONNÉES BRUTES'!M$3:M$42,MATCH(LARGE(IF('DONNÉES BRUTES'!C$3:C$42="Consumer Disc.",'DONNÉES BRUTES'!AB$3:AB$42+(ROW('DONNÉES BRUTES'!A$3:A$42)-ROW('DONNÉES BRUTES'!A$3))/1000,0),9),IF('DONNÉES BRUTES'!C$3:C$42="Consumer Disc.",'DONNÉES BRUTES'!AB$3:AB$42+(ROW('DONNÉES BRUTES'!A$3:A$42)-ROW('DONNÉES BRUTES'!A$3))/1000,0),0))),"—")</f>
        <v/>
      </c>
      <c r="J19">
        <f t="array" ref="J19">IFERROR(IF(9&gt;COUNTIF('DONNÉES BRUTES'!C$3:C$42,"Consumer Disc."),"",INDEX('DONNÉES BRUTES'!N$3:N$42,MATCH(LARGE(IF('DONNÉES BRUTES'!C$3:C$42="Consumer Disc.",'DONNÉES BRUTES'!AB$3:AB$42+(ROW('DONNÉES BRUTES'!A$3:A$42)-ROW('DONNÉES BRUTES'!A$3))/1000,0),9),IF('DONNÉES BRUTES'!C$3:C$42="Consumer Disc.",'DONNÉES BRUTES'!AB$3:AB$42+(ROW('DONNÉES BRUTES'!A$3:A$42)-ROW('DONNÉES BRUTES'!A$3))/1000,0),0))),"—")</f>
        <v/>
      </c>
      <c r="K19">
        <f t="array" ref="K19">IFERROR(IF(9&gt;COUNTIF('DONNÉES BRUTES'!C$3:C$42,"Consumer Disc."),"",INDEX('DONNÉES BRUTES'!O$3:O$42,MATCH(LARGE(IF('DONNÉES BRUTES'!C$3:C$42="Consumer Disc.",'DONNÉES BRUTES'!AB$3:AB$42+(ROW('DONNÉES BRUTES'!A$3:A$42)-ROW('DONNÉES BRUTES'!A$3))/1000,0),9),IF('DONNÉES BRUTES'!C$3:C$42="Consumer Disc.",'DONNÉES BRUTES'!AB$3:AB$42+(ROW('DONNÉES BRUTES'!A$3:A$42)-ROW('DONNÉES BRUTES'!A$3))/1000,0),0))),"—")</f>
        <v/>
      </c>
      <c r="L19">
        <f t="array" ref="L19">IFERROR(IF(9&gt;COUNTIF('DONNÉES BRUTES'!C$3:C$42,"Consumer Disc."),"",INDEX('DONNÉES BRUTES'!P$3:P$42,MATCH(LARGE(IF('DONNÉES BRUTES'!C$3:C$42="Consumer Disc.",'DONNÉES BRUTES'!AB$3:AB$42+(ROW('DONNÉES BRUTES'!A$3:A$42)-ROW('DONNÉES BRUTES'!A$3))/1000,0),9),IF('DONNÉES BRUTES'!C$3:C$42="Consumer Disc.",'DONNÉES BRUTES'!AB$3:AB$42+(ROW('DONNÉES BRUTES'!A$3:A$42)-ROW('DONNÉES BRUTES'!A$3))/1000,0),0))),"—")</f>
        <v/>
      </c>
      <c r="M19">
        <f t="array" ref="M19">IFERROR(IF(9&gt;COUNTIF('DONNÉES BRUTES'!C$3:C$42,"Consumer Disc."),"",INDEX('DONNÉES BRUTES'!Q$3:Q$42,MATCH(LARGE(IF('DONNÉES BRUTES'!C$3:C$42="Consumer Disc.",'DONNÉES BRUTES'!AB$3:AB$42+(ROW('DONNÉES BRUTES'!A$3:A$42)-ROW('DONNÉES BRUTES'!A$3))/1000,0),9),IF('DONNÉES BRUTES'!C$3:C$42="Consumer Disc.",'DONNÉES BRUTES'!AB$3:AB$42+(ROW('DONNÉES BRUTES'!A$3:A$42)-ROW('DONNÉES BRUTES'!A$3))/1000,0),0))),"—")</f>
        <v/>
      </c>
      <c r="N19">
        <f t="array" ref="N19">IFERROR(IF(9&gt;COUNTIF('DONNÉES BRUTES'!C$3:C$42,"Consumer Disc."),"",INDEX('DONNÉES BRUTES'!S$3:S$42,MATCH(LARGE(IF('DONNÉES BRUTES'!C$3:C$42="Consumer Disc.",'DONNÉES BRUTES'!AB$3:AB$42+(ROW('DONNÉES BRUTES'!A$3:A$42)-ROW('DONNÉES BRUTES'!A$3))/1000,0),9),IF('DONNÉES BRUTES'!C$3:C$42="Consumer Disc.",'DONNÉES BRUTES'!AB$3:AB$42+(ROW('DONNÉES BRUTES'!A$3:A$42)-ROW('DONNÉES BRUTES'!A$3))/1000,0),0))),"—")</f>
        <v/>
      </c>
      <c r="O19">
        <f t="array" ref="O19">IFERROR(IF(9&gt;COUNTIF('DONNÉES BRUTES'!C$3:C$42,"Consumer Disc."),"",INDEX('DONNÉES BRUTES'!T$3:T$42,MATCH(LARGE(IF('DONNÉES BRUTES'!C$3:C$42="Consumer Disc.",'DONNÉES BRUTES'!AB$3:AB$42+(ROW('DONNÉES BRUTES'!A$3:A$42)-ROW('DONNÉES BRUTES'!A$3))/1000,0),9),IF('DONNÉES BRUTES'!C$3:C$42="Consumer Disc.",'DONNÉES BRUTES'!AB$3:AB$42+(ROW('DONNÉES BRUTES'!A$3:A$42)-ROW('DONNÉES BRUTES'!A$3))/1000,0),0))),"—")</f>
        <v/>
      </c>
      <c r="P19">
        <f t="array" ref="P19">IFERROR(IF(9&gt;COUNTIF('DONNÉES BRUTES'!C$3:C$42,"Consumer Disc."),"",INDEX('DONNÉES BRUTES'!U$3:U$42,MATCH(LARGE(IF('DONNÉES BRUTES'!C$3:C$42="Consumer Disc.",'DONNÉES BRUTES'!AB$3:AB$42+(ROW('DONNÉES BRUTES'!A$3:A$42)-ROW('DONNÉES BRUTES'!A$3))/1000,0),9),IF('DONNÉES BRUTES'!C$3:C$42="Consumer Disc.",'DONNÉES BRUTES'!AB$3:AB$42+(ROW('DONNÉES BRUTES'!A$3:A$42)-ROW('DONNÉES BRUTES'!A$3))/1000,0),0))),"—")</f>
        <v/>
      </c>
      <c r="Q19">
        <f t="array" ref="Q19">IFERROR(IF(9&gt;COUNTIF('DONNÉES BRUTES'!C$3:C$42,"Consumer Disc."),"",INDEX('DONNÉES BRUTES'!AD$3:AD$42,MATCH(LARGE(IF('DONNÉES BRUTES'!C$3:C$42="Consumer Disc.",'DONNÉES BRUTES'!AB$3:AB$42+(ROW('DONNÉES BRUTES'!A$3:A$42)-ROW('DONNÉES BRUTES'!A$3))/1000,0),9),IF('DONNÉES BRUTES'!C$3:C$42="Consumer Disc.",'DONNÉES BRUTES'!AB$3:AB$42+(ROW('DONNÉES BRUTES'!A$3:A$42)-ROW('DONNÉES BRUTES'!A$3))/1000,0),0))),"—")</f>
        <v/>
      </c>
    </row>
    <row r="20" ht="15.95" customHeight="1">
      <c r="B20">
        <f>IF(10&gt;COUNTIF('DONNÉES BRUTES'!C$3:C$42,"Consumer Disc."),"",10)</f>
        <v/>
      </c>
      <c r="C20">
        <f t="array" ref="C20">IFERROR(IF(10&gt;COUNTIF('DONNÉES BRUTES'!C$3:C$42,"Consumer Disc."),"",INDEX('DONNÉES BRUTES'!A$3:A$42,MATCH(LARGE(IF('DONNÉES BRUTES'!C$3:C$42="Consumer Disc.",'DONNÉES BRUTES'!AB$3:AB$42+(ROW('DONNÉES BRUTES'!A$3:A$42)-ROW('DONNÉES BRUTES'!A$3))/1000,0),10),IF('DONNÉES BRUTES'!C$3:C$42="Consumer Disc.",'DONNÉES BRUTES'!AB$3:AB$42+(ROW('DONNÉES BRUTES'!A$3:A$42)-ROW('DONNÉES BRUTES'!A$3))/1000,0),0))),"—")</f>
        <v/>
      </c>
      <c r="D20">
        <f t="array" ref="D20">IFERROR(IF(10&gt;COUNTIF('DONNÉES BRUTES'!C$3:C$42,"Consumer Disc."),"",INDEX('DONNÉES BRUTES'!B$3:B$42,MATCH(LARGE(IF('DONNÉES BRUTES'!C$3:C$42="Consumer Disc.",'DONNÉES BRUTES'!AB$3:AB$42+(ROW('DONNÉES BRUTES'!A$3:A$42)-ROW('DONNÉES BRUTES'!A$3))/1000,0),10),IF('DONNÉES BRUTES'!C$3:C$42="Consumer Disc.",'DONNÉES BRUTES'!AB$3:AB$42+(ROW('DONNÉES BRUTES'!A$3:A$42)-ROW('DONNÉES BRUTES'!A$3))/1000,0),0))),"—")</f>
        <v/>
      </c>
      <c r="E20">
        <f t="array" ref="E20">IFERROR(IF(10&gt;COUNTIF('DONNÉES BRUTES'!C$3:C$42,"Consumer Disc."),"",INT(LARGE(IF('DONNÉES BRUTES'!C$3:C$42="Consumer Disc.",'DONNÉES BRUTES'!AB$3:AB$42+(ROW('DONNÉES BRUTES'!A$3:A$42)-ROW('DONNÉES BRUTES'!A$3))/1000,0),10))&amp;"/100"),"—")</f>
        <v/>
      </c>
      <c r="F20">
        <f t="array" ref="F20">IFERROR(IF(10&gt;COUNTIF('DONNÉES BRUTES'!C$3:C$42,"Consumer Disc."),"",INDEX('DONNÉES BRUTES'!Y$3:Y$42,MATCH(LARGE(IF('DONNÉES BRUTES'!C$3:C$42="Consumer Disc.",'DONNÉES BRUTES'!AB$3:AB$42+(ROW('DONNÉES BRUTES'!A$3:A$42)-ROW('DONNÉES BRUTES'!A$3))/1000,0),10),IF('DONNÉES BRUTES'!C$3:C$42="Consumer Disc.",'DONNÉES BRUTES'!AB$3:AB$42+(ROW('DONNÉES BRUTES'!A$3:A$42)-ROW('DONNÉES BRUTES'!A$3))/1000,0),0))),"—")</f>
        <v/>
      </c>
      <c r="G20">
        <f t="array" ref="G20">IFERROR(IF(10&gt;COUNTIF('DONNÉES BRUTES'!C$3:C$42,"Consumer Disc."),"",INDEX('DONNÉES BRUTES'!Z$3:Z$42,MATCH(LARGE(IF('DONNÉES BRUTES'!C$3:C$42="Consumer Disc.",'DONNÉES BRUTES'!AB$3:AB$42+(ROW('DONNÉES BRUTES'!A$3:A$42)-ROW('DONNÉES BRUTES'!A$3))/1000,0),10),IF('DONNÉES BRUTES'!C$3:C$42="Consumer Disc.",'DONNÉES BRUTES'!AB$3:AB$42+(ROW('DONNÉES BRUTES'!A$3:A$42)-ROW('DONNÉES BRUTES'!A$3))/1000,0),0))),"—")</f>
        <v/>
      </c>
      <c r="H20">
        <f t="array" ref="H20">IFERROR(IF(10&gt;COUNTIF('DONNÉES BRUTES'!C$3:C$42,"Consumer Disc."),"",INDEX('DONNÉES BRUTES'!AA$3:AA$42,MATCH(LARGE(IF('DONNÉES BRUTES'!C$3:C$42="Consumer Disc.",'DONNÉES BRUTES'!AB$3:AB$42+(ROW('DONNÉES BRUTES'!A$3:A$42)-ROW('DONNÉES BRUTES'!A$3))/1000,0),10),IF('DONNÉES BRUTES'!C$3:C$42="Consumer Disc.",'DONNÉES BRUTES'!AB$3:AB$42+(ROW('DONNÉES BRUTES'!A$3:A$42)-ROW('DONNÉES BRUTES'!A$3))/1000,0),0))),"—")</f>
        <v/>
      </c>
      <c r="I20">
        <f t="array" ref="I20">IFERROR(IF(10&gt;COUNTIF('DONNÉES BRUTES'!C$3:C$42,"Consumer Disc."),"",INDEX('DONNÉES BRUTES'!M$3:M$42,MATCH(LARGE(IF('DONNÉES BRUTES'!C$3:C$42="Consumer Disc.",'DONNÉES BRUTES'!AB$3:AB$42+(ROW('DONNÉES BRUTES'!A$3:A$42)-ROW('DONNÉES BRUTES'!A$3))/1000,0),10),IF('DONNÉES BRUTES'!C$3:C$42="Consumer Disc.",'DONNÉES BRUTES'!AB$3:AB$42+(ROW('DONNÉES BRUTES'!A$3:A$42)-ROW('DONNÉES BRUTES'!A$3))/1000,0),0))),"—")</f>
        <v/>
      </c>
      <c r="J20">
        <f t="array" ref="J20">IFERROR(IF(10&gt;COUNTIF('DONNÉES BRUTES'!C$3:C$42,"Consumer Disc."),"",INDEX('DONNÉES BRUTES'!N$3:N$42,MATCH(LARGE(IF('DONNÉES BRUTES'!C$3:C$42="Consumer Disc.",'DONNÉES BRUTES'!AB$3:AB$42+(ROW('DONNÉES BRUTES'!A$3:A$42)-ROW('DONNÉES BRUTES'!A$3))/1000,0),10),IF('DONNÉES BRUTES'!C$3:C$42="Consumer Disc.",'DONNÉES BRUTES'!AB$3:AB$42+(ROW('DONNÉES BRUTES'!A$3:A$42)-ROW('DONNÉES BRUTES'!A$3))/1000,0),0))),"—")</f>
        <v/>
      </c>
      <c r="K20">
        <f t="array" ref="K20">IFERROR(IF(10&gt;COUNTIF('DONNÉES BRUTES'!C$3:C$42,"Consumer Disc."),"",INDEX('DONNÉES BRUTES'!O$3:O$42,MATCH(LARGE(IF('DONNÉES BRUTES'!C$3:C$42="Consumer Disc.",'DONNÉES BRUTES'!AB$3:AB$42+(ROW('DONNÉES BRUTES'!A$3:A$42)-ROW('DONNÉES BRUTES'!A$3))/1000,0),10),IF('DONNÉES BRUTES'!C$3:C$42="Consumer Disc.",'DONNÉES BRUTES'!AB$3:AB$42+(ROW('DONNÉES BRUTES'!A$3:A$42)-ROW('DONNÉES BRUTES'!A$3))/1000,0),0))),"—")</f>
        <v/>
      </c>
      <c r="L20">
        <f t="array" ref="L20">IFERROR(IF(10&gt;COUNTIF('DONNÉES BRUTES'!C$3:C$42,"Consumer Disc."),"",INDEX('DONNÉES BRUTES'!P$3:P$42,MATCH(LARGE(IF('DONNÉES BRUTES'!C$3:C$42="Consumer Disc.",'DONNÉES BRUTES'!AB$3:AB$42+(ROW('DONNÉES BRUTES'!A$3:A$42)-ROW('DONNÉES BRUTES'!A$3))/1000,0),10),IF('DONNÉES BRUTES'!C$3:C$42="Consumer Disc.",'DONNÉES BRUTES'!AB$3:AB$42+(ROW('DONNÉES BRUTES'!A$3:A$42)-ROW('DONNÉES BRUTES'!A$3))/1000,0),0))),"—")</f>
        <v/>
      </c>
      <c r="M20">
        <f t="array" ref="M20">IFERROR(IF(10&gt;COUNTIF('DONNÉES BRUTES'!C$3:C$42,"Consumer Disc."),"",INDEX('DONNÉES BRUTES'!Q$3:Q$42,MATCH(LARGE(IF('DONNÉES BRUTES'!C$3:C$42="Consumer Disc.",'DONNÉES BRUTES'!AB$3:AB$42+(ROW('DONNÉES BRUTES'!A$3:A$42)-ROW('DONNÉES BRUTES'!A$3))/1000,0),10),IF('DONNÉES BRUTES'!C$3:C$42="Consumer Disc.",'DONNÉES BRUTES'!AB$3:AB$42+(ROW('DONNÉES BRUTES'!A$3:A$42)-ROW('DONNÉES BRUTES'!A$3))/1000,0),0))),"—")</f>
        <v/>
      </c>
      <c r="N20">
        <f t="array" ref="N20">IFERROR(IF(10&gt;COUNTIF('DONNÉES BRUTES'!C$3:C$42,"Consumer Disc."),"",INDEX('DONNÉES BRUTES'!S$3:S$42,MATCH(LARGE(IF('DONNÉES BRUTES'!C$3:C$42="Consumer Disc.",'DONNÉES BRUTES'!AB$3:AB$42+(ROW('DONNÉES BRUTES'!A$3:A$42)-ROW('DONNÉES BRUTES'!A$3))/1000,0),10),IF('DONNÉES BRUTES'!C$3:C$42="Consumer Disc.",'DONNÉES BRUTES'!AB$3:AB$42+(ROW('DONNÉES BRUTES'!A$3:A$42)-ROW('DONNÉES BRUTES'!A$3))/1000,0),0))),"—")</f>
        <v/>
      </c>
      <c r="O20">
        <f t="array" ref="O20">IFERROR(IF(10&gt;COUNTIF('DONNÉES BRUTES'!C$3:C$42,"Consumer Disc."),"",INDEX('DONNÉES BRUTES'!T$3:T$42,MATCH(LARGE(IF('DONNÉES BRUTES'!C$3:C$42="Consumer Disc.",'DONNÉES BRUTES'!AB$3:AB$42+(ROW('DONNÉES BRUTES'!A$3:A$42)-ROW('DONNÉES BRUTES'!A$3))/1000,0),10),IF('DONNÉES BRUTES'!C$3:C$42="Consumer Disc.",'DONNÉES BRUTES'!AB$3:AB$42+(ROW('DONNÉES BRUTES'!A$3:A$42)-ROW('DONNÉES BRUTES'!A$3))/1000,0),0))),"—")</f>
        <v/>
      </c>
      <c r="P20">
        <f t="array" ref="P20">IFERROR(IF(10&gt;COUNTIF('DONNÉES BRUTES'!C$3:C$42,"Consumer Disc."),"",INDEX('DONNÉES BRUTES'!U$3:U$42,MATCH(LARGE(IF('DONNÉES BRUTES'!C$3:C$42="Consumer Disc.",'DONNÉES BRUTES'!AB$3:AB$42+(ROW('DONNÉES BRUTES'!A$3:A$42)-ROW('DONNÉES BRUTES'!A$3))/1000,0),10),IF('DONNÉES BRUTES'!C$3:C$42="Consumer Disc.",'DONNÉES BRUTES'!AB$3:AB$42+(ROW('DONNÉES BRUTES'!A$3:A$42)-ROW('DONNÉES BRUTES'!A$3))/1000,0),0))),"—")</f>
        <v/>
      </c>
      <c r="Q20">
        <f t="array" ref="Q20">IFERROR(IF(10&gt;COUNTIF('DONNÉES BRUTES'!C$3:C$42,"Consumer Disc."),"",INDEX('DONNÉES BRUTES'!AD$3:AD$42,MATCH(LARGE(IF('DONNÉES BRUTES'!C$3:C$42="Consumer Disc.",'DONNÉES BRUTES'!AB$3:AB$42+(ROW('DONNÉES BRUTES'!A$3:A$42)-ROW('DONNÉES BRUTES'!A$3))/1000,0),10),IF('DONNÉES BRUTES'!C$3:C$42="Consumer Disc.",'DONNÉES BRUTES'!AB$3:AB$42+(ROW('DONNÉES BRUTES'!A$3:A$42)-ROW('DONNÉES BRUTES'!A$3))/1000,0),0))),"—")</f>
        <v/>
      </c>
    </row>
    <row r="21" ht="15.95" customHeight="1">
      <c r="B21">
        <f>IF(11&gt;COUNTIF('DONNÉES BRUTES'!C$3:C$42,"Consumer Disc."),"",11)</f>
        <v/>
      </c>
      <c r="C21">
        <f t="array" ref="C21">IFERROR(IF(11&gt;COUNTIF('DONNÉES BRUTES'!C$3:C$42,"Consumer Disc."),"",INDEX('DONNÉES BRUTES'!A$3:A$42,MATCH(LARGE(IF('DONNÉES BRUTES'!C$3:C$42="Consumer Disc.",'DONNÉES BRUTES'!AB$3:AB$42+(ROW('DONNÉES BRUTES'!A$3:A$42)-ROW('DONNÉES BRUTES'!A$3))/1000,0),11),IF('DONNÉES BRUTES'!C$3:C$42="Consumer Disc.",'DONNÉES BRUTES'!AB$3:AB$42+(ROW('DONNÉES BRUTES'!A$3:A$42)-ROW('DONNÉES BRUTES'!A$3))/1000,0),0))),"—")</f>
        <v/>
      </c>
      <c r="D21">
        <f t="array" ref="D21">IFERROR(IF(11&gt;COUNTIF('DONNÉES BRUTES'!C$3:C$42,"Consumer Disc."),"",INDEX('DONNÉES BRUTES'!B$3:B$42,MATCH(LARGE(IF('DONNÉES BRUTES'!C$3:C$42="Consumer Disc.",'DONNÉES BRUTES'!AB$3:AB$42+(ROW('DONNÉES BRUTES'!A$3:A$42)-ROW('DONNÉES BRUTES'!A$3))/1000,0),11),IF('DONNÉES BRUTES'!C$3:C$42="Consumer Disc.",'DONNÉES BRUTES'!AB$3:AB$42+(ROW('DONNÉES BRUTES'!A$3:A$42)-ROW('DONNÉES BRUTES'!A$3))/1000,0),0))),"—")</f>
        <v/>
      </c>
      <c r="E21">
        <f t="array" ref="E21">IFERROR(IF(11&gt;COUNTIF('DONNÉES BRUTES'!C$3:C$42,"Consumer Disc."),"",INT(LARGE(IF('DONNÉES BRUTES'!C$3:C$42="Consumer Disc.",'DONNÉES BRUTES'!AB$3:AB$42+(ROW('DONNÉES BRUTES'!A$3:A$42)-ROW('DONNÉES BRUTES'!A$3))/1000,0),11))&amp;"/100"),"—")</f>
        <v/>
      </c>
      <c r="F21">
        <f t="array" ref="F21">IFERROR(IF(11&gt;COUNTIF('DONNÉES BRUTES'!C$3:C$42,"Consumer Disc."),"",INDEX('DONNÉES BRUTES'!Y$3:Y$42,MATCH(LARGE(IF('DONNÉES BRUTES'!C$3:C$42="Consumer Disc.",'DONNÉES BRUTES'!AB$3:AB$42+(ROW('DONNÉES BRUTES'!A$3:A$42)-ROW('DONNÉES BRUTES'!A$3))/1000,0),11),IF('DONNÉES BRUTES'!C$3:C$42="Consumer Disc.",'DONNÉES BRUTES'!AB$3:AB$42+(ROW('DONNÉES BRUTES'!A$3:A$42)-ROW('DONNÉES BRUTES'!A$3))/1000,0),0))),"—")</f>
        <v/>
      </c>
      <c r="G21">
        <f t="array" ref="G21">IFERROR(IF(11&gt;COUNTIF('DONNÉES BRUTES'!C$3:C$42,"Consumer Disc."),"",INDEX('DONNÉES BRUTES'!Z$3:Z$42,MATCH(LARGE(IF('DONNÉES BRUTES'!C$3:C$42="Consumer Disc.",'DONNÉES BRUTES'!AB$3:AB$42+(ROW('DONNÉES BRUTES'!A$3:A$42)-ROW('DONNÉES BRUTES'!A$3))/1000,0),11),IF('DONNÉES BRUTES'!C$3:C$42="Consumer Disc.",'DONNÉES BRUTES'!AB$3:AB$42+(ROW('DONNÉES BRUTES'!A$3:A$42)-ROW('DONNÉES BRUTES'!A$3))/1000,0),0))),"—")</f>
        <v/>
      </c>
      <c r="H21">
        <f t="array" ref="H21">IFERROR(IF(11&gt;COUNTIF('DONNÉES BRUTES'!C$3:C$42,"Consumer Disc."),"",INDEX('DONNÉES BRUTES'!AA$3:AA$42,MATCH(LARGE(IF('DONNÉES BRUTES'!C$3:C$42="Consumer Disc.",'DONNÉES BRUTES'!AB$3:AB$42+(ROW('DONNÉES BRUTES'!A$3:A$42)-ROW('DONNÉES BRUTES'!A$3))/1000,0),11),IF('DONNÉES BRUTES'!C$3:C$42="Consumer Disc.",'DONNÉES BRUTES'!AB$3:AB$42+(ROW('DONNÉES BRUTES'!A$3:A$42)-ROW('DONNÉES BRUTES'!A$3))/1000,0),0))),"—")</f>
        <v/>
      </c>
      <c r="I21">
        <f t="array" ref="I21">IFERROR(IF(11&gt;COUNTIF('DONNÉES BRUTES'!C$3:C$42,"Consumer Disc."),"",INDEX('DONNÉES BRUTES'!M$3:M$42,MATCH(LARGE(IF('DONNÉES BRUTES'!C$3:C$42="Consumer Disc.",'DONNÉES BRUTES'!AB$3:AB$42+(ROW('DONNÉES BRUTES'!A$3:A$42)-ROW('DONNÉES BRUTES'!A$3))/1000,0),11),IF('DONNÉES BRUTES'!C$3:C$42="Consumer Disc.",'DONNÉES BRUTES'!AB$3:AB$42+(ROW('DONNÉES BRUTES'!A$3:A$42)-ROW('DONNÉES BRUTES'!A$3))/1000,0),0))),"—")</f>
        <v/>
      </c>
      <c r="J21">
        <f t="array" ref="J21">IFERROR(IF(11&gt;COUNTIF('DONNÉES BRUTES'!C$3:C$42,"Consumer Disc."),"",INDEX('DONNÉES BRUTES'!N$3:N$42,MATCH(LARGE(IF('DONNÉES BRUTES'!C$3:C$42="Consumer Disc.",'DONNÉES BRUTES'!AB$3:AB$42+(ROW('DONNÉES BRUTES'!A$3:A$42)-ROW('DONNÉES BRUTES'!A$3))/1000,0),11),IF('DONNÉES BRUTES'!C$3:C$42="Consumer Disc.",'DONNÉES BRUTES'!AB$3:AB$42+(ROW('DONNÉES BRUTES'!A$3:A$42)-ROW('DONNÉES BRUTES'!A$3))/1000,0),0))),"—")</f>
        <v/>
      </c>
      <c r="K21">
        <f t="array" ref="K21">IFERROR(IF(11&gt;COUNTIF('DONNÉES BRUTES'!C$3:C$42,"Consumer Disc."),"",INDEX('DONNÉES BRUTES'!O$3:O$42,MATCH(LARGE(IF('DONNÉES BRUTES'!C$3:C$42="Consumer Disc.",'DONNÉES BRUTES'!AB$3:AB$42+(ROW('DONNÉES BRUTES'!A$3:A$42)-ROW('DONNÉES BRUTES'!A$3))/1000,0),11),IF('DONNÉES BRUTES'!C$3:C$42="Consumer Disc.",'DONNÉES BRUTES'!AB$3:AB$42+(ROW('DONNÉES BRUTES'!A$3:A$42)-ROW('DONNÉES BRUTES'!A$3))/1000,0),0))),"—")</f>
        <v/>
      </c>
      <c r="L21">
        <f t="array" ref="L21">IFERROR(IF(11&gt;COUNTIF('DONNÉES BRUTES'!C$3:C$42,"Consumer Disc."),"",INDEX('DONNÉES BRUTES'!P$3:P$42,MATCH(LARGE(IF('DONNÉES BRUTES'!C$3:C$42="Consumer Disc.",'DONNÉES BRUTES'!AB$3:AB$42+(ROW('DONNÉES BRUTES'!A$3:A$42)-ROW('DONNÉES BRUTES'!A$3))/1000,0),11),IF('DONNÉES BRUTES'!C$3:C$42="Consumer Disc.",'DONNÉES BRUTES'!AB$3:AB$42+(ROW('DONNÉES BRUTES'!A$3:A$42)-ROW('DONNÉES BRUTES'!A$3))/1000,0),0))),"—")</f>
        <v/>
      </c>
      <c r="M21">
        <f t="array" ref="M21">IFERROR(IF(11&gt;COUNTIF('DONNÉES BRUTES'!C$3:C$42,"Consumer Disc."),"",INDEX('DONNÉES BRUTES'!Q$3:Q$42,MATCH(LARGE(IF('DONNÉES BRUTES'!C$3:C$42="Consumer Disc.",'DONNÉES BRUTES'!AB$3:AB$42+(ROW('DONNÉES BRUTES'!A$3:A$42)-ROW('DONNÉES BRUTES'!A$3))/1000,0),11),IF('DONNÉES BRUTES'!C$3:C$42="Consumer Disc.",'DONNÉES BRUTES'!AB$3:AB$42+(ROW('DONNÉES BRUTES'!A$3:A$42)-ROW('DONNÉES BRUTES'!A$3))/1000,0),0))),"—")</f>
        <v/>
      </c>
      <c r="N21">
        <f t="array" ref="N21">IFERROR(IF(11&gt;COUNTIF('DONNÉES BRUTES'!C$3:C$42,"Consumer Disc."),"",INDEX('DONNÉES BRUTES'!S$3:S$42,MATCH(LARGE(IF('DONNÉES BRUTES'!C$3:C$42="Consumer Disc.",'DONNÉES BRUTES'!AB$3:AB$42+(ROW('DONNÉES BRUTES'!A$3:A$42)-ROW('DONNÉES BRUTES'!A$3))/1000,0),11),IF('DONNÉES BRUTES'!C$3:C$42="Consumer Disc.",'DONNÉES BRUTES'!AB$3:AB$42+(ROW('DONNÉES BRUTES'!A$3:A$42)-ROW('DONNÉES BRUTES'!A$3))/1000,0),0))),"—")</f>
        <v/>
      </c>
      <c r="O21">
        <f t="array" ref="O21">IFERROR(IF(11&gt;COUNTIF('DONNÉES BRUTES'!C$3:C$42,"Consumer Disc."),"",INDEX('DONNÉES BRUTES'!T$3:T$42,MATCH(LARGE(IF('DONNÉES BRUTES'!C$3:C$42="Consumer Disc.",'DONNÉES BRUTES'!AB$3:AB$42+(ROW('DONNÉES BRUTES'!A$3:A$42)-ROW('DONNÉES BRUTES'!A$3))/1000,0),11),IF('DONNÉES BRUTES'!C$3:C$42="Consumer Disc.",'DONNÉES BRUTES'!AB$3:AB$42+(ROW('DONNÉES BRUTES'!A$3:A$42)-ROW('DONNÉES BRUTES'!A$3))/1000,0),0))),"—")</f>
        <v/>
      </c>
      <c r="P21">
        <f t="array" ref="P21">IFERROR(IF(11&gt;COUNTIF('DONNÉES BRUTES'!C$3:C$42,"Consumer Disc."),"",INDEX('DONNÉES BRUTES'!U$3:U$42,MATCH(LARGE(IF('DONNÉES BRUTES'!C$3:C$42="Consumer Disc.",'DONNÉES BRUTES'!AB$3:AB$42+(ROW('DONNÉES BRUTES'!A$3:A$42)-ROW('DONNÉES BRUTES'!A$3))/1000,0),11),IF('DONNÉES BRUTES'!C$3:C$42="Consumer Disc.",'DONNÉES BRUTES'!AB$3:AB$42+(ROW('DONNÉES BRUTES'!A$3:A$42)-ROW('DONNÉES BRUTES'!A$3))/1000,0),0))),"—")</f>
        <v/>
      </c>
      <c r="Q21">
        <f t="array" ref="Q21">IFERROR(IF(11&gt;COUNTIF('DONNÉES BRUTES'!C$3:C$42,"Consumer Disc."),"",INDEX('DONNÉES BRUTES'!AD$3:AD$42,MATCH(LARGE(IF('DONNÉES BRUTES'!C$3:C$42="Consumer Disc.",'DONNÉES BRUTES'!AB$3:AB$42+(ROW('DONNÉES BRUTES'!A$3:A$42)-ROW('DONNÉES BRUTES'!A$3))/1000,0),11),IF('DONNÉES BRUTES'!C$3:C$42="Consumer Disc.",'DONNÉES BRUTES'!AB$3:AB$42+(ROW('DONNÉES BRUTES'!A$3:A$42)-ROW('DONNÉES BRUTES'!A$3))/1000,0),0))),"—")</f>
        <v/>
      </c>
    </row>
    <row r="22" ht="15.95" customHeight="1">
      <c r="B22">
        <f>IF(12&gt;COUNTIF('DONNÉES BRUTES'!C$3:C$42,"Consumer Disc."),"",12)</f>
        <v/>
      </c>
      <c r="C22">
        <f t="array" ref="C22">IFERROR(IF(12&gt;COUNTIF('DONNÉES BRUTES'!C$3:C$42,"Consumer Disc."),"",INDEX('DONNÉES BRUTES'!A$3:A$42,MATCH(LARGE(IF('DONNÉES BRUTES'!C$3:C$42="Consumer Disc.",'DONNÉES BRUTES'!AB$3:AB$42+(ROW('DONNÉES BRUTES'!A$3:A$42)-ROW('DONNÉES BRUTES'!A$3))/1000,0),12),IF('DONNÉES BRUTES'!C$3:C$42="Consumer Disc.",'DONNÉES BRUTES'!AB$3:AB$42+(ROW('DONNÉES BRUTES'!A$3:A$42)-ROW('DONNÉES BRUTES'!A$3))/1000,0),0))),"—")</f>
        <v/>
      </c>
      <c r="D22">
        <f t="array" ref="D22">IFERROR(IF(12&gt;COUNTIF('DONNÉES BRUTES'!C$3:C$42,"Consumer Disc."),"",INDEX('DONNÉES BRUTES'!B$3:B$42,MATCH(LARGE(IF('DONNÉES BRUTES'!C$3:C$42="Consumer Disc.",'DONNÉES BRUTES'!AB$3:AB$42+(ROW('DONNÉES BRUTES'!A$3:A$42)-ROW('DONNÉES BRUTES'!A$3))/1000,0),12),IF('DONNÉES BRUTES'!C$3:C$42="Consumer Disc.",'DONNÉES BRUTES'!AB$3:AB$42+(ROW('DONNÉES BRUTES'!A$3:A$42)-ROW('DONNÉES BRUTES'!A$3))/1000,0),0))),"—")</f>
        <v/>
      </c>
      <c r="E22">
        <f t="array" ref="E22">IFERROR(IF(12&gt;COUNTIF('DONNÉES BRUTES'!C$3:C$42,"Consumer Disc."),"",INT(LARGE(IF('DONNÉES BRUTES'!C$3:C$42="Consumer Disc.",'DONNÉES BRUTES'!AB$3:AB$42+(ROW('DONNÉES BRUTES'!A$3:A$42)-ROW('DONNÉES BRUTES'!A$3))/1000,0),12))&amp;"/100"),"—")</f>
        <v/>
      </c>
      <c r="F22">
        <f t="array" ref="F22">IFERROR(IF(12&gt;COUNTIF('DONNÉES BRUTES'!C$3:C$42,"Consumer Disc."),"",INDEX('DONNÉES BRUTES'!Y$3:Y$42,MATCH(LARGE(IF('DONNÉES BRUTES'!C$3:C$42="Consumer Disc.",'DONNÉES BRUTES'!AB$3:AB$42+(ROW('DONNÉES BRUTES'!A$3:A$42)-ROW('DONNÉES BRUTES'!A$3))/1000,0),12),IF('DONNÉES BRUTES'!C$3:C$42="Consumer Disc.",'DONNÉES BRUTES'!AB$3:AB$42+(ROW('DONNÉES BRUTES'!A$3:A$42)-ROW('DONNÉES BRUTES'!A$3))/1000,0),0))),"—")</f>
        <v/>
      </c>
      <c r="G22">
        <f t="array" ref="G22">IFERROR(IF(12&gt;COUNTIF('DONNÉES BRUTES'!C$3:C$42,"Consumer Disc."),"",INDEX('DONNÉES BRUTES'!Z$3:Z$42,MATCH(LARGE(IF('DONNÉES BRUTES'!C$3:C$42="Consumer Disc.",'DONNÉES BRUTES'!AB$3:AB$42+(ROW('DONNÉES BRUTES'!A$3:A$42)-ROW('DONNÉES BRUTES'!A$3))/1000,0),12),IF('DONNÉES BRUTES'!C$3:C$42="Consumer Disc.",'DONNÉES BRUTES'!AB$3:AB$42+(ROW('DONNÉES BRUTES'!A$3:A$42)-ROW('DONNÉES BRUTES'!A$3))/1000,0),0))),"—")</f>
        <v/>
      </c>
      <c r="H22">
        <f t="array" ref="H22">IFERROR(IF(12&gt;COUNTIF('DONNÉES BRUTES'!C$3:C$42,"Consumer Disc."),"",INDEX('DONNÉES BRUTES'!AA$3:AA$42,MATCH(LARGE(IF('DONNÉES BRUTES'!C$3:C$42="Consumer Disc.",'DONNÉES BRUTES'!AB$3:AB$42+(ROW('DONNÉES BRUTES'!A$3:A$42)-ROW('DONNÉES BRUTES'!A$3))/1000,0),12),IF('DONNÉES BRUTES'!C$3:C$42="Consumer Disc.",'DONNÉES BRUTES'!AB$3:AB$42+(ROW('DONNÉES BRUTES'!A$3:A$42)-ROW('DONNÉES BRUTES'!A$3))/1000,0),0))),"—")</f>
        <v/>
      </c>
      <c r="I22">
        <f t="array" ref="I22">IFERROR(IF(12&gt;COUNTIF('DONNÉES BRUTES'!C$3:C$42,"Consumer Disc."),"",INDEX('DONNÉES BRUTES'!M$3:M$42,MATCH(LARGE(IF('DONNÉES BRUTES'!C$3:C$42="Consumer Disc.",'DONNÉES BRUTES'!AB$3:AB$42+(ROW('DONNÉES BRUTES'!A$3:A$42)-ROW('DONNÉES BRUTES'!A$3))/1000,0),12),IF('DONNÉES BRUTES'!C$3:C$42="Consumer Disc.",'DONNÉES BRUTES'!AB$3:AB$42+(ROW('DONNÉES BRUTES'!A$3:A$42)-ROW('DONNÉES BRUTES'!A$3))/1000,0),0))),"—")</f>
        <v/>
      </c>
      <c r="J22">
        <f t="array" ref="J22">IFERROR(IF(12&gt;COUNTIF('DONNÉES BRUTES'!C$3:C$42,"Consumer Disc."),"",INDEX('DONNÉES BRUTES'!N$3:N$42,MATCH(LARGE(IF('DONNÉES BRUTES'!C$3:C$42="Consumer Disc.",'DONNÉES BRUTES'!AB$3:AB$42+(ROW('DONNÉES BRUTES'!A$3:A$42)-ROW('DONNÉES BRUTES'!A$3))/1000,0),12),IF('DONNÉES BRUTES'!C$3:C$42="Consumer Disc.",'DONNÉES BRUTES'!AB$3:AB$42+(ROW('DONNÉES BRUTES'!A$3:A$42)-ROW('DONNÉES BRUTES'!A$3))/1000,0),0))),"—")</f>
        <v/>
      </c>
      <c r="K22">
        <f t="array" ref="K22">IFERROR(IF(12&gt;COUNTIF('DONNÉES BRUTES'!C$3:C$42,"Consumer Disc."),"",INDEX('DONNÉES BRUTES'!O$3:O$42,MATCH(LARGE(IF('DONNÉES BRUTES'!C$3:C$42="Consumer Disc.",'DONNÉES BRUTES'!AB$3:AB$42+(ROW('DONNÉES BRUTES'!A$3:A$42)-ROW('DONNÉES BRUTES'!A$3))/1000,0),12),IF('DONNÉES BRUTES'!C$3:C$42="Consumer Disc.",'DONNÉES BRUTES'!AB$3:AB$42+(ROW('DONNÉES BRUTES'!A$3:A$42)-ROW('DONNÉES BRUTES'!A$3))/1000,0),0))),"—")</f>
        <v/>
      </c>
      <c r="L22">
        <f t="array" ref="L22">IFERROR(IF(12&gt;COUNTIF('DONNÉES BRUTES'!C$3:C$42,"Consumer Disc."),"",INDEX('DONNÉES BRUTES'!P$3:P$42,MATCH(LARGE(IF('DONNÉES BRUTES'!C$3:C$42="Consumer Disc.",'DONNÉES BRUTES'!AB$3:AB$42+(ROW('DONNÉES BRUTES'!A$3:A$42)-ROW('DONNÉES BRUTES'!A$3))/1000,0),12),IF('DONNÉES BRUTES'!C$3:C$42="Consumer Disc.",'DONNÉES BRUTES'!AB$3:AB$42+(ROW('DONNÉES BRUTES'!A$3:A$42)-ROW('DONNÉES BRUTES'!A$3))/1000,0),0))),"—")</f>
        <v/>
      </c>
      <c r="M22">
        <f t="array" ref="M22">IFERROR(IF(12&gt;COUNTIF('DONNÉES BRUTES'!C$3:C$42,"Consumer Disc."),"",INDEX('DONNÉES BRUTES'!Q$3:Q$42,MATCH(LARGE(IF('DONNÉES BRUTES'!C$3:C$42="Consumer Disc.",'DONNÉES BRUTES'!AB$3:AB$42+(ROW('DONNÉES BRUTES'!A$3:A$42)-ROW('DONNÉES BRUTES'!A$3))/1000,0),12),IF('DONNÉES BRUTES'!C$3:C$42="Consumer Disc.",'DONNÉES BRUTES'!AB$3:AB$42+(ROW('DONNÉES BRUTES'!A$3:A$42)-ROW('DONNÉES BRUTES'!A$3))/1000,0),0))),"—")</f>
        <v/>
      </c>
      <c r="N22">
        <f t="array" ref="N22">IFERROR(IF(12&gt;COUNTIF('DONNÉES BRUTES'!C$3:C$42,"Consumer Disc."),"",INDEX('DONNÉES BRUTES'!S$3:S$42,MATCH(LARGE(IF('DONNÉES BRUTES'!C$3:C$42="Consumer Disc.",'DONNÉES BRUTES'!AB$3:AB$42+(ROW('DONNÉES BRUTES'!A$3:A$42)-ROW('DONNÉES BRUTES'!A$3))/1000,0),12),IF('DONNÉES BRUTES'!C$3:C$42="Consumer Disc.",'DONNÉES BRUTES'!AB$3:AB$42+(ROW('DONNÉES BRUTES'!A$3:A$42)-ROW('DONNÉES BRUTES'!A$3))/1000,0),0))),"—")</f>
        <v/>
      </c>
      <c r="O22">
        <f t="array" ref="O22">IFERROR(IF(12&gt;COUNTIF('DONNÉES BRUTES'!C$3:C$42,"Consumer Disc."),"",INDEX('DONNÉES BRUTES'!T$3:T$42,MATCH(LARGE(IF('DONNÉES BRUTES'!C$3:C$42="Consumer Disc.",'DONNÉES BRUTES'!AB$3:AB$42+(ROW('DONNÉES BRUTES'!A$3:A$42)-ROW('DONNÉES BRUTES'!A$3))/1000,0),12),IF('DONNÉES BRUTES'!C$3:C$42="Consumer Disc.",'DONNÉES BRUTES'!AB$3:AB$42+(ROW('DONNÉES BRUTES'!A$3:A$42)-ROW('DONNÉES BRUTES'!A$3))/1000,0),0))),"—")</f>
        <v/>
      </c>
      <c r="P22">
        <f t="array" ref="P22">IFERROR(IF(12&gt;COUNTIF('DONNÉES BRUTES'!C$3:C$42,"Consumer Disc."),"",INDEX('DONNÉES BRUTES'!U$3:U$42,MATCH(LARGE(IF('DONNÉES BRUTES'!C$3:C$42="Consumer Disc.",'DONNÉES BRUTES'!AB$3:AB$42+(ROW('DONNÉES BRUTES'!A$3:A$42)-ROW('DONNÉES BRUTES'!A$3))/1000,0),12),IF('DONNÉES BRUTES'!C$3:C$42="Consumer Disc.",'DONNÉES BRUTES'!AB$3:AB$42+(ROW('DONNÉES BRUTES'!A$3:A$42)-ROW('DONNÉES BRUTES'!A$3))/1000,0),0))),"—")</f>
        <v/>
      </c>
      <c r="Q22">
        <f t="array" ref="Q22">IFERROR(IF(12&gt;COUNTIF('DONNÉES BRUTES'!C$3:C$42,"Consumer Disc."),"",INDEX('DONNÉES BRUTES'!AD$3:AD$42,MATCH(LARGE(IF('DONNÉES BRUTES'!C$3:C$42="Consumer Disc.",'DONNÉES BRUTES'!AB$3:AB$42+(ROW('DONNÉES BRUTES'!A$3:A$42)-ROW('DONNÉES BRUTES'!A$3))/1000,0),12),IF('DONNÉES BRUTES'!C$3:C$42="Consumer Disc.",'DONNÉES BRUTES'!AB$3:AB$42+(ROW('DONNÉES BRUTES'!A$3:A$42)-ROW('DONNÉES BRUTES'!A$3))/1000,0),0))),"—")</f>
        <v/>
      </c>
    </row>
    <row r="23" ht="15.95" customHeight="1">
      <c r="B23">
        <f>IF(13&gt;COUNTIF('DONNÉES BRUTES'!C$3:C$42,"Consumer Disc."),"",13)</f>
        <v/>
      </c>
      <c r="C23">
        <f t="array" ref="C23">IFERROR(IF(13&gt;COUNTIF('DONNÉES BRUTES'!C$3:C$42,"Consumer Disc."),"",INDEX('DONNÉES BRUTES'!A$3:A$42,MATCH(LARGE(IF('DONNÉES BRUTES'!C$3:C$42="Consumer Disc.",'DONNÉES BRUTES'!AB$3:AB$42+(ROW('DONNÉES BRUTES'!A$3:A$42)-ROW('DONNÉES BRUTES'!A$3))/1000,0),13),IF('DONNÉES BRUTES'!C$3:C$42="Consumer Disc.",'DONNÉES BRUTES'!AB$3:AB$42+(ROW('DONNÉES BRUTES'!A$3:A$42)-ROW('DONNÉES BRUTES'!A$3))/1000,0),0))),"—")</f>
        <v/>
      </c>
      <c r="D23">
        <f t="array" ref="D23">IFERROR(IF(13&gt;COUNTIF('DONNÉES BRUTES'!C$3:C$42,"Consumer Disc."),"",INDEX('DONNÉES BRUTES'!B$3:B$42,MATCH(LARGE(IF('DONNÉES BRUTES'!C$3:C$42="Consumer Disc.",'DONNÉES BRUTES'!AB$3:AB$42+(ROW('DONNÉES BRUTES'!A$3:A$42)-ROW('DONNÉES BRUTES'!A$3))/1000,0),13),IF('DONNÉES BRUTES'!C$3:C$42="Consumer Disc.",'DONNÉES BRUTES'!AB$3:AB$42+(ROW('DONNÉES BRUTES'!A$3:A$42)-ROW('DONNÉES BRUTES'!A$3))/1000,0),0))),"—")</f>
        <v/>
      </c>
      <c r="E23">
        <f t="array" ref="E23">IFERROR(IF(13&gt;COUNTIF('DONNÉES BRUTES'!C$3:C$42,"Consumer Disc."),"",INT(LARGE(IF('DONNÉES BRUTES'!C$3:C$42="Consumer Disc.",'DONNÉES BRUTES'!AB$3:AB$42+(ROW('DONNÉES BRUTES'!A$3:A$42)-ROW('DONNÉES BRUTES'!A$3))/1000,0),13))&amp;"/100"),"—")</f>
        <v/>
      </c>
      <c r="F23">
        <f t="array" ref="F23">IFERROR(IF(13&gt;COUNTIF('DONNÉES BRUTES'!C$3:C$42,"Consumer Disc."),"",INDEX('DONNÉES BRUTES'!Y$3:Y$42,MATCH(LARGE(IF('DONNÉES BRUTES'!C$3:C$42="Consumer Disc.",'DONNÉES BRUTES'!AB$3:AB$42+(ROW('DONNÉES BRUTES'!A$3:A$42)-ROW('DONNÉES BRUTES'!A$3))/1000,0),13),IF('DONNÉES BRUTES'!C$3:C$42="Consumer Disc.",'DONNÉES BRUTES'!AB$3:AB$42+(ROW('DONNÉES BRUTES'!A$3:A$42)-ROW('DONNÉES BRUTES'!A$3))/1000,0),0))),"—")</f>
        <v/>
      </c>
      <c r="G23">
        <f t="array" ref="G23">IFERROR(IF(13&gt;COUNTIF('DONNÉES BRUTES'!C$3:C$42,"Consumer Disc."),"",INDEX('DONNÉES BRUTES'!Z$3:Z$42,MATCH(LARGE(IF('DONNÉES BRUTES'!C$3:C$42="Consumer Disc.",'DONNÉES BRUTES'!AB$3:AB$42+(ROW('DONNÉES BRUTES'!A$3:A$42)-ROW('DONNÉES BRUTES'!A$3))/1000,0),13),IF('DONNÉES BRUTES'!C$3:C$42="Consumer Disc.",'DONNÉES BRUTES'!AB$3:AB$42+(ROW('DONNÉES BRUTES'!A$3:A$42)-ROW('DONNÉES BRUTES'!A$3))/1000,0),0))),"—")</f>
        <v/>
      </c>
      <c r="H23">
        <f t="array" ref="H23">IFERROR(IF(13&gt;COUNTIF('DONNÉES BRUTES'!C$3:C$42,"Consumer Disc."),"",INDEX('DONNÉES BRUTES'!AA$3:AA$42,MATCH(LARGE(IF('DONNÉES BRUTES'!C$3:C$42="Consumer Disc.",'DONNÉES BRUTES'!AB$3:AB$42+(ROW('DONNÉES BRUTES'!A$3:A$42)-ROW('DONNÉES BRUTES'!A$3))/1000,0),13),IF('DONNÉES BRUTES'!C$3:C$42="Consumer Disc.",'DONNÉES BRUTES'!AB$3:AB$42+(ROW('DONNÉES BRUTES'!A$3:A$42)-ROW('DONNÉES BRUTES'!A$3))/1000,0),0))),"—")</f>
        <v/>
      </c>
      <c r="I23">
        <f t="array" ref="I23">IFERROR(IF(13&gt;COUNTIF('DONNÉES BRUTES'!C$3:C$42,"Consumer Disc."),"",INDEX('DONNÉES BRUTES'!M$3:M$42,MATCH(LARGE(IF('DONNÉES BRUTES'!C$3:C$42="Consumer Disc.",'DONNÉES BRUTES'!AB$3:AB$42+(ROW('DONNÉES BRUTES'!A$3:A$42)-ROW('DONNÉES BRUTES'!A$3))/1000,0),13),IF('DONNÉES BRUTES'!C$3:C$42="Consumer Disc.",'DONNÉES BRUTES'!AB$3:AB$42+(ROW('DONNÉES BRUTES'!A$3:A$42)-ROW('DONNÉES BRUTES'!A$3))/1000,0),0))),"—")</f>
        <v/>
      </c>
      <c r="J23">
        <f t="array" ref="J23">IFERROR(IF(13&gt;COUNTIF('DONNÉES BRUTES'!C$3:C$42,"Consumer Disc."),"",INDEX('DONNÉES BRUTES'!N$3:N$42,MATCH(LARGE(IF('DONNÉES BRUTES'!C$3:C$42="Consumer Disc.",'DONNÉES BRUTES'!AB$3:AB$42+(ROW('DONNÉES BRUTES'!A$3:A$42)-ROW('DONNÉES BRUTES'!A$3))/1000,0),13),IF('DONNÉES BRUTES'!C$3:C$42="Consumer Disc.",'DONNÉES BRUTES'!AB$3:AB$42+(ROW('DONNÉES BRUTES'!A$3:A$42)-ROW('DONNÉES BRUTES'!A$3))/1000,0),0))),"—")</f>
        <v/>
      </c>
      <c r="K23">
        <f t="array" ref="K23">IFERROR(IF(13&gt;COUNTIF('DONNÉES BRUTES'!C$3:C$42,"Consumer Disc."),"",INDEX('DONNÉES BRUTES'!O$3:O$42,MATCH(LARGE(IF('DONNÉES BRUTES'!C$3:C$42="Consumer Disc.",'DONNÉES BRUTES'!AB$3:AB$42+(ROW('DONNÉES BRUTES'!A$3:A$42)-ROW('DONNÉES BRUTES'!A$3))/1000,0),13),IF('DONNÉES BRUTES'!C$3:C$42="Consumer Disc.",'DONNÉES BRUTES'!AB$3:AB$42+(ROW('DONNÉES BRUTES'!A$3:A$42)-ROW('DONNÉES BRUTES'!A$3))/1000,0),0))),"—")</f>
        <v/>
      </c>
      <c r="L23">
        <f t="array" ref="L23">IFERROR(IF(13&gt;COUNTIF('DONNÉES BRUTES'!C$3:C$42,"Consumer Disc."),"",INDEX('DONNÉES BRUTES'!P$3:P$42,MATCH(LARGE(IF('DONNÉES BRUTES'!C$3:C$42="Consumer Disc.",'DONNÉES BRUTES'!AB$3:AB$42+(ROW('DONNÉES BRUTES'!A$3:A$42)-ROW('DONNÉES BRUTES'!A$3))/1000,0),13),IF('DONNÉES BRUTES'!C$3:C$42="Consumer Disc.",'DONNÉES BRUTES'!AB$3:AB$42+(ROW('DONNÉES BRUTES'!A$3:A$42)-ROW('DONNÉES BRUTES'!A$3))/1000,0),0))),"—")</f>
        <v/>
      </c>
      <c r="M23">
        <f t="array" ref="M23">IFERROR(IF(13&gt;COUNTIF('DONNÉES BRUTES'!C$3:C$42,"Consumer Disc."),"",INDEX('DONNÉES BRUTES'!Q$3:Q$42,MATCH(LARGE(IF('DONNÉES BRUTES'!C$3:C$42="Consumer Disc.",'DONNÉES BRUTES'!AB$3:AB$42+(ROW('DONNÉES BRUTES'!A$3:A$42)-ROW('DONNÉES BRUTES'!A$3))/1000,0),13),IF('DONNÉES BRUTES'!C$3:C$42="Consumer Disc.",'DONNÉES BRUTES'!AB$3:AB$42+(ROW('DONNÉES BRUTES'!A$3:A$42)-ROW('DONNÉES BRUTES'!A$3))/1000,0),0))),"—")</f>
        <v/>
      </c>
      <c r="N23">
        <f t="array" ref="N23">IFERROR(IF(13&gt;COUNTIF('DONNÉES BRUTES'!C$3:C$42,"Consumer Disc."),"",INDEX('DONNÉES BRUTES'!S$3:S$42,MATCH(LARGE(IF('DONNÉES BRUTES'!C$3:C$42="Consumer Disc.",'DONNÉES BRUTES'!AB$3:AB$42+(ROW('DONNÉES BRUTES'!A$3:A$42)-ROW('DONNÉES BRUTES'!A$3))/1000,0),13),IF('DONNÉES BRUTES'!C$3:C$42="Consumer Disc.",'DONNÉES BRUTES'!AB$3:AB$42+(ROW('DONNÉES BRUTES'!A$3:A$42)-ROW('DONNÉES BRUTES'!A$3))/1000,0),0))),"—")</f>
        <v/>
      </c>
      <c r="O23">
        <f t="array" ref="O23">IFERROR(IF(13&gt;COUNTIF('DONNÉES BRUTES'!C$3:C$42,"Consumer Disc."),"",INDEX('DONNÉES BRUTES'!T$3:T$42,MATCH(LARGE(IF('DONNÉES BRUTES'!C$3:C$42="Consumer Disc.",'DONNÉES BRUTES'!AB$3:AB$42+(ROW('DONNÉES BRUTES'!A$3:A$42)-ROW('DONNÉES BRUTES'!A$3))/1000,0),13),IF('DONNÉES BRUTES'!C$3:C$42="Consumer Disc.",'DONNÉES BRUTES'!AB$3:AB$42+(ROW('DONNÉES BRUTES'!A$3:A$42)-ROW('DONNÉES BRUTES'!A$3))/1000,0),0))),"—")</f>
        <v/>
      </c>
      <c r="P23">
        <f t="array" ref="P23">IFERROR(IF(13&gt;COUNTIF('DONNÉES BRUTES'!C$3:C$42,"Consumer Disc."),"",INDEX('DONNÉES BRUTES'!U$3:U$42,MATCH(LARGE(IF('DONNÉES BRUTES'!C$3:C$42="Consumer Disc.",'DONNÉES BRUTES'!AB$3:AB$42+(ROW('DONNÉES BRUTES'!A$3:A$42)-ROW('DONNÉES BRUTES'!A$3))/1000,0),13),IF('DONNÉES BRUTES'!C$3:C$42="Consumer Disc.",'DONNÉES BRUTES'!AB$3:AB$42+(ROW('DONNÉES BRUTES'!A$3:A$42)-ROW('DONNÉES BRUTES'!A$3))/1000,0),0))),"—")</f>
        <v/>
      </c>
      <c r="Q23">
        <f t="array" ref="Q23">IFERROR(IF(13&gt;COUNTIF('DONNÉES BRUTES'!C$3:C$42,"Consumer Disc."),"",INDEX('DONNÉES BRUTES'!AD$3:AD$42,MATCH(LARGE(IF('DONNÉES BRUTES'!C$3:C$42="Consumer Disc.",'DONNÉES BRUTES'!AB$3:AB$42+(ROW('DONNÉES BRUTES'!A$3:A$42)-ROW('DONNÉES BRUTES'!A$3))/1000,0),13),IF('DONNÉES BRUTES'!C$3:C$42="Consumer Disc.",'DONNÉES BRUTES'!AB$3:AB$42+(ROW('DONNÉES BRUTES'!A$3:A$42)-ROW('DONNÉES BRUTES'!A$3))/1000,0),0))),"—")</f>
        <v/>
      </c>
    </row>
    <row r="24" ht="15.95" customHeight="1">
      <c r="B24">
        <f>IF(14&gt;COUNTIF('DONNÉES BRUTES'!C$3:C$42,"Consumer Disc."),"",14)</f>
        <v/>
      </c>
      <c r="C24">
        <f t="array" ref="C24">IFERROR(IF(14&gt;COUNTIF('DONNÉES BRUTES'!C$3:C$42,"Consumer Disc."),"",INDEX('DONNÉES BRUTES'!A$3:A$42,MATCH(LARGE(IF('DONNÉES BRUTES'!C$3:C$42="Consumer Disc.",'DONNÉES BRUTES'!AB$3:AB$42+(ROW('DONNÉES BRUTES'!A$3:A$42)-ROW('DONNÉES BRUTES'!A$3))/1000,0),14),IF('DONNÉES BRUTES'!C$3:C$42="Consumer Disc.",'DONNÉES BRUTES'!AB$3:AB$42+(ROW('DONNÉES BRUTES'!A$3:A$42)-ROW('DONNÉES BRUTES'!A$3))/1000,0),0))),"—")</f>
        <v/>
      </c>
      <c r="D24">
        <f t="array" ref="D24">IFERROR(IF(14&gt;COUNTIF('DONNÉES BRUTES'!C$3:C$42,"Consumer Disc."),"",INDEX('DONNÉES BRUTES'!B$3:B$42,MATCH(LARGE(IF('DONNÉES BRUTES'!C$3:C$42="Consumer Disc.",'DONNÉES BRUTES'!AB$3:AB$42+(ROW('DONNÉES BRUTES'!A$3:A$42)-ROW('DONNÉES BRUTES'!A$3))/1000,0),14),IF('DONNÉES BRUTES'!C$3:C$42="Consumer Disc.",'DONNÉES BRUTES'!AB$3:AB$42+(ROW('DONNÉES BRUTES'!A$3:A$42)-ROW('DONNÉES BRUTES'!A$3))/1000,0),0))),"—")</f>
        <v/>
      </c>
      <c r="E24">
        <f t="array" ref="E24">IFERROR(IF(14&gt;COUNTIF('DONNÉES BRUTES'!C$3:C$42,"Consumer Disc."),"",INT(LARGE(IF('DONNÉES BRUTES'!C$3:C$42="Consumer Disc.",'DONNÉES BRUTES'!AB$3:AB$42+(ROW('DONNÉES BRUTES'!A$3:A$42)-ROW('DONNÉES BRUTES'!A$3))/1000,0),14))&amp;"/100"),"—")</f>
        <v/>
      </c>
      <c r="F24">
        <f t="array" ref="F24">IFERROR(IF(14&gt;COUNTIF('DONNÉES BRUTES'!C$3:C$42,"Consumer Disc."),"",INDEX('DONNÉES BRUTES'!Y$3:Y$42,MATCH(LARGE(IF('DONNÉES BRUTES'!C$3:C$42="Consumer Disc.",'DONNÉES BRUTES'!AB$3:AB$42+(ROW('DONNÉES BRUTES'!A$3:A$42)-ROW('DONNÉES BRUTES'!A$3))/1000,0),14),IF('DONNÉES BRUTES'!C$3:C$42="Consumer Disc.",'DONNÉES BRUTES'!AB$3:AB$42+(ROW('DONNÉES BRUTES'!A$3:A$42)-ROW('DONNÉES BRUTES'!A$3))/1000,0),0))),"—")</f>
        <v/>
      </c>
      <c r="G24">
        <f t="array" ref="G24">IFERROR(IF(14&gt;COUNTIF('DONNÉES BRUTES'!C$3:C$42,"Consumer Disc."),"",INDEX('DONNÉES BRUTES'!Z$3:Z$42,MATCH(LARGE(IF('DONNÉES BRUTES'!C$3:C$42="Consumer Disc.",'DONNÉES BRUTES'!AB$3:AB$42+(ROW('DONNÉES BRUTES'!A$3:A$42)-ROW('DONNÉES BRUTES'!A$3))/1000,0),14),IF('DONNÉES BRUTES'!C$3:C$42="Consumer Disc.",'DONNÉES BRUTES'!AB$3:AB$42+(ROW('DONNÉES BRUTES'!A$3:A$42)-ROW('DONNÉES BRUTES'!A$3))/1000,0),0))),"—")</f>
        <v/>
      </c>
      <c r="H24">
        <f t="array" ref="H24">IFERROR(IF(14&gt;COUNTIF('DONNÉES BRUTES'!C$3:C$42,"Consumer Disc."),"",INDEX('DONNÉES BRUTES'!AA$3:AA$42,MATCH(LARGE(IF('DONNÉES BRUTES'!C$3:C$42="Consumer Disc.",'DONNÉES BRUTES'!AB$3:AB$42+(ROW('DONNÉES BRUTES'!A$3:A$42)-ROW('DONNÉES BRUTES'!A$3))/1000,0),14),IF('DONNÉES BRUTES'!C$3:C$42="Consumer Disc.",'DONNÉES BRUTES'!AB$3:AB$42+(ROW('DONNÉES BRUTES'!A$3:A$42)-ROW('DONNÉES BRUTES'!A$3))/1000,0),0))),"—")</f>
        <v/>
      </c>
      <c r="I24">
        <f t="array" ref="I24">IFERROR(IF(14&gt;COUNTIF('DONNÉES BRUTES'!C$3:C$42,"Consumer Disc."),"",INDEX('DONNÉES BRUTES'!M$3:M$42,MATCH(LARGE(IF('DONNÉES BRUTES'!C$3:C$42="Consumer Disc.",'DONNÉES BRUTES'!AB$3:AB$42+(ROW('DONNÉES BRUTES'!A$3:A$42)-ROW('DONNÉES BRUTES'!A$3))/1000,0),14),IF('DONNÉES BRUTES'!C$3:C$42="Consumer Disc.",'DONNÉES BRUTES'!AB$3:AB$42+(ROW('DONNÉES BRUTES'!A$3:A$42)-ROW('DONNÉES BRUTES'!A$3))/1000,0),0))),"—")</f>
        <v/>
      </c>
      <c r="J24">
        <f t="array" ref="J24">IFERROR(IF(14&gt;COUNTIF('DONNÉES BRUTES'!C$3:C$42,"Consumer Disc."),"",INDEX('DONNÉES BRUTES'!N$3:N$42,MATCH(LARGE(IF('DONNÉES BRUTES'!C$3:C$42="Consumer Disc.",'DONNÉES BRUTES'!AB$3:AB$42+(ROW('DONNÉES BRUTES'!A$3:A$42)-ROW('DONNÉES BRUTES'!A$3))/1000,0),14),IF('DONNÉES BRUTES'!C$3:C$42="Consumer Disc.",'DONNÉES BRUTES'!AB$3:AB$42+(ROW('DONNÉES BRUTES'!A$3:A$42)-ROW('DONNÉES BRUTES'!A$3))/1000,0),0))),"—")</f>
        <v/>
      </c>
      <c r="K24">
        <f t="array" ref="K24">IFERROR(IF(14&gt;COUNTIF('DONNÉES BRUTES'!C$3:C$42,"Consumer Disc."),"",INDEX('DONNÉES BRUTES'!O$3:O$42,MATCH(LARGE(IF('DONNÉES BRUTES'!C$3:C$42="Consumer Disc.",'DONNÉES BRUTES'!AB$3:AB$42+(ROW('DONNÉES BRUTES'!A$3:A$42)-ROW('DONNÉES BRUTES'!A$3))/1000,0),14),IF('DONNÉES BRUTES'!C$3:C$42="Consumer Disc.",'DONNÉES BRUTES'!AB$3:AB$42+(ROW('DONNÉES BRUTES'!A$3:A$42)-ROW('DONNÉES BRUTES'!A$3))/1000,0),0))),"—")</f>
        <v/>
      </c>
      <c r="L24">
        <f t="array" ref="L24">IFERROR(IF(14&gt;COUNTIF('DONNÉES BRUTES'!C$3:C$42,"Consumer Disc."),"",INDEX('DONNÉES BRUTES'!P$3:P$42,MATCH(LARGE(IF('DONNÉES BRUTES'!C$3:C$42="Consumer Disc.",'DONNÉES BRUTES'!AB$3:AB$42+(ROW('DONNÉES BRUTES'!A$3:A$42)-ROW('DONNÉES BRUTES'!A$3))/1000,0),14),IF('DONNÉES BRUTES'!C$3:C$42="Consumer Disc.",'DONNÉES BRUTES'!AB$3:AB$42+(ROW('DONNÉES BRUTES'!A$3:A$42)-ROW('DONNÉES BRUTES'!A$3))/1000,0),0))),"—")</f>
        <v/>
      </c>
      <c r="M24">
        <f t="array" ref="M24">IFERROR(IF(14&gt;COUNTIF('DONNÉES BRUTES'!C$3:C$42,"Consumer Disc."),"",INDEX('DONNÉES BRUTES'!Q$3:Q$42,MATCH(LARGE(IF('DONNÉES BRUTES'!C$3:C$42="Consumer Disc.",'DONNÉES BRUTES'!AB$3:AB$42+(ROW('DONNÉES BRUTES'!A$3:A$42)-ROW('DONNÉES BRUTES'!A$3))/1000,0),14),IF('DONNÉES BRUTES'!C$3:C$42="Consumer Disc.",'DONNÉES BRUTES'!AB$3:AB$42+(ROW('DONNÉES BRUTES'!A$3:A$42)-ROW('DONNÉES BRUTES'!A$3))/1000,0),0))),"—")</f>
        <v/>
      </c>
      <c r="N24">
        <f t="array" ref="N24">IFERROR(IF(14&gt;COUNTIF('DONNÉES BRUTES'!C$3:C$42,"Consumer Disc."),"",INDEX('DONNÉES BRUTES'!S$3:S$42,MATCH(LARGE(IF('DONNÉES BRUTES'!C$3:C$42="Consumer Disc.",'DONNÉES BRUTES'!AB$3:AB$42+(ROW('DONNÉES BRUTES'!A$3:A$42)-ROW('DONNÉES BRUTES'!A$3))/1000,0),14),IF('DONNÉES BRUTES'!C$3:C$42="Consumer Disc.",'DONNÉES BRUTES'!AB$3:AB$42+(ROW('DONNÉES BRUTES'!A$3:A$42)-ROW('DONNÉES BRUTES'!A$3))/1000,0),0))),"—")</f>
        <v/>
      </c>
      <c r="O24">
        <f t="array" ref="O24">IFERROR(IF(14&gt;COUNTIF('DONNÉES BRUTES'!C$3:C$42,"Consumer Disc."),"",INDEX('DONNÉES BRUTES'!T$3:T$42,MATCH(LARGE(IF('DONNÉES BRUTES'!C$3:C$42="Consumer Disc.",'DONNÉES BRUTES'!AB$3:AB$42+(ROW('DONNÉES BRUTES'!A$3:A$42)-ROW('DONNÉES BRUTES'!A$3))/1000,0),14),IF('DONNÉES BRUTES'!C$3:C$42="Consumer Disc.",'DONNÉES BRUTES'!AB$3:AB$42+(ROW('DONNÉES BRUTES'!A$3:A$42)-ROW('DONNÉES BRUTES'!A$3))/1000,0),0))),"—")</f>
        <v/>
      </c>
      <c r="P24">
        <f t="array" ref="P24">IFERROR(IF(14&gt;COUNTIF('DONNÉES BRUTES'!C$3:C$42,"Consumer Disc."),"",INDEX('DONNÉES BRUTES'!U$3:U$42,MATCH(LARGE(IF('DONNÉES BRUTES'!C$3:C$42="Consumer Disc.",'DONNÉES BRUTES'!AB$3:AB$42+(ROW('DONNÉES BRUTES'!A$3:A$42)-ROW('DONNÉES BRUTES'!A$3))/1000,0),14),IF('DONNÉES BRUTES'!C$3:C$42="Consumer Disc.",'DONNÉES BRUTES'!AB$3:AB$42+(ROW('DONNÉES BRUTES'!A$3:A$42)-ROW('DONNÉES BRUTES'!A$3))/1000,0),0))),"—")</f>
        <v/>
      </c>
      <c r="Q24">
        <f t="array" ref="Q24">IFERROR(IF(14&gt;COUNTIF('DONNÉES BRUTES'!C$3:C$42,"Consumer Disc."),"",INDEX('DONNÉES BRUTES'!AD$3:AD$42,MATCH(LARGE(IF('DONNÉES BRUTES'!C$3:C$42="Consumer Disc.",'DONNÉES BRUTES'!AB$3:AB$42+(ROW('DONNÉES BRUTES'!A$3:A$42)-ROW('DONNÉES BRUTES'!A$3))/1000,0),14),IF('DONNÉES BRUTES'!C$3:C$42="Consumer Disc.",'DONNÉES BRUTES'!AB$3:AB$42+(ROW('DONNÉES BRUTES'!A$3:A$42)-ROW('DONNÉES BRUTES'!A$3))/1000,0),0))),"—")</f>
        <v/>
      </c>
    </row>
    <row r="25" ht="15.95" customHeight="1">
      <c r="B25">
        <f>IF(15&gt;COUNTIF('DONNÉES BRUTES'!C$3:C$42,"Consumer Disc."),"",15)</f>
        <v/>
      </c>
      <c r="C25">
        <f t="array" ref="C25">IFERROR(IF(15&gt;COUNTIF('DONNÉES BRUTES'!C$3:C$42,"Consumer Disc."),"",INDEX('DONNÉES BRUTES'!A$3:A$42,MATCH(LARGE(IF('DONNÉES BRUTES'!C$3:C$42="Consumer Disc.",'DONNÉES BRUTES'!AB$3:AB$42+(ROW('DONNÉES BRUTES'!A$3:A$42)-ROW('DONNÉES BRUTES'!A$3))/1000,0),15),IF('DONNÉES BRUTES'!C$3:C$42="Consumer Disc.",'DONNÉES BRUTES'!AB$3:AB$42+(ROW('DONNÉES BRUTES'!A$3:A$42)-ROW('DONNÉES BRUTES'!A$3))/1000,0),0))),"—")</f>
        <v/>
      </c>
      <c r="D25">
        <f t="array" ref="D25">IFERROR(IF(15&gt;COUNTIF('DONNÉES BRUTES'!C$3:C$42,"Consumer Disc."),"",INDEX('DONNÉES BRUTES'!B$3:B$42,MATCH(LARGE(IF('DONNÉES BRUTES'!C$3:C$42="Consumer Disc.",'DONNÉES BRUTES'!AB$3:AB$42+(ROW('DONNÉES BRUTES'!A$3:A$42)-ROW('DONNÉES BRUTES'!A$3))/1000,0),15),IF('DONNÉES BRUTES'!C$3:C$42="Consumer Disc.",'DONNÉES BRUTES'!AB$3:AB$42+(ROW('DONNÉES BRUTES'!A$3:A$42)-ROW('DONNÉES BRUTES'!A$3))/1000,0),0))),"—")</f>
        <v/>
      </c>
      <c r="E25">
        <f t="array" ref="E25">IFERROR(IF(15&gt;COUNTIF('DONNÉES BRUTES'!C$3:C$42,"Consumer Disc."),"",INT(LARGE(IF('DONNÉES BRUTES'!C$3:C$42="Consumer Disc.",'DONNÉES BRUTES'!AB$3:AB$42+(ROW('DONNÉES BRUTES'!A$3:A$42)-ROW('DONNÉES BRUTES'!A$3))/1000,0),15))&amp;"/100"),"—")</f>
        <v/>
      </c>
      <c r="F25">
        <f t="array" ref="F25">IFERROR(IF(15&gt;COUNTIF('DONNÉES BRUTES'!C$3:C$42,"Consumer Disc."),"",INDEX('DONNÉES BRUTES'!Y$3:Y$42,MATCH(LARGE(IF('DONNÉES BRUTES'!C$3:C$42="Consumer Disc.",'DONNÉES BRUTES'!AB$3:AB$42+(ROW('DONNÉES BRUTES'!A$3:A$42)-ROW('DONNÉES BRUTES'!A$3))/1000,0),15),IF('DONNÉES BRUTES'!C$3:C$42="Consumer Disc.",'DONNÉES BRUTES'!AB$3:AB$42+(ROW('DONNÉES BRUTES'!A$3:A$42)-ROW('DONNÉES BRUTES'!A$3))/1000,0),0))),"—")</f>
        <v/>
      </c>
      <c r="G25">
        <f t="array" ref="G25">IFERROR(IF(15&gt;COUNTIF('DONNÉES BRUTES'!C$3:C$42,"Consumer Disc."),"",INDEX('DONNÉES BRUTES'!Z$3:Z$42,MATCH(LARGE(IF('DONNÉES BRUTES'!C$3:C$42="Consumer Disc.",'DONNÉES BRUTES'!AB$3:AB$42+(ROW('DONNÉES BRUTES'!A$3:A$42)-ROW('DONNÉES BRUTES'!A$3))/1000,0),15),IF('DONNÉES BRUTES'!C$3:C$42="Consumer Disc.",'DONNÉES BRUTES'!AB$3:AB$42+(ROW('DONNÉES BRUTES'!A$3:A$42)-ROW('DONNÉES BRUTES'!A$3))/1000,0),0))),"—")</f>
        <v/>
      </c>
      <c r="H25">
        <f t="array" ref="H25">IFERROR(IF(15&gt;COUNTIF('DONNÉES BRUTES'!C$3:C$42,"Consumer Disc."),"",INDEX('DONNÉES BRUTES'!AA$3:AA$42,MATCH(LARGE(IF('DONNÉES BRUTES'!C$3:C$42="Consumer Disc.",'DONNÉES BRUTES'!AB$3:AB$42+(ROW('DONNÉES BRUTES'!A$3:A$42)-ROW('DONNÉES BRUTES'!A$3))/1000,0),15),IF('DONNÉES BRUTES'!C$3:C$42="Consumer Disc.",'DONNÉES BRUTES'!AB$3:AB$42+(ROW('DONNÉES BRUTES'!A$3:A$42)-ROW('DONNÉES BRUTES'!A$3))/1000,0),0))),"—")</f>
        <v/>
      </c>
      <c r="I25">
        <f t="array" ref="I25">IFERROR(IF(15&gt;COUNTIF('DONNÉES BRUTES'!C$3:C$42,"Consumer Disc."),"",INDEX('DONNÉES BRUTES'!M$3:M$42,MATCH(LARGE(IF('DONNÉES BRUTES'!C$3:C$42="Consumer Disc.",'DONNÉES BRUTES'!AB$3:AB$42+(ROW('DONNÉES BRUTES'!A$3:A$42)-ROW('DONNÉES BRUTES'!A$3))/1000,0),15),IF('DONNÉES BRUTES'!C$3:C$42="Consumer Disc.",'DONNÉES BRUTES'!AB$3:AB$42+(ROW('DONNÉES BRUTES'!A$3:A$42)-ROW('DONNÉES BRUTES'!A$3))/1000,0),0))),"—")</f>
        <v/>
      </c>
      <c r="J25">
        <f t="array" ref="J25">IFERROR(IF(15&gt;COUNTIF('DONNÉES BRUTES'!C$3:C$42,"Consumer Disc."),"",INDEX('DONNÉES BRUTES'!N$3:N$42,MATCH(LARGE(IF('DONNÉES BRUTES'!C$3:C$42="Consumer Disc.",'DONNÉES BRUTES'!AB$3:AB$42+(ROW('DONNÉES BRUTES'!A$3:A$42)-ROW('DONNÉES BRUTES'!A$3))/1000,0),15),IF('DONNÉES BRUTES'!C$3:C$42="Consumer Disc.",'DONNÉES BRUTES'!AB$3:AB$42+(ROW('DONNÉES BRUTES'!A$3:A$42)-ROW('DONNÉES BRUTES'!A$3))/1000,0),0))),"—")</f>
        <v/>
      </c>
      <c r="K25">
        <f t="array" ref="K25">IFERROR(IF(15&gt;COUNTIF('DONNÉES BRUTES'!C$3:C$42,"Consumer Disc."),"",INDEX('DONNÉES BRUTES'!O$3:O$42,MATCH(LARGE(IF('DONNÉES BRUTES'!C$3:C$42="Consumer Disc.",'DONNÉES BRUTES'!AB$3:AB$42+(ROW('DONNÉES BRUTES'!A$3:A$42)-ROW('DONNÉES BRUTES'!A$3))/1000,0),15),IF('DONNÉES BRUTES'!C$3:C$42="Consumer Disc.",'DONNÉES BRUTES'!AB$3:AB$42+(ROW('DONNÉES BRUTES'!A$3:A$42)-ROW('DONNÉES BRUTES'!A$3))/1000,0),0))),"—")</f>
        <v/>
      </c>
      <c r="L25">
        <f t="array" ref="L25">IFERROR(IF(15&gt;COUNTIF('DONNÉES BRUTES'!C$3:C$42,"Consumer Disc."),"",INDEX('DONNÉES BRUTES'!P$3:P$42,MATCH(LARGE(IF('DONNÉES BRUTES'!C$3:C$42="Consumer Disc.",'DONNÉES BRUTES'!AB$3:AB$42+(ROW('DONNÉES BRUTES'!A$3:A$42)-ROW('DONNÉES BRUTES'!A$3))/1000,0),15),IF('DONNÉES BRUTES'!C$3:C$42="Consumer Disc.",'DONNÉES BRUTES'!AB$3:AB$42+(ROW('DONNÉES BRUTES'!A$3:A$42)-ROW('DONNÉES BRUTES'!A$3))/1000,0),0))),"—")</f>
        <v/>
      </c>
      <c r="M25">
        <f t="array" ref="M25">IFERROR(IF(15&gt;COUNTIF('DONNÉES BRUTES'!C$3:C$42,"Consumer Disc."),"",INDEX('DONNÉES BRUTES'!Q$3:Q$42,MATCH(LARGE(IF('DONNÉES BRUTES'!C$3:C$42="Consumer Disc.",'DONNÉES BRUTES'!AB$3:AB$42+(ROW('DONNÉES BRUTES'!A$3:A$42)-ROW('DONNÉES BRUTES'!A$3))/1000,0),15),IF('DONNÉES BRUTES'!C$3:C$42="Consumer Disc.",'DONNÉES BRUTES'!AB$3:AB$42+(ROW('DONNÉES BRUTES'!A$3:A$42)-ROW('DONNÉES BRUTES'!A$3))/1000,0),0))),"—")</f>
        <v/>
      </c>
      <c r="N25">
        <f t="array" ref="N25">IFERROR(IF(15&gt;COUNTIF('DONNÉES BRUTES'!C$3:C$42,"Consumer Disc."),"",INDEX('DONNÉES BRUTES'!S$3:S$42,MATCH(LARGE(IF('DONNÉES BRUTES'!C$3:C$42="Consumer Disc.",'DONNÉES BRUTES'!AB$3:AB$42+(ROW('DONNÉES BRUTES'!A$3:A$42)-ROW('DONNÉES BRUTES'!A$3))/1000,0),15),IF('DONNÉES BRUTES'!C$3:C$42="Consumer Disc.",'DONNÉES BRUTES'!AB$3:AB$42+(ROW('DONNÉES BRUTES'!A$3:A$42)-ROW('DONNÉES BRUTES'!A$3))/1000,0),0))),"—")</f>
        <v/>
      </c>
      <c r="O25">
        <f t="array" ref="O25">IFERROR(IF(15&gt;COUNTIF('DONNÉES BRUTES'!C$3:C$42,"Consumer Disc."),"",INDEX('DONNÉES BRUTES'!T$3:T$42,MATCH(LARGE(IF('DONNÉES BRUTES'!C$3:C$42="Consumer Disc.",'DONNÉES BRUTES'!AB$3:AB$42+(ROW('DONNÉES BRUTES'!A$3:A$42)-ROW('DONNÉES BRUTES'!A$3))/1000,0),15),IF('DONNÉES BRUTES'!C$3:C$42="Consumer Disc.",'DONNÉES BRUTES'!AB$3:AB$42+(ROW('DONNÉES BRUTES'!A$3:A$42)-ROW('DONNÉES BRUTES'!A$3))/1000,0),0))),"—")</f>
        <v/>
      </c>
      <c r="P25">
        <f t="array" ref="P25">IFERROR(IF(15&gt;COUNTIF('DONNÉES BRUTES'!C$3:C$42,"Consumer Disc."),"",INDEX('DONNÉES BRUTES'!U$3:U$42,MATCH(LARGE(IF('DONNÉES BRUTES'!C$3:C$42="Consumer Disc.",'DONNÉES BRUTES'!AB$3:AB$42+(ROW('DONNÉES BRUTES'!A$3:A$42)-ROW('DONNÉES BRUTES'!A$3))/1000,0),15),IF('DONNÉES BRUTES'!C$3:C$42="Consumer Disc.",'DONNÉES BRUTES'!AB$3:AB$42+(ROW('DONNÉES BRUTES'!A$3:A$42)-ROW('DONNÉES BRUTES'!A$3))/1000,0),0))),"—")</f>
        <v/>
      </c>
      <c r="Q25">
        <f t="array" ref="Q25">IFERROR(IF(15&gt;COUNTIF('DONNÉES BRUTES'!C$3:C$42,"Consumer Disc."),"",INDEX('DONNÉES BRUTES'!AD$3:AD$42,MATCH(LARGE(IF('DONNÉES BRUTES'!C$3:C$42="Consumer Disc.",'DONNÉES BRUTES'!AB$3:AB$42+(ROW('DONNÉES BRUTES'!A$3:A$42)-ROW('DONNÉES BRUTES'!A$3))/1000,0),15),IF('DONNÉES BRUTES'!C$3:C$42="Consumer Disc.",'DONNÉES BRUTES'!AB$3:AB$42+(ROW('DONNÉES BRUTES'!A$3:A$42)-ROW('DONNÉES BRUTES'!A$3))/1000,0),0))),"—")</f>
        <v/>
      </c>
    </row>
    <row r="26" ht="15.95" customHeight="1"/>
    <row r="27" ht="15.95" customHeight="1"/>
    <row r="28" ht="15.95" customHeight="1">
      <c r="S28" s="235" t="inlineStr">
        <is>
          <t>Société</t>
        </is>
      </c>
      <c r="T28" s="235" t="inlineStr">
        <is>
          <t>Score</t>
        </is>
      </c>
      <c r="U28" s="235" t="inlineStr">
        <is>
          <t>Growth</t>
        </is>
      </c>
      <c r="V28" s="235" t="inlineStr">
        <is>
          <t>Quality</t>
        </is>
      </c>
      <c r="W28" s="235" t="inlineStr">
        <is>
          <t>Momentum</t>
        </is>
      </c>
      <c r="X28" s="235" t="n"/>
      <c r="Y28" s="235" t="inlineStr">
        <is>
          <t>Société</t>
        </is>
      </c>
      <c r="Z28" s="235" t="inlineStr">
        <is>
          <t>Growth</t>
        </is>
      </c>
      <c r="AA28" s="235" t="inlineStr">
        <is>
          <t>Quality</t>
        </is>
      </c>
      <c r="AB28" s="235" t="inlineStr">
        <is>
          <t>Momentum</t>
        </is>
      </c>
    </row>
    <row r="29" ht="15.95" customHeight="1">
      <c r="S29" s="235">
        <f>IF(D11="","",LEFT(D11,14))</f>
        <v/>
      </c>
      <c r="T29" s="235">
        <f>IF(E11="","",IFERROR(VALUE(LEFT(E11,FIND("/",E11)-1)),0))</f>
        <v/>
      </c>
      <c r="U29" s="235">
        <f>IF(ISNUMBER(F11),F11,0)</f>
        <v/>
      </c>
      <c r="V29" s="235">
        <f>IF(ISNUMBER(G11),G11,0)</f>
        <v/>
      </c>
      <c r="W29" s="235">
        <f>IF(ISNUMBER(H11),H11,0)</f>
        <v/>
      </c>
      <c r="X29" s="235">
        <f>IF(ISNUMBER(F11),F11,"")</f>
        <v/>
      </c>
      <c r="Y29" s="235">
        <f>IF(ISNUMBER(G11),G11,"")</f>
        <v/>
      </c>
      <c r="Z29" s="235">
        <f>IF(ISNUMBER(H11),H11,"")</f>
        <v/>
      </c>
      <c r="AA29" s="235" t="n">
        <v>100</v>
      </c>
      <c r="AB29" s="235" t="n">
        <v>74</v>
      </c>
    </row>
    <row r="30" ht="15.95" customHeight="1">
      <c r="S30" s="235">
        <f>IF(D12="","",LEFT(D12,14))</f>
        <v/>
      </c>
      <c r="T30" s="235">
        <f>IF(E12="","",IFERROR(VALUE(LEFT(E12,FIND("/",E12)-1)),0))</f>
        <v/>
      </c>
      <c r="U30" s="235">
        <f>IF(ISNUMBER(F12),F12,0)</f>
        <v/>
      </c>
      <c r="V30" s="235">
        <f>IF(ISNUMBER(G12),G12,0)</f>
        <v/>
      </c>
      <c r="W30" s="235">
        <f>IF(ISNUMBER(H12),H12,0)</f>
        <v/>
      </c>
      <c r="X30" s="235">
        <f>IF(ISNUMBER(F12),F12,"")</f>
        <v/>
      </c>
      <c r="Y30" s="235">
        <f>IF(ISNUMBER(G12),G12,"")</f>
        <v/>
      </c>
      <c r="Z30" s="235">
        <f>IF(ISNUMBER(H12),H12,"")</f>
        <v/>
      </c>
      <c r="AA30" s="235" t="n">
        <v>36</v>
      </c>
      <c r="AB30" s="235" t="n">
        <v>87</v>
      </c>
    </row>
    <row r="31" ht="15.95" customHeight="1">
      <c r="S31" s="235">
        <f>IF(D13="","",LEFT(D13,14))</f>
        <v/>
      </c>
      <c r="T31" s="235">
        <f>IF(E13="","",IFERROR(VALUE(LEFT(E13,FIND("/",E13)-1)),0))</f>
        <v/>
      </c>
      <c r="U31" s="235">
        <f>IF(ISNUMBER(F13),F13,0)</f>
        <v/>
      </c>
      <c r="V31" s="235">
        <f>IF(ISNUMBER(G13),G13,0)</f>
        <v/>
      </c>
      <c r="W31" s="235">
        <f>IF(ISNUMBER(H13),H13,0)</f>
        <v/>
      </c>
      <c r="X31" s="235">
        <f>IF(ISNUMBER(F13),F13,"")</f>
        <v/>
      </c>
      <c r="Y31" s="235">
        <f>IF(ISNUMBER(G13),G13,"")</f>
        <v/>
      </c>
      <c r="Z31" s="235">
        <f>IF(ISNUMBER(H13),H13,"")</f>
        <v/>
      </c>
      <c r="AA31" s="235" t="n">
        <v>44</v>
      </c>
      <c r="AB31" s="235" t="n">
        <v>0</v>
      </c>
    </row>
    <row r="32">
      <c r="S32" s="235">
        <f>IF(D14="","",LEFT(D14,14))</f>
        <v/>
      </c>
      <c r="T32" s="235">
        <f>IF(E14="","",IFERROR(VALUE(LEFT(E14,FIND("/",E14)-1)),0))</f>
        <v/>
      </c>
      <c r="U32" s="235">
        <f>IF(ISNUMBER(F14),F14,0)</f>
        <v/>
      </c>
      <c r="V32" s="235">
        <f>IF(ISNUMBER(G14),G14,0)</f>
        <v/>
      </c>
      <c r="W32" s="235">
        <f>IF(ISNUMBER(H14),H14,0)</f>
        <v/>
      </c>
      <c r="X32" s="235">
        <f>IF(ISNUMBER(F14),F14,"")</f>
        <v/>
      </c>
      <c r="Y32" s="235">
        <f>IF(ISNUMBER(G14),G14,"")</f>
        <v/>
      </c>
      <c r="Z32" s="235">
        <f>IF(ISNUMBER(H14),H14,"")</f>
        <v/>
      </c>
      <c r="AA32" s="235" t="n">
        <v>0</v>
      </c>
      <c r="AB32" s="235" t="n">
        <v>5</v>
      </c>
    </row>
  </sheetData>
  <mergeCells count="3">
    <mergeCell ref="B2:Q2"/>
    <mergeCell ref="B1:Q1"/>
    <mergeCell ref="B8:Q8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AB32"/>
  <sheetViews>
    <sheetView showGridLines="0" zoomScale="97" workbookViewId="0">
      <selection activeCell="B14" sqref="B14"/>
    </sheetView>
  </sheetViews>
  <sheetFormatPr baseColWidth="10" defaultColWidth="8.85546875" defaultRowHeight="15"/>
  <cols>
    <col width="1.5703125" customWidth="1" min="1" max="1"/>
    <col width="5.28515625" customWidth="1" min="2" max="2"/>
    <col width="10.42578125" customWidth="1" min="3" max="3"/>
    <col width="21.85546875" customWidth="1" min="4" max="4"/>
    <col width="10.42578125" customWidth="1" min="5" max="5"/>
    <col width="5.28515625" customWidth="1" min="6" max="8"/>
    <col width="8" customWidth="1" min="9" max="10"/>
    <col width="7.28515625" customWidth="1" min="11" max="11"/>
    <col width="8" customWidth="1" min="12" max="13"/>
    <col width="6.42578125" customWidth="1" min="14" max="14"/>
    <col width="7.28515625" customWidth="1" min="15" max="15"/>
    <col width="6.42578125" customWidth="1" min="16" max="16"/>
    <col width="14.140625" bestFit="1" customWidth="1" min="17" max="17"/>
  </cols>
  <sheetData>
    <row r="1" ht="30" customHeight="1">
      <c r="B1" s="273">
        <f>"FinSight IA  ·  Financials  ·  CAC 40  ·  "&amp;COUNTIF('DONNÉES BRUTES'!C$3:C$42,"Financials")&amp;" sociétés  ·  22/03/2026"</f>
        <v/>
      </c>
    </row>
    <row r="2" ht="18" customHeight="1">
      <c r="B2" s="276" t="inlineStr">
        <is>
          <t>Zoom sectoriel  ·  Ratios clés  ·  Score FinSight  ·  Usage confidentiel</t>
        </is>
      </c>
    </row>
    <row r="3" ht="8.1" customHeight="1"/>
    <row r="4" ht="8.1" customHeight="1"/>
    <row r="5" ht="39.95" customHeight="1">
      <c r="B5" s="256" t="n"/>
      <c r="C5" s="246">
        <f>COUNTIF('DONNÉES BRUTES'!C$3:C$42,"Financials")</f>
        <v/>
      </c>
      <c r="D5" s="256" t="n"/>
      <c r="E5" s="282">
        <f>ROUND(AVERAGEIF('DONNÉES BRUTES'!C$3:C$42,"Financials",'DONNÉES BRUTES'!AB$3:AB$42),0)&amp;"/100"</f>
        <v/>
      </c>
      <c r="F5" s="282" t="n"/>
      <c r="G5" s="282" t="n"/>
      <c r="H5" s="249">
        <f t="array" ref="H5">IFERROR(INDEX('DONNÉES BRUTES'!B$3:B$42,MATCH(LARGE(IF('DONNÉES BRUTES'!C$3:C$42="Financials",'DONNÉES BRUTES'!AB$3:AB$42+(ROW('DONNÉES BRUTES'!A$3:A$42)-ROW('DONNÉES BRUTES'!A$3))/1000,0),1),IF('DONNÉES BRUTES'!C$3:C$42="Financials",'DONNÉES BRUTES'!AB$3:AB$42+(ROW('DONNÉES BRUTES'!A$3:A$42)-ROW('DONNÉES BRUTES'!A$3))/1000,0),0)),"—")</f>
        <v/>
      </c>
      <c r="I5" s="282" t="n"/>
      <c r="J5" s="282" t="n"/>
      <c r="K5" s="256" t="n"/>
      <c r="L5" s="251">
        <f>IFERROR(VLOOKUP("Financials",'SECTOR OVERVIEW'!B$8:G$19,6,0),"—")</f>
        <v/>
      </c>
      <c r="M5" s="256" t="n"/>
      <c r="N5" s="252">
        <f t="array" ref="N5">IFERROR(ROUND(MEDIAN(IF('DONNÉES BRUTES'!C$3:C$42="Financials",IF(ISNUMBER('DONNÉES BRUTES'!Y$3:Y$42),'DONNÉES BRUTES'!Y$3:Y$42))),0),"—")</f>
        <v/>
      </c>
      <c r="O5" s="256" t="n"/>
      <c r="P5" s="284">
        <f>IF(COUNTIFS('DONNÉES BRUTES'!C$3:C$42,"Financials",'DONNÉES BRUTES'!AD$3:AD$42,"Surpondérer")&gt;0,"Surpondérer",IF(COUNTIFS('DONNÉES BRUTES'!C$3:C$42,"Financials",'DONNÉES BRUTES'!AD$3:AD$42,"Neutre")&gt;=COUNTIFS('DONNÉES BRUTES'!C$3:C$42,"Financials",'DONNÉES BRUTES'!AD$3:AD$42,"Sous-pondérer"),"Neutre","Sous-pondérer"))</f>
        <v/>
      </c>
      <c r="Q5" s="282" t="n"/>
    </row>
    <row r="6" ht="15.95" customHeight="1">
      <c r="B6" s="256" t="n"/>
      <c r="C6" s="248" t="inlineStr">
        <is>
          <t>Sociétés</t>
        </is>
      </c>
      <c r="D6" s="248" t="n"/>
      <c r="E6" s="247" t="inlineStr">
        <is>
          <t>Score moyen</t>
        </is>
      </c>
      <c r="F6" s="247" t="n"/>
      <c r="G6" s="247" t="n"/>
      <c r="H6" s="250" t="inlineStr">
        <is>
          <t>Meilleure société</t>
        </is>
      </c>
      <c r="I6" s="247" t="n"/>
      <c r="J6" s="247" t="n"/>
      <c r="K6" s="256" t="n"/>
      <c r="L6" s="248" t="inlineStr">
        <is>
          <t>Mg. EBITDA Méd.</t>
        </is>
      </c>
      <c r="M6" s="256" t="n"/>
      <c r="N6" s="248" t="inlineStr">
        <is>
          <t>Score Growth Méd.</t>
        </is>
      </c>
      <c r="O6" s="256" t="n"/>
      <c r="P6" s="248" t="inlineStr">
        <is>
          <t>Signal</t>
        </is>
      </c>
      <c r="Q6" s="247" t="n"/>
    </row>
    <row r="7" ht="8.1" customHeight="1"/>
    <row r="8" ht="21.95" customHeight="1">
      <c r="B8" s="275">
        <f>"ANALYSE DÉTAILLÉE  ·  "&amp;UPPER("Financials")&amp;"  ·  "&amp;COUNTIF('DONNÉES BRUTES'!C$3:C$42,"Financials")&amp;" sociétés  ·  Triée par Score Global"</f>
        <v/>
      </c>
    </row>
    <row r="9" ht="6" customHeight="1"/>
    <row r="10" ht="20.1" customHeight="1">
      <c r="B10" s="257" t="inlineStr">
        <is>
          <t>#</t>
        </is>
      </c>
      <c r="C10" s="258" t="inlineStr">
        <is>
          <t>Ticker</t>
        </is>
      </c>
      <c r="D10" s="258" t="inlineStr">
        <is>
          <t>Société</t>
        </is>
      </c>
      <c r="E10" s="257" t="inlineStr">
        <is>
          <t>Score</t>
        </is>
      </c>
      <c r="F10" s="257" t="inlineStr">
        <is>
          <t>Gr.</t>
        </is>
      </c>
      <c r="G10" s="257" t="inlineStr">
        <is>
          <t>Qual.</t>
        </is>
      </c>
      <c r="H10" s="257" t="inlineStr">
        <is>
          <t>Mom.</t>
        </is>
      </c>
      <c r="I10" s="257" t="inlineStr">
        <is>
          <t>Mg. Brute</t>
        </is>
      </c>
      <c r="J10" s="257" t="inlineStr">
        <is>
          <t>Mg. EBITDA</t>
        </is>
      </c>
      <c r="K10" s="257" t="inlineStr">
        <is>
          <t>Mg. Nette</t>
        </is>
      </c>
      <c r="L10" s="257" t="inlineStr">
        <is>
          <t>Croiss. Rev.</t>
        </is>
      </c>
      <c r="M10" s="257" t="inlineStr">
        <is>
          <t>ROE</t>
        </is>
      </c>
      <c r="N10" s="257" t="inlineStr">
        <is>
          <t>Curr. R.</t>
        </is>
      </c>
      <c r="O10" s="257" t="inlineStr">
        <is>
          <t>ND/EBITDA</t>
        </is>
      </c>
      <c r="P10" s="257" t="inlineStr">
        <is>
          <t>Altman Z</t>
        </is>
      </c>
      <c r="Q10" s="257" t="inlineStr">
        <is>
          <t>Signal</t>
        </is>
      </c>
    </row>
    <row r="11" ht="18" customHeight="1">
      <c r="B11">
        <f>IF(1&gt;COUNTIF('DONNÉES BRUTES'!C$3:C$42,"Financials"),"",1)</f>
        <v/>
      </c>
      <c r="C11">
        <f t="array" ref="C11">IFERROR(IF(1&gt;COUNTIF('DONNÉES BRUTES'!C$3:C$42,"Financials"),"",INDEX('DONNÉES BRUTES'!A$3:A$42,MATCH(LARGE(IF('DONNÉES BRUTES'!C$3:C$42="Financials",'DONNÉES BRUTES'!AB$3:AB$42+(ROW('DONNÉES BRUTES'!A$3:A$42)-ROW('DONNÉES BRUTES'!A$3))/1000,0),1),IF('DONNÉES BRUTES'!C$3:C$42="Financials",'DONNÉES BRUTES'!AB$3:AB$42+(ROW('DONNÉES BRUTES'!A$3:A$42)-ROW('DONNÉES BRUTES'!A$3))/1000,0),0))),"—")</f>
        <v/>
      </c>
      <c r="D11">
        <f t="array" ref="D11">IFERROR(IF(1&gt;COUNTIF('DONNÉES BRUTES'!C$3:C$42,"Financials"),"",INDEX('DONNÉES BRUTES'!B$3:B$42,MATCH(LARGE(IF('DONNÉES BRUTES'!C$3:C$42="Financials",'DONNÉES BRUTES'!AB$3:AB$42+(ROW('DONNÉES BRUTES'!A$3:A$42)-ROW('DONNÉES BRUTES'!A$3))/1000,0),1),IF('DONNÉES BRUTES'!C$3:C$42="Financials",'DONNÉES BRUTES'!AB$3:AB$42+(ROW('DONNÉES BRUTES'!A$3:A$42)-ROW('DONNÉES BRUTES'!A$3))/1000,0),0))),"—")</f>
        <v/>
      </c>
      <c r="E11">
        <f t="array" ref="E11">IFERROR(IF(1&gt;COUNTIF('DONNÉES BRUTES'!C$3:C$42,"Financials"),"",INT(LARGE(IF('DONNÉES BRUTES'!C$3:C$42="Financials",'DONNÉES BRUTES'!AB$3:AB$42+(ROW('DONNÉES BRUTES'!A$3:A$42)-ROW('DONNÉES BRUTES'!A$3))/1000,0),1))&amp;"/100"),"—")</f>
        <v/>
      </c>
      <c r="F11">
        <f t="array" ref="F11">IFERROR(IF(1&gt;COUNTIF('DONNÉES BRUTES'!C$3:C$42,"Financials"),"",INDEX('DONNÉES BRUTES'!Y$3:Y$42,MATCH(LARGE(IF('DONNÉES BRUTES'!C$3:C$42="Financials",'DONNÉES BRUTES'!AB$3:AB$42+(ROW('DONNÉES BRUTES'!A$3:A$42)-ROW('DONNÉES BRUTES'!A$3))/1000,0),1),IF('DONNÉES BRUTES'!C$3:C$42="Financials",'DONNÉES BRUTES'!AB$3:AB$42+(ROW('DONNÉES BRUTES'!A$3:A$42)-ROW('DONNÉES BRUTES'!A$3))/1000,0),0))),"—")</f>
        <v/>
      </c>
      <c r="G11">
        <f t="array" ref="G11">IFERROR(IF(1&gt;COUNTIF('DONNÉES BRUTES'!C$3:C$42,"Financials"),"",INDEX('DONNÉES BRUTES'!Z$3:Z$42,MATCH(LARGE(IF('DONNÉES BRUTES'!C$3:C$42="Financials",'DONNÉES BRUTES'!AB$3:AB$42+(ROW('DONNÉES BRUTES'!A$3:A$42)-ROW('DONNÉES BRUTES'!A$3))/1000,0),1),IF('DONNÉES BRUTES'!C$3:C$42="Financials",'DONNÉES BRUTES'!AB$3:AB$42+(ROW('DONNÉES BRUTES'!A$3:A$42)-ROW('DONNÉES BRUTES'!A$3))/1000,0),0))),"—")</f>
        <v/>
      </c>
      <c r="H11">
        <f t="array" ref="H11">IFERROR(IF(1&gt;COUNTIF('DONNÉES BRUTES'!C$3:C$42,"Financials"),"",INDEX('DONNÉES BRUTES'!AA$3:AA$42,MATCH(LARGE(IF('DONNÉES BRUTES'!C$3:C$42="Financials",'DONNÉES BRUTES'!AB$3:AB$42+(ROW('DONNÉES BRUTES'!A$3:A$42)-ROW('DONNÉES BRUTES'!A$3))/1000,0),1),IF('DONNÉES BRUTES'!C$3:C$42="Financials",'DONNÉES BRUTES'!AB$3:AB$42+(ROW('DONNÉES BRUTES'!A$3:A$42)-ROW('DONNÉES BRUTES'!A$3))/1000,0),0))),"—")</f>
        <v/>
      </c>
      <c r="I11">
        <f t="array" ref="I11">IFERROR(IF(1&gt;COUNTIF('DONNÉES BRUTES'!C$3:C$42,"Financials"),"",INDEX('DONNÉES BRUTES'!M$3:M$42,MATCH(LARGE(IF('DONNÉES BRUTES'!C$3:C$42="Financials",'DONNÉES BRUTES'!AB$3:AB$42+(ROW('DONNÉES BRUTES'!A$3:A$42)-ROW('DONNÉES BRUTES'!A$3))/1000,0),1),IF('DONNÉES BRUTES'!C$3:C$42="Financials",'DONNÉES BRUTES'!AB$3:AB$42+(ROW('DONNÉES BRUTES'!A$3:A$42)-ROW('DONNÉES BRUTES'!A$3))/1000,0),0))),"—")</f>
        <v/>
      </c>
      <c r="J11">
        <f t="array" ref="J11">IFERROR(IF(1&gt;COUNTIF('DONNÉES BRUTES'!C$3:C$42,"Financials"),"",INDEX('DONNÉES BRUTES'!N$3:N$42,MATCH(LARGE(IF('DONNÉES BRUTES'!C$3:C$42="Financials",'DONNÉES BRUTES'!AB$3:AB$42+(ROW('DONNÉES BRUTES'!A$3:A$42)-ROW('DONNÉES BRUTES'!A$3))/1000,0),1),IF('DONNÉES BRUTES'!C$3:C$42="Financials",'DONNÉES BRUTES'!AB$3:AB$42+(ROW('DONNÉES BRUTES'!A$3:A$42)-ROW('DONNÉES BRUTES'!A$3))/1000,0),0))),"—")</f>
        <v/>
      </c>
      <c r="K11">
        <f t="array" ref="K11">IFERROR(IF(1&gt;COUNTIF('DONNÉES BRUTES'!C$3:C$42,"Financials"),"",INDEX('DONNÉES BRUTES'!O$3:O$42,MATCH(LARGE(IF('DONNÉES BRUTES'!C$3:C$42="Financials",'DONNÉES BRUTES'!AB$3:AB$42+(ROW('DONNÉES BRUTES'!A$3:A$42)-ROW('DONNÉES BRUTES'!A$3))/1000,0),1),IF('DONNÉES BRUTES'!C$3:C$42="Financials",'DONNÉES BRUTES'!AB$3:AB$42+(ROW('DONNÉES BRUTES'!A$3:A$42)-ROW('DONNÉES BRUTES'!A$3))/1000,0),0))),"—")</f>
        <v/>
      </c>
      <c r="L11">
        <f t="array" ref="L11">IFERROR(IF(1&gt;COUNTIF('DONNÉES BRUTES'!C$3:C$42,"Financials"),"",INDEX('DONNÉES BRUTES'!P$3:P$42,MATCH(LARGE(IF('DONNÉES BRUTES'!C$3:C$42="Financials",'DONNÉES BRUTES'!AB$3:AB$42+(ROW('DONNÉES BRUTES'!A$3:A$42)-ROW('DONNÉES BRUTES'!A$3))/1000,0),1),IF('DONNÉES BRUTES'!C$3:C$42="Financials",'DONNÉES BRUTES'!AB$3:AB$42+(ROW('DONNÉES BRUTES'!A$3:A$42)-ROW('DONNÉES BRUTES'!A$3))/1000,0),0))),"—")</f>
        <v/>
      </c>
      <c r="M11">
        <f t="array" ref="M11">IFERROR(IF(1&gt;COUNTIF('DONNÉES BRUTES'!C$3:C$42,"Financials"),"",INDEX('DONNÉES BRUTES'!Q$3:Q$42,MATCH(LARGE(IF('DONNÉES BRUTES'!C$3:C$42="Financials",'DONNÉES BRUTES'!AB$3:AB$42+(ROW('DONNÉES BRUTES'!A$3:A$42)-ROW('DONNÉES BRUTES'!A$3))/1000,0),1),IF('DONNÉES BRUTES'!C$3:C$42="Financials",'DONNÉES BRUTES'!AB$3:AB$42+(ROW('DONNÉES BRUTES'!A$3:A$42)-ROW('DONNÉES BRUTES'!A$3))/1000,0),0))),"—")</f>
        <v/>
      </c>
      <c r="N11">
        <f t="array" ref="N11">IFERROR(IF(1&gt;COUNTIF('DONNÉES BRUTES'!C$3:C$42,"Financials"),"",INDEX('DONNÉES BRUTES'!S$3:S$42,MATCH(LARGE(IF('DONNÉES BRUTES'!C$3:C$42="Financials",'DONNÉES BRUTES'!AB$3:AB$42+(ROW('DONNÉES BRUTES'!A$3:A$42)-ROW('DONNÉES BRUTES'!A$3))/1000,0),1),IF('DONNÉES BRUTES'!C$3:C$42="Financials",'DONNÉES BRUTES'!AB$3:AB$42+(ROW('DONNÉES BRUTES'!A$3:A$42)-ROW('DONNÉES BRUTES'!A$3))/1000,0),0))),"—")</f>
        <v/>
      </c>
      <c r="O11">
        <f t="array" ref="O11">IFERROR(IF(1&gt;COUNTIF('DONNÉES BRUTES'!C$3:C$42,"Financials"),"",INDEX('DONNÉES BRUTES'!T$3:T$42,MATCH(LARGE(IF('DONNÉES BRUTES'!C$3:C$42="Financials",'DONNÉES BRUTES'!AB$3:AB$42+(ROW('DONNÉES BRUTES'!A$3:A$42)-ROW('DONNÉES BRUTES'!A$3))/1000,0),1),IF('DONNÉES BRUTES'!C$3:C$42="Financials",'DONNÉES BRUTES'!AB$3:AB$42+(ROW('DONNÉES BRUTES'!A$3:A$42)-ROW('DONNÉES BRUTES'!A$3))/1000,0),0))),"—")</f>
        <v/>
      </c>
      <c r="P11">
        <f t="array" ref="P11">IFERROR(IF(1&gt;COUNTIF('DONNÉES BRUTES'!C$3:C$42,"Financials"),"",INDEX('DONNÉES BRUTES'!U$3:U$42,MATCH(LARGE(IF('DONNÉES BRUTES'!C$3:C$42="Financials",'DONNÉES BRUTES'!AB$3:AB$42+(ROW('DONNÉES BRUTES'!A$3:A$42)-ROW('DONNÉES BRUTES'!A$3))/1000,0),1),IF('DONNÉES BRUTES'!C$3:C$42="Financials",'DONNÉES BRUTES'!AB$3:AB$42+(ROW('DONNÉES BRUTES'!A$3:A$42)-ROW('DONNÉES BRUTES'!A$3))/1000,0),0))),"—")</f>
        <v/>
      </c>
      <c r="Q11">
        <f t="array" ref="Q11">IFERROR(IF(1&gt;COUNTIF('DONNÉES BRUTES'!C$3:C$42,"Financials"),"",INDEX('DONNÉES BRUTES'!AD$3:AD$42,MATCH(LARGE(IF('DONNÉES BRUTES'!C$3:C$42="Financials",'DONNÉES BRUTES'!AB$3:AB$42+(ROW('DONNÉES BRUTES'!A$3:A$42)-ROW('DONNÉES BRUTES'!A$3))/1000,0),1),IF('DONNÉES BRUTES'!C$3:C$42="Financials",'DONNÉES BRUTES'!AB$3:AB$42+(ROW('DONNÉES BRUTES'!A$3:A$42)-ROW('DONNÉES BRUTES'!A$3))/1000,0),0))),"—")</f>
        <v/>
      </c>
    </row>
    <row r="12" ht="15.95" customHeight="1">
      <c r="B12">
        <f>IF(2&gt;COUNTIF('DONNÉES BRUTES'!C$3:C$42,"Financials"),"",2)</f>
        <v/>
      </c>
      <c r="C12">
        <f t="array" ref="C12">IFERROR(IF(2&gt;COUNTIF('DONNÉES BRUTES'!C$3:C$42,"Financials"),"",INDEX('DONNÉES BRUTES'!A$3:A$42,MATCH(LARGE(IF('DONNÉES BRUTES'!C$3:C$42="Financials",'DONNÉES BRUTES'!AB$3:AB$42+(ROW('DONNÉES BRUTES'!A$3:A$42)-ROW('DONNÉES BRUTES'!A$3))/1000,0),2),IF('DONNÉES BRUTES'!C$3:C$42="Financials",'DONNÉES BRUTES'!AB$3:AB$42+(ROW('DONNÉES BRUTES'!A$3:A$42)-ROW('DONNÉES BRUTES'!A$3))/1000,0),0))),"—")</f>
        <v/>
      </c>
      <c r="D12">
        <f t="array" ref="D12">IFERROR(IF(2&gt;COUNTIF('DONNÉES BRUTES'!C$3:C$42,"Financials"),"",INDEX('DONNÉES BRUTES'!B$3:B$42,MATCH(LARGE(IF('DONNÉES BRUTES'!C$3:C$42="Financials",'DONNÉES BRUTES'!AB$3:AB$42+(ROW('DONNÉES BRUTES'!A$3:A$42)-ROW('DONNÉES BRUTES'!A$3))/1000,0),2),IF('DONNÉES BRUTES'!C$3:C$42="Financials",'DONNÉES BRUTES'!AB$3:AB$42+(ROW('DONNÉES BRUTES'!A$3:A$42)-ROW('DONNÉES BRUTES'!A$3))/1000,0),0))),"—")</f>
        <v/>
      </c>
      <c r="E12">
        <f t="array" ref="E12">IFERROR(IF(2&gt;COUNTIF('DONNÉES BRUTES'!C$3:C$42,"Financials"),"",INT(LARGE(IF('DONNÉES BRUTES'!C$3:C$42="Financials",'DONNÉES BRUTES'!AB$3:AB$42+(ROW('DONNÉES BRUTES'!A$3:A$42)-ROW('DONNÉES BRUTES'!A$3))/1000,0),2))&amp;"/100"),"—")</f>
        <v/>
      </c>
      <c r="F12">
        <f t="array" ref="F12">IFERROR(IF(2&gt;COUNTIF('DONNÉES BRUTES'!C$3:C$42,"Financials"),"",INDEX('DONNÉES BRUTES'!Y$3:Y$42,MATCH(LARGE(IF('DONNÉES BRUTES'!C$3:C$42="Financials",'DONNÉES BRUTES'!AB$3:AB$42+(ROW('DONNÉES BRUTES'!A$3:A$42)-ROW('DONNÉES BRUTES'!A$3))/1000,0),2),IF('DONNÉES BRUTES'!C$3:C$42="Financials",'DONNÉES BRUTES'!AB$3:AB$42+(ROW('DONNÉES BRUTES'!A$3:A$42)-ROW('DONNÉES BRUTES'!A$3))/1000,0),0))),"—")</f>
        <v/>
      </c>
      <c r="G12">
        <f t="array" ref="G12">IFERROR(IF(2&gt;COUNTIF('DONNÉES BRUTES'!C$3:C$42,"Financials"),"",INDEX('DONNÉES BRUTES'!Z$3:Z$42,MATCH(LARGE(IF('DONNÉES BRUTES'!C$3:C$42="Financials",'DONNÉES BRUTES'!AB$3:AB$42+(ROW('DONNÉES BRUTES'!A$3:A$42)-ROW('DONNÉES BRUTES'!A$3))/1000,0),2),IF('DONNÉES BRUTES'!C$3:C$42="Financials",'DONNÉES BRUTES'!AB$3:AB$42+(ROW('DONNÉES BRUTES'!A$3:A$42)-ROW('DONNÉES BRUTES'!A$3))/1000,0),0))),"—")</f>
        <v/>
      </c>
      <c r="H12">
        <f t="array" ref="H12">IFERROR(IF(2&gt;COUNTIF('DONNÉES BRUTES'!C$3:C$42,"Financials"),"",INDEX('DONNÉES BRUTES'!AA$3:AA$42,MATCH(LARGE(IF('DONNÉES BRUTES'!C$3:C$42="Financials",'DONNÉES BRUTES'!AB$3:AB$42+(ROW('DONNÉES BRUTES'!A$3:A$42)-ROW('DONNÉES BRUTES'!A$3))/1000,0),2),IF('DONNÉES BRUTES'!C$3:C$42="Financials",'DONNÉES BRUTES'!AB$3:AB$42+(ROW('DONNÉES BRUTES'!A$3:A$42)-ROW('DONNÉES BRUTES'!A$3))/1000,0),0))),"—")</f>
        <v/>
      </c>
      <c r="I12">
        <f t="array" ref="I12">IFERROR(IF(2&gt;COUNTIF('DONNÉES BRUTES'!C$3:C$42,"Financials"),"",INDEX('DONNÉES BRUTES'!M$3:M$42,MATCH(LARGE(IF('DONNÉES BRUTES'!C$3:C$42="Financials",'DONNÉES BRUTES'!AB$3:AB$42+(ROW('DONNÉES BRUTES'!A$3:A$42)-ROW('DONNÉES BRUTES'!A$3))/1000,0),2),IF('DONNÉES BRUTES'!C$3:C$42="Financials",'DONNÉES BRUTES'!AB$3:AB$42+(ROW('DONNÉES BRUTES'!A$3:A$42)-ROW('DONNÉES BRUTES'!A$3))/1000,0),0))),"—")</f>
        <v/>
      </c>
      <c r="J12">
        <f t="array" ref="J12">IFERROR(IF(2&gt;COUNTIF('DONNÉES BRUTES'!C$3:C$42,"Financials"),"",INDEX('DONNÉES BRUTES'!N$3:N$42,MATCH(LARGE(IF('DONNÉES BRUTES'!C$3:C$42="Financials",'DONNÉES BRUTES'!AB$3:AB$42+(ROW('DONNÉES BRUTES'!A$3:A$42)-ROW('DONNÉES BRUTES'!A$3))/1000,0),2),IF('DONNÉES BRUTES'!C$3:C$42="Financials",'DONNÉES BRUTES'!AB$3:AB$42+(ROW('DONNÉES BRUTES'!A$3:A$42)-ROW('DONNÉES BRUTES'!A$3))/1000,0),0))),"—")</f>
        <v/>
      </c>
      <c r="K12">
        <f t="array" ref="K12">IFERROR(IF(2&gt;COUNTIF('DONNÉES BRUTES'!C$3:C$42,"Financials"),"",INDEX('DONNÉES BRUTES'!O$3:O$42,MATCH(LARGE(IF('DONNÉES BRUTES'!C$3:C$42="Financials",'DONNÉES BRUTES'!AB$3:AB$42+(ROW('DONNÉES BRUTES'!A$3:A$42)-ROW('DONNÉES BRUTES'!A$3))/1000,0),2),IF('DONNÉES BRUTES'!C$3:C$42="Financials",'DONNÉES BRUTES'!AB$3:AB$42+(ROW('DONNÉES BRUTES'!A$3:A$42)-ROW('DONNÉES BRUTES'!A$3))/1000,0),0))),"—")</f>
        <v/>
      </c>
      <c r="L12">
        <f t="array" ref="L12">IFERROR(IF(2&gt;COUNTIF('DONNÉES BRUTES'!C$3:C$42,"Financials"),"",INDEX('DONNÉES BRUTES'!P$3:P$42,MATCH(LARGE(IF('DONNÉES BRUTES'!C$3:C$42="Financials",'DONNÉES BRUTES'!AB$3:AB$42+(ROW('DONNÉES BRUTES'!A$3:A$42)-ROW('DONNÉES BRUTES'!A$3))/1000,0),2),IF('DONNÉES BRUTES'!C$3:C$42="Financials",'DONNÉES BRUTES'!AB$3:AB$42+(ROW('DONNÉES BRUTES'!A$3:A$42)-ROW('DONNÉES BRUTES'!A$3))/1000,0),0))),"—")</f>
        <v/>
      </c>
      <c r="M12">
        <f t="array" ref="M12">IFERROR(IF(2&gt;COUNTIF('DONNÉES BRUTES'!C$3:C$42,"Financials"),"",INDEX('DONNÉES BRUTES'!Q$3:Q$42,MATCH(LARGE(IF('DONNÉES BRUTES'!C$3:C$42="Financials",'DONNÉES BRUTES'!AB$3:AB$42+(ROW('DONNÉES BRUTES'!A$3:A$42)-ROW('DONNÉES BRUTES'!A$3))/1000,0),2),IF('DONNÉES BRUTES'!C$3:C$42="Financials",'DONNÉES BRUTES'!AB$3:AB$42+(ROW('DONNÉES BRUTES'!A$3:A$42)-ROW('DONNÉES BRUTES'!A$3))/1000,0),0))),"—")</f>
        <v/>
      </c>
      <c r="N12">
        <f t="array" ref="N12">IFERROR(IF(2&gt;COUNTIF('DONNÉES BRUTES'!C$3:C$42,"Financials"),"",INDEX('DONNÉES BRUTES'!S$3:S$42,MATCH(LARGE(IF('DONNÉES BRUTES'!C$3:C$42="Financials",'DONNÉES BRUTES'!AB$3:AB$42+(ROW('DONNÉES BRUTES'!A$3:A$42)-ROW('DONNÉES BRUTES'!A$3))/1000,0),2),IF('DONNÉES BRUTES'!C$3:C$42="Financials",'DONNÉES BRUTES'!AB$3:AB$42+(ROW('DONNÉES BRUTES'!A$3:A$42)-ROW('DONNÉES BRUTES'!A$3))/1000,0),0))),"—")</f>
        <v/>
      </c>
      <c r="O12">
        <f t="array" ref="O12">IFERROR(IF(2&gt;COUNTIF('DONNÉES BRUTES'!C$3:C$42,"Financials"),"",INDEX('DONNÉES BRUTES'!T$3:T$42,MATCH(LARGE(IF('DONNÉES BRUTES'!C$3:C$42="Financials",'DONNÉES BRUTES'!AB$3:AB$42+(ROW('DONNÉES BRUTES'!A$3:A$42)-ROW('DONNÉES BRUTES'!A$3))/1000,0),2),IF('DONNÉES BRUTES'!C$3:C$42="Financials",'DONNÉES BRUTES'!AB$3:AB$42+(ROW('DONNÉES BRUTES'!A$3:A$42)-ROW('DONNÉES BRUTES'!A$3))/1000,0),0))),"—")</f>
        <v/>
      </c>
      <c r="P12">
        <f t="array" ref="P12">IFERROR(IF(2&gt;COUNTIF('DONNÉES BRUTES'!C$3:C$42,"Financials"),"",INDEX('DONNÉES BRUTES'!U$3:U$42,MATCH(LARGE(IF('DONNÉES BRUTES'!C$3:C$42="Financials",'DONNÉES BRUTES'!AB$3:AB$42+(ROW('DONNÉES BRUTES'!A$3:A$42)-ROW('DONNÉES BRUTES'!A$3))/1000,0),2),IF('DONNÉES BRUTES'!C$3:C$42="Financials",'DONNÉES BRUTES'!AB$3:AB$42+(ROW('DONNÉES BRUTES'!A$3:A$42)-ROW('DONNÉES BRUTES'!A$3))/1000,0),0))),"—")</f>
        <v/>
      </c>
      <c r="Q12">
        <f t="array" ref="Q12">IFERROR(IF(2&gt;COUNTIF('DONNÉES BRUTES'!C$3:C$42,"Financials"),"",INDEX('DONNÉES BRUTES'!AD$3:AD$42,MATCH(LARGE(IF('DONNÉES BRUTES'!C$3:C$42="Financials",'DONNÉES BRUTES'!AB$3:AB$42+(ROW('DONNÉES BRUTES'!A$3:A$42)-ROW('DONNÉES BRUTES'!A$3))/1000,0),2),IF('DONNÉES BRUTES'!C$3:C$42="Financials",'DONNÉES BRUTES'!AB$3:AB$42+(ROW('DONNÉES BRUTES'!A$3:A$42)-ROW('DONNÉES BRUTES'!A$3))/1000,0),0))),"—")</f>
        <v/>
      </c>
    </row>
    <row r="13" ht="15.95" customHeight="1">
      <c r="B13">
        <f>IF(3&gt;COUNTIF('DONNÉES BRUTES'!C$3:C$42,"Financials"),"",3)</f>
        <v/>
      </c>
      <c r="C13">
        <f t="array" ref="C13">IFERROR(IF(3&gt;COUNTIF('DONNÉES BRUTES'!C$3:C$42,"Financials"),"",INDEX('DONNÉES BRUTES'!A$3:A$42,MATCH(LARGE(IF('DONNÉES BRUTES'!C$3:C$42="Financials",'DONNÉES BRUTES'!AB$3:AB$42+(ROW('DONNÉES BRUTES'!A$3:A$42)-ROW('DONNÉES BRUTES'!A$3))/1000,0),3),IF('DONNÉES BRUTES'!C$3:C$42="Financials",'DONNÉES BRUTES'!AB$3:AB$42+(ROW('DONNÉES BRUTES'!A$3:A$42)-ROW('DONNÉES BRUTES'!A$3))/1000,0),0))),"—")</f>
        <v/>
      </c>
      <c r="D13">
        <f t="array" ref="D13">IFERROR(IF(3&gt;COUNTIF('DONNÉES BRUTES'!C$3:C$42,"Financials"),"",INDEX('DONNÉES BRUTES'!B$3:B$42,MATCH(LARGE(IF('DONNÉES BRUTES'!C$3:C$42="Financials",'DONNÉES BRUTES'!AB$3:AB$42+(ROW('DONNÉES BRUTES'!A$3:A$42)-ROW('DONNÉES BRUTES'!A$3))/1000,0),3),IF('DONNÉES BRUTES'!C$3:C$42="Financials",'DONNÉES BRUTES'!AB$3:AB$42+(ROW('DONNÉES BRUTES'!A$3:A$42)-ROW('DONNÉES BRUTES'!A$3))/1000,0),0))),"—")</f>
        <v/>
      </c>
      <c r="E13">
        <f t="array" ref="E13">IFERROR(IF(3&gt;COUNTIF('DONNÉES BRUTES'!C$3:C$42,"Financials"),"",INT(LARGE(IF('DONNÉES BRUTES'!C$3:C$42="Financials",'DONNÉES BRUTES'!AB$3:AB$42+(ROW('DONNÉES BRUTES'!A$3:A$42)-ROW('DONNÉES BRUTES'!A$3))/1000,0),3))&amp;"/100"),"—")</f>
        <v/>
      </c>
      <c r="F13">
        <f t="array" ref="F13">IFERROR(IF(3&gt;COUNTIF('DONNÉES BRUTES'!C$3:C$42,"Financials"),"",INDEX('DONNÉES BRUTES'!Y$3:Y$42,MATCH(LARGE(IF('DONNÉES BRUTES'!C$3:C$42="Financials",'DONNÉES BRUTES'!AB$3:AB$42+(ROW('DONNÉES BRUTES'!A$3:A$42)-ROW('DONNÉES BRUTES'!A$3))/1000,0),3),IF('DONNÉES BRUTES'!C$3:C$42="Financials",'DONNÉES BRUTES'!AB$3:AB$42+(ROW('DONNÉES BRUTES'!A$3:A$42)-ROW('DONNÉES BRUTES'!A$3))/1000,0),0))),"—")</f>
        <v/>
      </c>
      <c r="G13">
        <f t="array" ref="G13">IFERROR(IF(3&gt;COUNTIF('DONNÉES BRUTES'!C$3:C$42,"Financials"),"",INDEX('DONNÉES BRUTES'!Z$3:Z$42,MATCH(LARGE(IF('DONNÉES BRUTES'!C$3:C$42="Financials",'DONNÉES BRUTES'!AB$3:AB$42+(ROW('DONNÉES BRUTES'!A$3:A$42)-ROW('DONNÉES BRUTES'!A$3))/1000,0),3),IF('DONNÉES BRUTES'!C$3:C$42="Financials",'DONNÉES BRUTES'!AB$3:AB$42+(ROW('DONNÉES BRUTES'!A$3:A$42)-ROW('DONNÉES BRUTES'!A$3))/1000,0),0))),"—")</f>
        <v/>
      </c>
      <c r="H13">
        <f t="array" ref="H13">IFERROR(IF(3&gt;COUNTIF('DONNÉES BRUTES'!C$3:C$42,"Financials"),"",INDEX('DONNÉES BRUTES'!AA$3:AA$42,MATCH(LARGE(IF('DONNÉES BRUTES'!C$3:C$42="Financials",'DONNÉES BRUTES'!AB$3:AB$42+(ROW('DONNÉES BRUTES'!A$3:A$42)-ROW('DONNÉES BRUTES'!A$3))/1000,0),3),IF('DONNÉES BRUTES'!C$3:C$42="Financials",'DONNÉES BRUTES'!AB$3:AB$42+(ROW('DONNÉES BRUTES'!A$3:A$42)-ROW('DONNÉES BRUTES'!A$3))/1000,0),0))),"—")</f>
        <v/>
      </c>
      <c r="I13">
        <f t="array" ref="I13">IFERROR(IF(3&gt;COUNTIF('DONNÉES BRUTES'!C$3:C$42,"Financials"),"",INDEX('DONNÉES BRUTES'!M$3:M$42,MATCH(LARGE(IF('DONNÉES BRUTES'!C$3:C$42="Financials",'DONNÉES BRUTES'!AB$3:AB$42+(ROW('DONNÉES BRUTES'!A$3:A$42)-ROW('DONNÉES BRUTES'!A$3))/1000,0),3),IF('DONNÉES BRUTES'!C$3:C$42="Financials",'DONNÉES BRUTES'!AB$3:AB$42+(ROW('DONNÉES BRUTES'!A$3:A$42)-ROW('DONNÉES BRUTES'!A$3))/1000,0),0))),"—")</f>
        <v/>
      </c>
      <c r="J13">
        <f t="array" ref="J13">IFERROR(IF(3&gt;COUNTIF('DONNÉES BRUTES'!C$3:C$42,"Financials"),"",INDEX('DONNÉES BRUTES'!N$3:N$42,MATCH(LARGE(IF('DONNÉES BRUTES'!C$3:C$42="Financials",'DONNÉES BRUTES'!AB$3:AB$42+(ROW('DONNÉES BRUTES'!A$3:A$42)-ROW('DONNÉES BRUTES'!A$3))/1000,0),3),IF('DONNÉES BRUTES'!C$3:C$42="Financials",'DONNÉES BRUTES'!AB$3:AB$42+(ROW('DONNÉES BRUTES'!A$3:A$42)-ROW('DONNÉES BRUTES'!A$3))/1000,0),0))),"—")</f>
        <v/>
      </c>
      <c r="K13">
        <f t="array" ref="K13">IFERROR(IF(3&gt;COUNTIF('DONNÉES BRUTES'!C$3:C$42,"Financials"),"",INDEX('DONNÉES BRUTES'!O$3:O$42,MATCH(LARGE(IF('DONNÉES BRUTES'!C$3:C$42="Financials",'DONNÉES BRUTES'!AB$3:AB$42+(ROW('DONNÉES BRUTES'!A$3:A$42)-ROW('DONNÉES BRUTES'!A$3))/1000,0),3),IF('DONNÉES BRUTES'!C$3:C$42="Financials",'DONNÉES BRUTES'!AB$3:AB$42+(ROW('DONNÉES BRUTES'!A$3:A$42)-ROW('DONNÉES BRUTES'!A$3))/1000,0),0))),"—")</f>
        <v/>
      </c>
      <c r="L13">
        <f t="array" ref="L13">IFERROR(IF(3&gt;COUNTIF('DONNÉES BRUTES'!C$3:C$42,"Financials"),"",INDEX('DONNÉES BRUTES'!P$3:P$42,MATCH(LARGE(IF('DONNÉES BRUTES'!C$3:C$42="Financials",'DONNÉES BRUTES'!AB$3:AB$42+(ROW('DONNÉES BRUTES'!A$3:A$42)-ROW('DONNÉES BRUTES'!A$3))/1000,0),3),IF('DONNÉES BRUTES'!C$3:C$42="Financials",'DONNÉES BRUTES'!AB$3:AB$42+(ROW('DONNÉES BRUTES'!A$3:A$42)-ROW('DONNÉES BRUTES'!A$3))/1000,0),0))),"—")</f>
        <v/>
      </c>
      <c r="M13">
        <f t="array" ref="M13">IFERROR(IF(3&gt;COUNTIF('DONNÉES BRUTES'!C$3:C$42,"Financials"),"",INDEX('DONNÉES BRUTES'!Q$3:Q$42,MATCH(LARGE(IF('DONNÉES BRUTES'!C$3:C$42="Financials",'DONNÉES BRUTES'!AB$3:AB$42+(ROW('DONNÉES BRUTES'!A$3:A$42)-ROW('DONNÉES BRUTES'!A$3))/1000,0),3),IF('DONNÉES BRUTES'!C$3:C$42="Financials",'DONNÉES BRUTES'!AB$3:AB$42+(ROW('DONNÉES BRUTES'!A$3:A$42)-ROW('DONNÉES BRUTES'!A$3))/1000,0),0))),"—")</f>
        <v/>
      </c>
      <c r="N13">
        <f t="array" ref="N13">IFERROR(IF(3&gt;COUNTIF('DONNÉES BRUTES'!C$3:C$42,"Financials"),"",INDEX('DONNÉES BRUTES'!S$3:S$42,MATCH(LARGE(IF('DONNÉES BRUTES'!C$3:C$42="Financials",'DONNÉES BRUTES'!AB$3:AB$42+(ROW('DONNÉES BRUTES'!A$3:A$42)-ROW('DONNÉES BRUTES'!A$3))/1000,0),3),IF('DONNÉES BRUTES'!C$3:C$42="Financials",'DONNÉES BRUTES'!AB$3:AB$42+(ROW('DONNÉES BRUTES'!A$3:A$42)-ROW('DONNÉES BRUTES'!A$3))/1000,0),0))),"—")</f>
        <v/>
      </c>
      <c r="O13">
        <f t="array" ref="O13">IFERROR(IF(3&gt;COUNTIF('DONNÉES BRUTES'!C$3:C$42,"Financials"),"",INDEX('DONNÉES BRUTES'!T$3:T$42,MATCH(LARGE(IF('DONNÉES BRUTES'!C$3:C$42="Financials",'DONNÉES BRUTES'!AB$3:AB$42+(ROW('DONNÉES BRUTES'!A$3:A$42)-ROW('DONNÉES BRUTES'!A$3))/1000,0),3),IF('DONNÉES BRUTES'!C$3:C$42="Financials",'DONNÉES BRUTES'!AB$3:AB$42+(ROW('DONNÉES BRUTES'!A$3:A$42)-ROW('DONNÉES BRUTES'!A$3))/1000,0),0))),"—")</f>
        <v/>
      </c>
      <c r="P13">
        <f t="array" ref="P13">IFERROR(IF(3&gt;COUNTIF('DONNÉES BRUTES'!C$3:C$42,"Financials"),"",INDEX('DONNÉES BRUTES'!U$3:U$42,MATCH(LARGE(IF('DONNÉES BRUTES'!C$3:C$42="Financials",'DONNÉES BRUTES'!AB$3:AB$42+(ROW('DONNÉES BRUTES'!A$3:A$42)-ROW('DONNÉES BRUTES'!A$3))/1000,0),3),IF('DONNÉES BRUTES'!C$3:C$42="Financials",'DONNÉES BRUTES'!AB$3:AB$42+(ROW('DONNÉES BRUTES'!A$3:A$42)-ROW('DONNÉES BRUTES'!A$3))/1000,0),0))),"—")</f>
        <v/>
      </c>
      <c r="Q13">
        <f t="array" ref="Q13">IFERROR(IF(3&gt;COUNTIF('DONNÉES BRUTES'!C$3:C$42,"Financials"),"",INDEX('DONNÉES BRUTES'!AD$3:AD$42,MATCH(LARGE(IF('DONNÉES BRUTES'!C$3:C$42="Financials",'DONNÉES BRUTES'!AB$3:AB$42+(ROW('DONNÉES BRUTES'!A$3:A$42)-ROW('DONNÉES BRUTES'!A$3))/1000,0),3),IF('DONNÉES BRUTES'!C$3:C$42="Financials",'DONNÉES BRUTES'!AB$3:AB$42+(ROW('DONNÉES BRUTES'!A$3:A$42)-ROW('DONNÉES BRUTES'!A$3))/1000,0),0))),"—")</f>
        <v/>
      </c>
    </row>
    <row r="14" ht="15.95" customHeight="1">
      <c r="B14">
        <f>IF(4&gt;COUNTIF('DONNÉES BRUTES'!C$3:C$42,"Financials"),"",4)</f>
        <v/>
      </c>
      <c r="C14">
        <f t="array" ref="C14">IFERROR(IF(4&gt;COUNTIF('DONNÉES BRUTES'!C$3:C$42,"Financials"),"",INDEX('DONNÉES BRUTES'!A$3:A$42,MATCH(LARGE(IF('DONNÉES BRUTES'!C$3:C$42="Financials",'DONNÉES BRUTES'!AB$3:AB$42+(ROW('DONNÉES BRUTES'!A$3:A$42)-ROW('DONNÉES BRUTES'!A$3))/1000,0),4),IF('DONNÉES BRUTES'!C$3:C$42="Financials",'DONNÉES BRUTES'!AB$3:AB$42+(ROW('DONNÉES BRUTES'!A$3:A$42)-ROW('DONNÉES BRUTES'!A$3))/1000,0),0))),"—")</f>
        <v/>
      </c>
      <c r="D14">
        <f t="array" ref="D14">IFERROR(IF(4&gt;COUNTIF('DONNÉES BRUTES'!C$3:C$42,"Financials"),"",INDEX('DONNÉES BRUTES'!B$3:B$42,MATCH(LARGE(IF('DONNÉES BRUTES'!C$3:C$42="Financials",'DONNÉES BRUTES'!AB$3:AB$42+(ROW('DONNÉES BRUTES'!A$3:A$42)-ROW('DONNÉES BRUTES'!A$3))/1000,0),4),IF('DONNÉES BRUTES'!C$3:C$42="Financials",'DONNÉES BRUTES'!AB$3:AB$42+(ROW('DONNÉES BRUTES'!A$3:A$42)-ROW('DONNÉES BRUTES'!A$3))/1000,0),0))),"—")</f>
        <v/>
      </c>
      <c r="E14">
        <f t="array" ref="E14">IFERROR(IF(4&gt;COUNTIF('DONNÉES BRUTES'!C$3:C$42,"Financials"),"",INT(LARGE(IF('DONNÉES BRUTES'!C$3:C$42="Financials",'DONNÉES BRUTES'!AB$3:AB$42+(ROW('DONNÉES BRUTES'!A$3:A$42)-ROW('DONNÉES BRUTES'!A$3))/1000,0),4))&amp;"/100"),"—")</f>
        <v/>
      </c>
      <c r="F14">
        <f t="array" ref="F14">IFERROR(IF(4&gt;COUNTIF('DONNÉES BRUTES'!C$3:C$42,"Financials"),"",INDEX('DONNÉES BRUTES'!Y$3:Y$42,MATCH(LARGE(IF('DONNÉES BRUTES'!C$3:C$42="Financials",'DONNÉES BRUTES'!AB$3:AB$42+(ROW('DONNÉES BRUTES'!A$3:A$42)-ROW('DONNÉES BRUTES'!A$3))/1000,0),4),IF('DONNÉES BRUTES'!C$3:C$42="Financials",'DONNÉES BRUTES'!AB$3:AB$42+(ROW('DONNÉES BRUTES'!A$3:A$42)-ROW('DONNÉES BRUTES'!A$3))/1000,0),0))),"—")</f>
        <v/>
      </c>
      <c r="G14">
        <f t="array" ref="G14">IFERROR(IF(4&gt;COUNTIF('DONNÉES BRUTES'!C$3:C$42,"Financials"),"",INDEX('DONNÉES BRUTES'!Z$3:Z$42,MATCH(LARGE(IF('DONNÉES BRUTES'!C$3:C$42="Financials",'DONNÉES BRUTES'!AB$3:AB$42+(ROW('DONNÉES BRUTES'!A$3:A$42)-ROW('DONNÉES BRUTES'!A$3))/1000,0),4),IF('DONNÉES BRUTES'!C$3:C$42="Financials",'DONNÉES BRUTES'!AB$3:AB$42+(ROW('DONNÉES BRUTES'!A$3:A$42)-ROW('DONNÉES BRUTES'!A$3))/1000,0),0))),"—")</f>
        <v/>
      </c>
      <c r="H14">
        <f t="array" ref="H14">IFERROR(IF(4&gt;COUNTIF('DONNÉES BRUTES'!C$3:C$42,"Financials"),"",INDEX('DONNÉES BRUTES'!AA$3:AA$42,MATCH(LARGE(IF('DONNÉES BRUTES'!C$3:C$42="Financials",'DONNÉES BRUTES'!AB$3:AB$42+(ROW('DONNÉES BRUTES'!A$3:A$42)-ROW('DONNÉES BRUTES'!A$3))/1000,0),4),IF('DONNÉES BRUTES'!C$3:C$42="Financials",'DONNÉES BRUTES'!AB$3:AB$42+(ROW('DONNÉES BRUTES'!A$3:A$42)-ROW('DONNÉES BRUTES'!A$3))/1000,0),0))),"—")</f>
        <v/>
      </c>
      <c r="I14">
        <f t="array" ref="I14">IFERROR(IF(4&gt;COUNTIF('DONNÉES BRUTES'!C$3:C$42,"Financials"),"",INDEX('DONNÉES BRUTES'!M$3:M$42,MATCH(LARGE(IF('DONNÉES BRUTES'!C$3:C$42="Financials",'DONNÉES BRUTES'!AB$3:AB$42+(ROW('DONNÉES BRUTES'!A$3:A$42)-ROW('DONNÉES BRUTES'!A$3))/1000,0),4),IF('DONNÉES BRUTES'!C$3:C$42="Financials",'DONNÉES BRUTES'!AB$3:AB$42+(ROW('DONNÉES BRUTES'!A$3:A$42)-ROW('DONNÉES BRUTES'!A$3))/1000,0),0))),"—")</f>
        <v/>
      </c>
      <c r="J14">
        <f t="array" ref="J14">IFERROR(IF(4&gt;COUNTIF('DONNÉES BRUTES'!C$3:C$42,"Financials"),"",INDEX('DONNÉES BRUTES'!N$3:N$42,MATCH(LARGE(IF('DONNÉES BRUTES'!C$3:C$42="Financials",'DONNÉES BRUTES'!AB$3:AB$42+(ROW('DONNÉES BRUTES'!A$3:A$42)-ROW('DONNÉES BRUTES'!A$3))/1000,0),4),IF('DONNÉES BRUTES'!C$3:C$42="Financials",'DONNÉES BRUTES'!AB$3:AB$42+(ROW('DONNÉES BRUTES'!A$3:A$42)-ROW('DONNÉES BRUTES'!A$3))/1000,0),0))),"—")</f>
        <v/>
      </c>
      <c r="K14">
        <f t="array" ref="K14">IFERROR(IF(4&gt;COUNTIF('DONNÉES BRUTES'!C$3:C$42,"Financials"),"",INDEX('DONNÉES BRUTES'!O$3:O$42,MATCH(LARGE(IF('DONNÉES BRUTES'!C$3:C$42="Financials",'DONNÉES BRUTES'!AB$3:AB$42+(ROW('DONNÉES BRUTES'!A$3:A$42)-ROW('DONNÉES BRUTES'!A$3))/1000,0),4),IF('DONNÉES BRUTES'!C$3:C$42="Financials",'DONNÉES BRUTES'!AB$3:AB$42+(ROW('DONNÉES BRUTES'!A$3:A$42)-ROW('DONNÉES BRUTES'!A$3))/1000,0),0))),"—")</f>
        <v/>
      </c>
      <c r="L14">
        <f t="array" ref="L14">IFERROR(IF(4&gt;COUNTIF('DONNÉES BRUTES'!C$3:C$42,"Financials"),"",INDEX('DONNÉES BRUTES'!P$3:P$42,MATCH(LARGE(IF('DONNÉES BRUTES'!C$3:C$42="Financials",'DONNÉES BRUTES'!AB$3:AB$42+(ROW('DONNÉES BRUTES'!A$3:A$42)-ROW('DONNÉES BRUTES'!A$3))/1000,0),4),IF('DONNÉES BRUTES'!C$3:C$42="Financials",'DONNÉES BRUTES'!AB$3:AB$42+(ROW('DONNÉES BRUTES'!A$3:A$42)-ROW('DONNÉES BRUTES'!A$3))/1000,0),0))),"—")</f>
        <v/>
      </c>
      <c r="M14">
        <f t="array" ref="M14">IFERROR(IF(4&gt;COUNTIF('DONNÉES BRUTES'!C$3:C$42,"Financials"),"",INDEX('DONNÉES BRUTES'!Q$3:Q$42,MATCH(LARGE(IF('DONNÉES BRUTES'!C$3:C$42="Financials",'DONNÉES BRUTES'!AB$3:AB$42+(ROW('DONNÉES BRUTES'!A$3:A$42)-ROW('DONNÉES BRUTES'!A$3))/1000,0),4),IF('DONNÉES BRUTES'!C$3:C$42="Financials",'DONNÉES BRUTES'!AB$3:AB$42+(ROW('DONNÉES BRUTES'!A$3:A$42)-ROW('DONNÉES BRUTES'!A$3))/1000,0),0))),"—")</f>
        <v/>
      </c>
      <c r="N14">
        <f t="array" ref="N14">IFERROR(IF(4&gt;COUNTIF('DONNÉES BRUTES'!C$3:C$42,"Financials"),"",INDEX('DONNÉES BRUTES'!S$3:S$42,MATCH(LARGE(IF('DONNÉES BRUTES'!C$3:C$42="Financials",'DONNÉES BRUTES'!AB$3:AB$42+(ROW('DONNÉES BRUTES'!A$3:A$42)-ROW('DONNÉES BRUTES'!A$3))/1000,0),4),IF('DONNÉES BRUTES'!C$3:C$42="Financials",'DONNÉES BRUTES'!AB$3:AB$42+(ROW('DONNÉES BRUTES'!A$3:A$42)-ROW('DONNÉES BRUTES'!A$3))/1000,0),0))),"—")</f>
        <v/>
      </c>
      <c r="O14">
        <f t="array" ref="O14">IFERROR(IF(4&gt;COUNTIF('DONNÉES BRUTES'!C$3:C$42,"Financials"),"",INDEX('DONNÉES BRUTES'!T$3:T$42,MATCH(LARGE(IF('DONNÉES BRUTES'!C$3:C$42="Financials",'DONNÉES BRUTES'!AB$3:AB$42+(ROW('DONNÉES BRUTES'!A$3:A$42)-ROW('DONNÉES BRUTES'!A$3))/1000,0),4),IF('DONNÉES BRUTES'!C$3:C$42="Financials",'DONNÉES BRUTES'!AB$3:AB$42+(ROW('DONNÉES BRUTES'!A$3:A$42)-ROW('DONNÉES BRUTES'!A$3))/1000,0),0))),"—")</f>
        <v/>
      </c>
      <c r="P14">
        <f t="array" ref="P14">IFERROR(IF(4&gt;COUNTIF('DONNÉES BRUTES'!C$3:C$42,"Financials"),"",INDEX('DONNÉES BRUTES'!U$3:U$42,MATCH(LARGE(IF('DONNÉES BRUTES'!C$3:C$42="Financials",'DONNÉES BRUTES'!AB$3:AB$42+(ROW('DONNÉES BRUTES'!A$3:A$42)-ROW('DONNÉES BRUTES'!A$3))/1000,0),4),IF('DONNÉES BRUTES'!C$3:C$42="Financials",'DONNÉES BRUTES'!AB$3:AB$42+(ROW('DONNÉES BRUTES'!A$3:A$42)-ROW('DONNÉES BRUTES'!A$3))/1000,0),0))),"—")</f>
        <v/>
      </c>
      <c r="Q14">
        <f t="array" ref="Q14">IFERROR(IF(4&gt;COUNTIF('DONNÉES BRUTES'!C$3:C$42,"Financials"),"",INDEX('DONNÉES BRUTES'!AD$3:AD$42,MATCH(LARGE(IF('DONNÉES BRUTES'!C$3:C$42="Financials",'DONNÉES BRUTES'!AB$3:AB$42+(ROW('DONNÉES BRUTES'!A$3:A$42)-ROW('DONNÉES BRUTES'!A$3))/1000,0),4),IF('DONNÉES BRUTES'!C$3:C$42="Financials",'DONNÉES BRUTES'!AB$3:AB$42+(ROW('DONNÉES BRUTES'!A$3:A$42)-ROW('DONNÉES BRUTES'!A$3))/1000,0),0))),"—")</f>
        <v/>
      </c>
    </row>
    <row r="15" ht="15.95" customHeight="1">
      <c r="B15">
        <f>IF(5&gt;COUNTIF('DONNÉES BRUTES'!C$3:C$42,"Financials"),"",5)</f>
        <v/>
      </c>
      <c r="C15">
        <f t="array" ref="C15">IFERROR(IF(5&gt;COUNTIF('DONNÉES BRUTES'!C$3:C$42,"Financials"),"",INDEX('DONNÉES BRUTES'!A$3:A$42,MATCH(LARGE(IF('DONNÉES BRUTES'!C$3:C$42="Financials",'DONNÉES BRUTES'!AB$3:AB$42+(ROW('DONNÉES BRUTES'!A$3:A$42)-ROW('DONNÉES BRUTES'!A$3))/1000,0),5),IF('DONNÉES BRUTES'!C$3:C$42="Financials",'DONNÉES BRUTES'!AB$3:AB$42+(ROW('DONNÉES BRUTES'!A$3:A$42)-ROW('DONNÉES BRUTES'!A$3))/1000,0),0))),"—")</f>
        <v/>
      </c>
      <c r="D15">
        <f t="array" ref="D15">IFERROR(IF(5&gt;COUNTIF('DONNÉES BRUTES'!C$3:C$42,"Financials"),"",INDEX('DONNÉES BRUTES'!B$3:B$42,MATCH(LARGE(IF('DONNÉES BRUTES'!C$3:C$42="Financials",'DONNÉES BRUTES'!AB$3:AB$42+(ROW('DONNÉES BRUTES'!A$3:A$42)-ROW('DONNÉES BRUTES'!A$3))/1000,0),5),IF('DONNÉES BRUTES'!C$3:C$42="Financials",'DONNÉES BRUTES'!AB$3:AB$42+(ROW('DONNÉES BRUTES'!A$3:A$42)-ROW('DONNÉES BRUTES'!A$3))/1000,0),0))),"—")</f>
        <v/>
      </c>
      <c r="E15">
        <f t="array" ref="E15">IFERROR(IF(5&gt;COUNTIF('DONNÉES BRUTES'!C$3:C$42,"Financials"),"",INT(LARGE(IF('DONNÉES BRUTES'!C$3:C$42="Financials",'DONNÉES BRUTES'!AB$3:AB$42+(ROW('DONNÉES BRUTES'!A$3:A$42)-ROW('DONNÉES BRUTES'!A$3))/1000,0),5))&amp;"/100"),"—")</f>
        <v/>
      </c>
      <c r="F15">
        <f t="array" ref="F15">IFERROR(IF(5&gt;COUNTIF('DONNÉES BRUTES'!C$3:C$42,"Financials"),"",INDEX('DONNÉES BRUTES'!Y$3:Y$42,MATCH(LARGE(IF('DONNÉES BRUTES'!C$3:C$42="Financials",'DONNÉES BRUTES'!AB$3:AB$42+(ROW('DONNÉES BRUTES'!A$3:A$42)-ROW('DONNÉES BRUTES'!A$3))/1000,0),5),IF('DONNÉES BRUTES'!C$3:C$42="Financials",'DONNÉES BRUTES'!AB$3:AB$42+(ROW('DONNÉES BRUTES'!A$3:A$42)-ROW('DONNÉES BRUTES'!A$3))/1000,0),0))),"—")</f>
        <v/>
      </c>
      <c r="G15">
        <f t="array" ref="G15">IFERROR(IF(5&gt;COUNTIF('DONNÉES BRUTES'!C$3:C$42,"Financials"),"",INDEX('DONNÉES BRUTES'!Z$3:Z$42,MATCH(LARGE(IF('DONNÉES BRUTES'!C$3:C$42="Financials",'DONNÉES BRUTES'!AB$3:AB$42+(ROW('DONNÉES BRUTES'!A$3:A$42)-ROW('DONNÉES BRUTES'!A$3))/1000,0),5),IF('DONNÉES BRUTES'!C$3:C$42="Financials",'DONNÉES BRUTES'!AB$3:AB$42+(ROW('DONNÉES BRUTES'!A$3:A$42)-ROW('DONNÉES BRUTES'!A$3))/1000,0),0))),"—")</f>
        <v/>
      </c>
      <c r="H15">
        <f t="array" ref="H15">IFERROR(IF(5&gt;COUNTIF('DONNÉES BRUTES'!C$3:C$42,"Financials"),"",INDEX('DONNÉES BRUTES'!AA$3:AA$42,MATCH(LARGE(IF('DONNÉES BRUTES'!C$3:C$42="Financials",'DONNÉES BRUTES'!AB$3:AB$42+(ROW('DONNÉES BRUTES'!A$3:A$42)-ROW('DONNÉES BRUTES'!A$3))/1000,0),5),IF('DONNÉES BRUTES'!C$3:C$42="Financials",'DONNÉES BRUTES'!AB$3:AB$42+(ROW('DONNÉES BRUTES'!A$3:A$42)-ROW('DONNÉES BRUTES'!A$3))/1000,0),0))),"—")</f>
        <v/>
      </c>
      <c r="I15">
        <f t="array" ref="I15">IFERROR(IF(5&gt;COUNTIF('DONNÉES BRUTES'!C$3:C$42,"Financials"),"",INDEX('DONNÉES BRUTES'!M$3:M$42,MATCH(LARGE(IF('DONNÉES BRUTES'!C$3:C$42="Financials",'DONNÉES BRUTES'!AB$3:AB$42+(ROW('DONNÉES BRUTES'!A$3:A$42)-ROW('DONNÉES BRUTES'!A$3))/1000,0),5),IF('DONNÉES BRUTES'!C$3:C$42="Financials",'DONNÉES BRUTES'!AB$3:AB$42+(ROW('DONNÉES BRUTES'!A$3:A$42)-ROW('DONNÉES BRUTES'!A$3))/1000,0),0))),"—")</f>
        <v/>
      </c>
      <c r="J15">
        <f t="array" ref="J15">IFERROR(IF(5&gt;COUNTIF('DONNÉES BRUTES'!C$3:C$42,"Financials"),"",INDEX('DONNÉES BRUTES'!N$3:N$42,MATCH(LARGE(IF('DONNÉES BRUTES'!C$3:C$42="Financials",'DONNÉES BRUTES'!AB$3:AB$42+(ROW('DONNÉES BRUTES'!A$3:A$42)-ROW('DONNÉES BRUTES'!A$3))/1000,0),5),IF('DONNÉES BRUTES'!C$3:C$42="Financials",'DONNÉES BRUTES'!AB$3:AB$42+(ROW('DONNÉES BRUTES'!A$3:A$42)-ROW('DONNÉES BRUTES'!A$3))/1000,0),0))),"—")</f>
        <v/>
      </c>
      <c r="K15">
        <f t="array" ref="K15">IFERROR(IF(5&gt;COUNTIF('DONNÉES BRUTES'!C$3:C$42,"Financials"),"",INDEX('DONNÉES BRUTES'!O$3:O$42,MATCH(LARGE(IF('DONNÉES BRUTES'!C$3:C$42="Financials",'DONNÉES BRUTES'!AB$3:AB$42+(ROW('DONNÉES BRUTES'!A$3:A$42)-ROW('DONNÉES BRUTES'!A$3))/1000,0),5),IF('DONNÉES BRUTES'!C$3:C$42="Financials",'DONNÉES BRUTES'!AB$3:AB$42+(ROW('DONNÉES BRUTES'!A$3:A$42)-ROW('DONNÉES BRUTES'!A$3))/1000,0),0))),"—")</f>
        <v/>
      </c>
      <c r="L15">
        <f t="array" ref="L15">IFERROR(IF(5&gt;COUNTIF('DONNÉES BRUTES'!C$3:C$42,"Financials"),"",INDEX('DONNÉES BRUTES'!P$3:P$42,MATCH(LARGE(IF('DONNÉES BRUTES'!C$3:C$42="Financials",'DONNÉES BRUTES'!AB$3:AB$42+(ROW('DONNÉES BRUTES'!A$3:A$42)-ROW('DONNÉES BRUTES'!A$3))/1000,0),5),IF('DONNÉES BRUTES'!C$3:C$42="Financials",'DONNÉES BRUTES'!AB$3:AB$42+(ROW('DONNÉES BRUTES'!A$3:A$42)-ROW('DONNÉES BRUTES'!A$3))/1000,0),0))),"—")</f>
        <v/>
      </c>
      <c r="M15">
        <f t="array" ref="M15">IFERROR(IF(5&gt;COUNTIF('DONNÉES BRUTES'!C$3:C$42,"Financials"),"",INDEX('DONNÉES BRUTES'!Q$3:Q$42,MATCH(LARGE(IF('DONNÉES BRUTES'!C$3:C$42="Financials",'DONNÉES BRUTES'!AB$3:AB$42+(ROW('DONNÉES BRUTES'!A$3:A$42)-ROW('DONNÉES BRUTES'!A$3))/1000,0),5),IF('DONNÉES BRUTES'!C$3:C$42="Financials",'DONNÉES BRUTES'!AB$3:AB$42+(ROW('DONNÉES BRUTES'!A$3:A$42)-ROW('DONNÉES BRUTES'!A$3))/1000,0),0))),"—")</f>
        <v/>
      </c>
      <c r="N15">
        <f t="array" ref="N15">IFERROR(IF(5&gt;COUNTIF('DONNÉES BRUTES'!C$3:C$42,"Financials"),"",INDEX('DONNÉES BRUTES'!S$3:S$42,MATCH(LARGE(IF('DONNÉES BRUTES'!C$3:C$42="Financials",'DONNÉES BRUTES'!AB$3:AB$42+(ROW('DONNÉES BRUTES'!A$3:A$42)-ROW('DONNÉES BRUTES'!A$3))/1000,0),5),IF('DONNÉES BRUTES'!C$3:C$42="Financials",'DONNÉES BRUTES'!AB$3:AB$42+(ROW('DONNÉES BRUTES'!A$3:A$42)-ROW('DONNÉES BRUTES'!A$3))/1000,0),0))),"—")</f>
        <v/>
      </c>
      <c r="O15">
        <f t="array" ref="O15">IFERROR(IF(5&gt;COUNTIF('DONNÉES BRUTES'!C$3:C$42,"Financials"),"",INDEX('DONNÉES BRUTES'!T$3:T$42,MATCH(LARGE(IF('DONNÉES BRUTES'!C$3:C$42="Financials",'DONNÉES BRUTES'!AB$3:AB$42+(ROW('DONNÉES BRUTES'!A$3:A$42)-ROW('DONNÉES BRUTES'!A$3))/1000,0),5),IF('DONNÉES BRUTES'!C$3:C$42="Financials",'DONNÉES BRUTES'!AB$3:AB$42+(ROW('DONNÉES BRUTES'!A$3:A$42)-ROW('DONNÉES BRUTES'!A$3))/1000,0),0))),"—")</f>
        <v/>
      </c>
      <c r="P15">
        <f t="array" ref="P15">IFERROR(IF(5&gt;COUNTIF('DONNÉES BRUTES'!C$3:C$42,"Financials"),"",INDEX('DONNÉES BRUTES'!U$3:U$42,MATCH(LARGE(IF('DONNÉES BRUTES'!C$3:C$42="Financials",'DONNÉES BRUTES'!AB$3:AB$42+(ROW('DONNÉES BRUTES'!A$3:A$42)-ROW('DONNÉES BRUTES'!A$3))/1000,0),5),IF('DONNÉES BRUTES'!C$3:C$42="Financials",'DONNÉES BRUTES'!AB$3:AB$42+(ROW('DONNÉES BRUTES'!A$3:A$42)-ROW('DONNÉES BRUTES'!A$3))/1000,0),0))),"—")</f>
        <v/>
      </c>
      <c r="Q15">
        <f t="array" ref="Q15">IFERROR(IF(5&gt;COUNTIF('DONNÉES BRUTES'!C$3:C$42,"Financials"),"",INDEX('DONNÉES BRUTES'!AD$3:AD$42,MATCH(LARGE(IF('DONNÉES BRUTES'!C$3:C$42="Financials",'DONNÉES BRUTES'!AB$3:AB$42+(ROW('DONNÉES BRUTES'!A$3:A$42)-ROW('DONNÉES BRUTES'!A$3))/1000,0),5),IF('DONNÉES BRUTES'!C$3:C$42="Financials",'DONNÉES BRUTES'!AB$3:AB$42+(ROW('DONNÉES BRUTES'!A$3:A$42)-ROW('DONNÉES BRUTES'!A$3))/1000,0),0))),"—")</f>
        <v/>
      </c>
    </row>
    <row r="16" ht="15.95" customHeight="1">
      <c r="B16">
        <f>IF(6&gt;COUNTIF('DONNÉES BRUTES'!C$3:C$42,"Financials"),"",6)</f>
        <v/>
      </c>
      <c r="C16">
        <f t="array" ref="C16">IFERROR(IF(6&gt;COUNTIF('DONNÉES BRUTES'!C$3:C$42,"Financials"),"",INDEX('DONNÉES BRUTES'!A$3:A$42,MATCH(LARGE(IF('DONNÉES BRUTES'!C$3:C$42="Financials",'DONNÉES BRUTES'!AB$3:AB$42+(ROW('DONNÉES BRUTES'!A$3:A$42)-ROW('DONNÉES BRUTES'!A$3))/1000,0),6),IF('DONNÉES BRUTES'!C$3:C$42="Financials",'DONNÉES BRUTES'!AB$3:AB$42+(ROW('DONNÉES BRUTES'!A$3:A$42)-ROW('DONNÉES BRUTES'!A$3))/1000,0),0))),"—")</f>
        <v/>
      </c>
      <c r="D16">
        <f t="array" ref="D16">IFERROR(IF(6&gt;COUNTIF('DONNÉES BRUTES'!C$3:C$42,"Financials"),"",INDEX('DONNÉES BRUTES'!B$3:B$42,MATCH(LARGE(IF('DONNÉES BRUTES'!C$3:C$42="Financials",'DONNÉES BRUTES'!AB$3:AB$42+(ROW('DONNÉES BRUTES'!A$3:A$42)-ROW('DONNÉES BRUTES'!A$3))/1000,0),6),IF('DONNÉES BRUTES'!C$3:C$42="Financials",'DONNÉES BRUTES'!AB$3:AB$42+(ROW('DONNÉES BRUTES'!A$3:A$42)-ROW('DONNÉES BRUTES'!A$3))/1000,0),0))),"—")</f>
        <v/>
      </c>
      <c r="E16">
        <f t="array" ref="E16">IFERROR(IF(6&gt;COUNTIF('DONNÉES BRUTES'!C$3:C$42,"Financials"),"",INT(LARGE(IF('DONNÉES BRUTES'!C$3:C$42="Financials",'DONNÉES BRUTES'!AB$3:AB$42+(ROW('DONNÉES BRUTES'!A$3:A$42)-ROW('DONNÉES BRUTES'!A$3))/1000,0),6))&amp;"/100"),"—")</f>
        <v/>
      </c>
      <c r="F16">
        <f t="array" ref="F16">IFERROR(IF(6&gt;COUNTIF('DONNÉES BRUTES'!C$3:C$42,"Financials"),"",INDEX('DONNÉES BRUTES'!Y$3:Y$42,MATCH(LARGE(IF('DONNÉES BRUTES'!C$3:C$42="Financials",'DONNÉES BRUTES'!AB$3:AB$42+(ROW('DONNÉES BRUTES'!A$3:A$42)-ROW('DONNÉES BRUTES'!A$3))/1000,0),6),IF('DONNÉES BRUTES'!C$3:C$42="Financials",'DONNÉES BRUTES'!AB$3:AB$42+(ROW('DONNÉES BRUTES'!A$3:A$42)-ROW('DONNÉES BRUTES'!A$3))/1000,0),0))),"—")</f>
        <v/>
      </c>
      <c r="G16">
        <f t="array" ref="G16">IFERROR(IF(6&gt;COUNTIF('DONNÉES BRUTES'!C$3:C$42,"Financials"),"",INDEX('DONNÉES BRUTES'!Z$3:Z$42,MATCH(LARGE(IF('DONNÉES BRUTES'!C$3:C$42="Financials",'DONNÉES BRUTES'!AB$3:AB$42+(ROW('DONNÉES BRUTES'!A$3:A$42)-ROW('DONNÉES BRUTES'!A$3))/1000,0),6),IF('DONNÉES BRUTES'!C$3:C$42="Financials",'DONNÉES BRUTES'!AB$3:AB$42+(ROW('DONNÉES BRUTES'!A$3:A$42)-ROW('DONNÉES BRUTES'!A$3))/1000,0),0))),"—")</f>
        <v/>
      </c>
      <c r="H16">
        <f t="array" ref="H16">IFERROR(IF(6&gt;COUNTIF('DONNÉES BRUTES'!C$3:C$42,"Financials"),"",INDEX('DONNÉES BRUTES'!AA$3:AA$42,MATCH(LARGE(IF('DONNÉES BRUTES'!C$3:C$42="Financials",'DONNÉES BRUTES'!AB$3:AB$42+(ROW('DONNÉES BRUTES'!A$3:A$42)-ROW('DONNÉES BRUTES'!A$3))/1000,0),6),IF('DONNÉES BRUTES'!C$3:C$42="Financials",'DONNÉES BRUTES'!AB$3:AB$42+(ROW('DONNÉES BRUTES'!A$3:A$42)-ROW('DONNÉES BRUTES'!A$3))/1000,0),0))),"—")</f>
        <v/>
      </c>
      <c r="I16">
        <f t="array" ref="I16">IFERROR(IF(6&gt;COUNTIF('DONNÉES BRUTES'!C$3:C$42,"Financials"),"",INDEX('DONNÉES BRUTES'!M$3:M$42,MATCH(LARGE(IF('DONNÉES BRUTES'!C$3:C$42="Financials",'DONNÉES BRUTES'!AB$3:AB$42+(ROW('DONNÉES BRUTES'!A$3:A$42)-ROW('DONNÉES BRUTES'!A$3))/1000,0),6),IF('DONNÉES BRUTES'!C$3:C$42="Financials",'DONNÉES BRUTES'!AB$3:AB$42+(ROW('DONNÉES BRUTES'!A$3:A$42)-ROW('DONNÉES BRUTES'!A$3))/1000,0),0))),"—")</f>
        <v/>
      </c>
      <c r="J16">
        <f t="array" ref="J16">IFERROR(IF(6&gt;COUNTIF('DONNÉES BRUTES'!C$3:C$42,"Financials"),"",INDEX('DONNÉES BRUTES'!N$3:N$42,MATCH(LARGE(IF('DONNÉES BRUTES'!C$3:C$42="Financials",'DONNÉES BRUTES'!AB$3:AB$42+(ROW('DONNÉES BRUTES'!A$3:A$42)-ROW('DONNÉES BRUTES'!A$3))/1000,0),6),IF('DONNÉES BRUTES'!C$3:C$42="Financials",'DONNÉES BRUTES'!AB$3:AB$42+(ROW('DONNÉES BRUTES'!A$3:A$42)-ROW('DONNÉES BRUTES'!A$3))/1000,0),0))),"—")</f>
        <v/>
      </c>
      <c r="K16">
        <f t="array" ref="K16">IFERROR(IF(6&gt;COUNTIF('DONNÉES BRUTES'!C$3:C$42,"Financials"),"",INDEX('DONNÉES BRUTES'!O$3:O$42,MATCH(LARGE(IF('DONNÉES BRUTES'!C$3:C$42="Financials",'DONNÉES BRUTES'!AB$3:AB$42+(ROW('DONNÉES BRUTES'!A$3:A$42)-ROW('DONNÉES BRUTES'!A$3))/1000,0),6),IF('DONNÉES BRUTES'!C$3:C$42="Financials",'DONNÉES BRUTES'!AB$3:AB$42+(ROW('DONNÉES BRUTES'!A$3:A$42)-ROW('DONNÉES BRUTES'!A$3))/1000,0),0))),"—")</f>
        <v/>
      </c>
      <c r="L16">
        <f t="array" ref="L16">IFERROR(IF(6&gt;COUNTIF('DONNÉES BRUTES'!C$3:C$42,"Financials"),"",INDEX('DONNÉES BRUTES'!P$3:P$42,MATCH(LARGE(IF('DONNÉES BRUTES'!C$3:C$42="Financials",'DONNÉES BRUTES'!AB$3:AB$42+(ROW('DONNÉES BRUTES'!A$3:A$42)-ROW('DONNÉES BRUTES'!A$3))/1000,0),6),IF('DONNÉES BRUTES'!C$3:C$42="Financials",'DONNÉES BRUTES'!AB$3:AB$42+(ROW('DONNÉES BRUTES'!A$3:A$42)-ROW('DONNÉES BRUTES'!A$3))/1000,0),0))),"—")</f>
        <v/>
      </c>
      <c r="M16">
        <f t="array" ref="M16">IFERROR(IF(6&gt;COUNTIF('DONNÉES BRUTES'!C$3:C$42,"Financials"),"",INDEX('DONNÉES BRUTES'!Q$3:Q$42,MATCH(LARGE(IF('DONNÉES BRUTES'!C$3:C$42="Financials",'DONNÉES BRUTES'!AB$3:AB$42+(ROW('DONNÉES BRUTES'!A$3:A$42)-ROW('DONNÉES BRUTES'!A$3))/1000,0),6),IF('DONNÉES BRUTES'!C$3:C$42="Financials",'DONNÉES BRUTES'!AB$3:AB$42+(ROW('DONNÉES BRUTES'!A$3:A$42)-ROW('DONNÉES BRUTES'!A$3))/1000,0),0))),"—")</f>
        <v/>
      </c>
      <c r="N16">
        <f t="array" ref="N16">IFERROR(IF(6&gt;COUNTIF('DONNÉES BRUTES'!C$3:C$42,"Financials"),"",INDEX('DONNÉES BRUTES'!S$3:S$42,MATCH(LARGE(IF('DONNÉES BRUTES'!C$3:C$42="Financials",'DONNÉES BRUTES'!AB$3:AB$42+(ROW('DONNÉES BRUTES'!A$3:A$42)-ROW('DONNÉES BRUTES'!A$3))/1000,0),6),IF('DONNÉES BRUTES'!C$3:C$42="Financials",'DONNÉES BRUTES'!AB$3:AB$42+(ROW('DONNÉES BRUTES'!A$3:A$42)-ROW('DONNÉES BRUTES'!A$3))/1000,0),0))),"—")</f>
        <v/>
      </c>
      <c r="O16">
        <f t="array" ref="O16">IFERROR(IF(6&gt;COUNTIF('DONNÉES BRUTES'!C$3:C$42,"Financials"),"",INDEX('DONNÉES BRUTES'!T$3:T$42,MATCH(LARGE(IF('DONNÉES BRUTES'!C$3:C$42="Financials",'DONNÉES BRUTES'!AB$3:AB$42+(ROW('DONNÉES BRUTES'!A$3:A$42)-ROW('DONNÉES BRUTES'!A$3))/1000,0),6),IF('DONNÉES BRUTES'!C$3:C$42="Financials",'DONNÉES BRUTES'!AB$3:AB$42+(ROW('DONNÉES BRUTES'!A$3:A$42)-ROW('DONNÉES BRUTES'!A$3))/1000,0),0))),"—")</f>
        <v/>
      </c>
      <c r="P16">
        <f t="array" ref="P16">IFERROR(IF(6&gt;COUNTIF('DONNÉES BRUTES'!C$3:C$42,"Financials"),"",INDEX('DONNÉES BRUTES'!U$3:U$42,MATCH(LARGE(IF('DONNÉES BRUTES'!C$3:C$42="Financials",'DONNÉES BRUTES'!AB$3:AB$42+(ROW('DONNÉES BRUTES'!A$3:A$42)-ROW('DONNÉES BRUTES'!A$3))/1000,0),6),IF('DONNÉES BRUTES'!C$3:C$42="Financials",'DONNÉES BRUTES'!AB$3:AB$42+(ROW('DONNÉES BRUTES'!A$3:A$42)-ROW('DONNÉES BRUTES'!A$3))/1000,0),0))),"—")</f>
        <v/>
      </c>
      <c r="Q16">
        <f t="array" ref="Q16">IFERROR(IF(6&gt;COUNTIF('DONNÉES BRUTES'!C$3:C$42,"Financials"),"",INDEX('DONNÉES BRUTES'!AD$3:AD$42,MATCH(LARGE(IF('DONNÉES BRUTES'!C$3:C$42="Financials",'DONNÉES BRUTES'!AB$3:AB$42+(ROW('DONNÉES BRUTES'!A$3:A$42)-ROW('DONNÉES BRUTES'!A$3))/1000,0),6),IF('DONNÉES BRUTES'!C$3:C$42="Financials",'DONNÉES BRUTES'!AB$3:AB$42+(ROW('DONNÉES BRUTES'!A$3:A$42)-ROW('DONNÉES BRUTES'!A$3))/1000,0),0))),"—")</f>
        <v/>
      </c>
    </row>
    <row r="17" ht="15.95" customHeight="1">
      <c r="B17">
        <f>IF(7&gt;COUNTIF('DONNÉES BRUTES'!C$3:C$42,"Financials"),"",7)</f>
        <v/>
      </c>
      <c r="C17">
        <f t="array" ref="C17">IFERROR(IF(7&gt;COUNTIF('DONNÉES BRUTES'!C$3:C$42,"Financials"),"",INDEX('DONNÉES BRUTES'!A$3:A$42,MATCH(LARGE(IF('DONNÉES BRUTES'!C$3:C$42="Financials",'DONNÉES BRUTES'!AB$3:AB$42+(ROW('DONNÉES BRUTES'!A$3:A$42)-ROW('DONNÉES BRUTES'!A$3))/1000,0),7),IF('DONNÉES BRUTES'!C$3:C$42="Financials",'DONNÉES BRUTES'!AB$3:AB$42+(ROW('DONNÉES BRUTES'!A$3:A$42)-ROW('DONNÉES BRUTES'!A$3))/1000,0),0))),"—")</f>
        <v/>
      </c>
      <c r="D17">
        <f t="array" ref="D17">IFERROR(IF(7&gt;COUNTIF('DONNÉES BRUTES'!C$3:C$42,"Financials"),"",INDEX('DONNÉES BRUTES'!B$3:B$42,MATCH(LARGE(IF('DONNÉES BRUTES'!C$3:C$42="Financials",'DONNÉES BRUTES'!AB$3:AB$42+(ROW('DONNÉES BRUTES'!A$3:A$42)-ROW('DONNÉES BRUTES'!A$3))/1000,0),7),IF('DONNÉES BRUTES'!C$3:C$42="Financials",'DONNÉES BRUTES'!AB$3:AB$42+(ROW('DONNÉES BRUTES'!A$3:A$42)-ROW('DONNÉES BRUTES'!A$3))/1000,0),0))),"—")</f>
        <v/>
      </c>
      <c r="E17">
        <f t="array" ref="E17">IFERROR(IF(7&gt;COUNTIF('DONNÉES BRUTES'!C$3:C$42,"Financials"),"",INT(LARGE(IF('DONNÉES BRUTES'!C$3:C$42="Financials",'DONNÉES BRUTES'!AB$3:AB$42+(ROW('DONNÉES BRUTES'!A$3:A$42)-ROW('DONNÉES BRUTES'!A$3))/1000,0),7))&amp;"/100"),"—")</f>
        <v/>
      </c>
      <c r="F17">
        <f t="array" ref="F17">IFERROR(IF(7&gt;COUNTIF('DONNÉES BRUTES'!C$3:C$42,"Financials"),"",INDEX('DONNÉES BRUTES'!Y$3:Y$42,MATCH(LARGE(IF('DONNÉES BRUTES'!C$3:C$42="Financials",'DONNÉES BRUTES'!AB$3:AB$42+(ROW('DONNÉES BRUTES'!A$3:A$42)-ROW('DONNÉES BRUTES'!A$3))/1000,0),7),IF('DONNÉES BRUTES'!C$3:C$42="Financials",'DONNÉES BRUTES'!AB$3:AB$42+(ROW('DONNÉES BRUTES'!A$3:A$42)-ROW('DONNÉES BRUTES'!A$3))/1000,0),0))),"—")</f>
        <v/>
      </c>
      <c r="G17">
        <f t="array" ref="G17">IFERROR(IF(7&gt;COUNTIF('DONNÉES BRUTES'!C$3:C$42,"Financials"),"",INDEX('DONNÉES BRUTES'!Z$3:Z$42,MATCH(LARGE(IF('DONNÉES BRUTES'!C$3:C$42="Financials",'DONNÉES BRUTES'!AB$3:AB$42+(ROW('DONNÉES BRUTES'!A$3:A$42)-ROW('DONNÉES BRUTES'!A$3))/1000,0),7),IF('DONNÉES BRUTES'!C$3:C$42="Financials",'DONNÉES BRUTES'!AB$3:AB$42+(ROW('DONNÉES BRUTES'!A$3:A$42)-ROW('DONNÉES BRUTES'!A$3))/1000,0),0))),"—")</f>
        <v/>
      </c>
      <c r="H17">
        <f t="array" ref="H17">IFERROR(IF(7&gt;COUNTIF('DONNÉES BRUTES'!C$3:C$42,"Financials"),"",INDEX('DONNÉES BRUTES'!AA$3:AA$42,MATCH(LARGE(IF('DONNÉES BRUTES'!C$3:C$42="Financials",'DONNÉES BRUTES'!AB$3:AB$42+(ROW('DONNÉES BRUTES'!A$3:A$42)-ROW('DONNÉES BRUTES'!A$3))/1000,0),7),IF('DONNÉES BRUTES'!C$3:C$42="Financials",'DONNÉES BRUTES'!AB$3:AB$42+(ROW('DONNÉES BRUTES'!A$3:A$42)-ROW('DONNÉES BRUTES'!A$3))/1000,0),0))),"—")</f>
        <v/>
      </c>
      <c r="I17">
        <f t="array" ref="I17">IFERROR(IF(7&gt;COUNTIF('DONNÉES BRUTES'!C$3:C$42,"Financials"),"",INDEX('DONNÉES BRUTES'!M$3:M$42,MATCH(LARGE(IF('DONNÉES BRUTES'!C$3:C$42="Financials",'DONNÉES BRUTES'!AB$3:AB$42+(ROW('DONNÉES BRUTES'!A$3:A$42)-ROW('DONNÉES BRUTES'!A$3))/1000,0),7),IF('DONNÉES BRUTES'!C$3:C$42="Financials",'DONNÉES BRUTES'!AB$3:AB$42+(ROW('DONNÉES BRUTES'!A$3:A$42)-ROW('DONNÉES BRUTES'!A$3))/1000,0),0))),"—")</f>
        <v/>
      </c>
      <c r="J17">
        <f t="array" ref="J17">IFERROR(IF(7&gt;COUNTIF('DONNÉES BRUTES'!C$3:C$42,"Financials"),"",INDEX('DONNÉES BRUTES'!N$3:N$42,MATCH(LARGE(IF('DONNÉES BRUTES'!C$3:C$42="Financials",'DONNÉES BRUTES'!AB$3:AB$42+(ROW('DONNÉES BRUTES'!A$3:A$42)-ROW('DONNÉES BRUTES'!A$3))/1000,0),7),IF('DONNÉES BRUTES'!C$3:C$42="Financials",'DONNÉES BRUTES'!AB$3:AB$42+(ROW('DONNÉES BRUTES'!A$3:A$42)-ROW('DONNÉES BRUTES'!A$3))/1000,0),0))),"—")</f>
        <v/>
      </c>
      <c r="K17">
        <f t="array" ref="K17">IFERROR(IF(7&gt;COUNTIF('DONNÉES BRUTES'!C$3:C$42,"Financials"),"",INDEX('DONNÉES BRUTES'!O$3:O$42,MATCH(LARGE(IF('DONNÉES BRUTES'!C$3:C$42="Financials",'DONNÉES BRUTES'!AB$3:AB$42+(ROW('DONNÉES BRUTES'!A$3:A$42)-ROW('DONNÉES BRUTES'!A$3))/1000,0),7),IF('DONNÉES BRUTES'!C$3:C$42="Financials",'DONNÉES BRUTES'!AB$3:AB$42+(ROW('DONNÉES BRUTES'!A$3:A$42)-ROW('DONNÉES BRUTES'!A$3))/1000,0),0))),"—")</f>
        <v/>
      </c>
      <c r="L17">
        <f t="array" ref="L17">IFERROR(IF(7&gt;COUNTIF('DONNÉES BRUTES'!C$3:C$42,"Financials"),"",INDEX('DONNÉES BRUTES'!P$3:P$42,MATCH(LARGE(IF('DONNÉES BRUTES'!C$3:C$42="Financials",'DONNÉES BRUTES'!AB$3:AB$42+(ROW('DONNÉES BRUTES'!A$3:A$42)-ROW('DONNÉES BRUTES'!A$3))/1000,0),7),IF('DONNÉES BRUTES'!C$3:C$42="Financials",'DONNÉES BRUTES'!AB$3:AB$42+(ROW('DONNÉES BRUTES'!A$3:A$42)-ROW('DONNÉES BRUTES'!A$3))/1000,0),0))),"—")</f>
        <v/>
      </c>
      <c r="M17">
        <f t="array" ref="M17">IFERROR(IF(7&gt;COUNTIF('DONNÉES BRUTES'!C$3:C$42,"Financials"),"",INDEX('DONNÉES BRUTES'!Q$3:Q$42,MATCH(LARGE(IF('DONNÉES BRUTES'!C$3:C$42="Financials",'DONNÉES BRUTES'!AB$3:AB$42+(ROW('DONNÉES BRUTES'!A$3:A$42)-ROW('DONNÉES BRUTES'!A$3))/1000,0),7),IF('DONNÉES BRUTES'!C$3:C$42="Financials",'DONNÉES BRUTES'!AB$3:AB$42+(ROW('DONNÉES BRUTES'!A$3:A$42)-ROW('DONNÉES BRUTES'!A$3))/1000,0),0))),"—")</f>
        <v/>
      </c>
      <c r="N17">
        <f t="array" ref="N17">IFERROR(IF(7&gt;COUNTIF('DONNÉES BRUTES'!C$3:C$42,"Financials"),"",INDEX('DONNÉES BRUTES'!S$3:S$42,MATCH(LARGE(IF('DONNÉES BRUTES'!C$3:C$42="Financials",'DONNÉES BRUTES'!AB$3:AB$42+(ROW('DONNÉES BRUTES'!A$3:A$42)-ROW('DONNÉES BRUTES'!A$3))/1000,0),7),IF('DONNÉES BRUTES'!C$3:C$42="Financials",'DONNÉES BRUTES'!AB$3:AB$42+(ROW('DONNÉES BRUTES'!A$3:A$42)-ROW('DONNÉES BRUTES'!A$3))/1000,0),0))),"—")</f>
        <v/>
      </c>
      <c r="O17">
        <f t="array" ref="O17">IFERROR(IF(7&gt;COUNTIF('DONNÉES BRUTES'!C$3:C$42,"Financials"),"",INDEX('DONNÉES BRUTES'!T$3:T$42,MATCH(LARGE(IF('DONNÉES BRUTES'!C$3:C$42="Financials",'DONNÉES BRUTES'!AB$3:AB$42+(ROW('DONNÉES BRUTES'!A$3:A$42)-ROW('DONNÉES BRUTES'!A$3))/1000,0),7),IF('DONNÉES BRUTES'!C$3:C$42="Financials",'DONNÉES BRUTES'!AB$3:AB$42+(ROW('DONNÉES BRUTES'!A$3:A$42)-ROW('DONNÉES BRUTES'!A$3))/1000,0),0))),"—")</f>
        <v/>
      </c>
      <c r="P17">
        <f t="array" ref="P17">IFERROR(IF(7&gt;COUNTIF('DONNÉES BRUTES'!C$3:C$42,"Financials"),"",INDEX('DONNÉES BRUTES'!U$3:U$42,MATCH(LARGE(IF('DONNÉES BRUTES'!C$3:C$42="Financials",'DONNÉES BRUTES'!AB$3:AB$42+(ROW('DONNÉES BRUTES'!A$3:A$42)-ROW('DONNÉES BRUTES'!A$3))/1000,0),7),IF('DONNÉES BRUTES'!C$3:C$42="Financials",'DONNÉES BRUTES'!AB$3:AB$42+(ROW('DONNÉES BRUTES'!A$3:A$42)-ROW('DONNÉES BRUTES'!A$3))/1000,0),0))),"—")</f>
        <v/>
      </c>
      <c r="Q17">
        <f t="array" ref="Q17">IFERROR(IF(7&gt;COUNTIF('DONNÉES BRUTES'!C$3:C$42,"Financials"),"",INDEX('DONNÉES BRUTES'!AD$3:AD$42,MATCH(LARGE(IF('DONNÉES BRUTES'!C$3:C$42="Financials",'DONNÉES BRUTES'!AB$3:AB$42+(ROW('DONNÉES BRUTES'!A$3:A$42)-ROW('DONNÉES BRUTES'!A$3))/1000,0),7),IF('DONNÉES BRUTES'!C$3:C$42="Financials",'DONNÉES BRUTES'!AB$3:AB$42+(ROW('DONNÉES BRUTES'!A$3:A$42)-ROW('DONNÉES BRUTES'!A$3))/1000,0),0))),"—")</f>
        <v/>
      </c>
    </row>
    <row r="18" ht="15.95" customHeight="1">
      <c r="B18">
        <f>IF(8&gt;COUNTIF('DONNÉES BRUTES'!C$3:C$42,"Financials"),"",8)</f>
        <v/>
      </c>
      <c r="C18">
        <f t="array" ref="C18">IFERROR(IF(8&gt;COUNTIF('DONNÉES BRUTES'!C$3:C$42,"Financials"),"",INDEX('DONNÉES BRUTES'!A$3:A$42,MATCH(LARGE(IF('DONNÉES BRUTES'!C$3:C$42="Financials",'DONNÉES BRUTES'!AB$3:AB$42+(ROW('DONNÉES BRUTES'!A$3:A$42)-ROW('DONNÉES BRUTES'!A$3))/1000,0),8),IF('DONNÉES BRUTES'!C$3:C$42="Financials",'DONNÉES BRUTES'!AB$3:AB$42+(ROW('DONNÉES BRUTES'!A$3:A$42)-ROW('DONNÉES BRUTES'!A$3))/1000,0),0))),"—")</f>
        <v/>
      </c>
      <c r="D18">
        <f t="array" ref="D18">IFERROR(IF(8&gt;COUNTIF('DONNÉES BRUTES'!C$3:C$42,"Financials"),"",INDEX('DONNÉES BRUTES'!B$3:B$42,MATCH(LARGE(IF('DONNÉES BRUTES'!C$3:C$42="Financials",'DONNÉES BRUTES'!AB$3:AB$42+(ROW('DONNÉES BRUTES'!A$3:A$42)-ROW('DONNÉES BRUTES'!A$3))/1000,0),8),IF('DONNÉES BRUTES'!C$3:C$42="Financials",'DONNÉES BRUTES'!AB$3:AB$42+(ROW('DONNÉES BRUTES'!A$3:A$42)-ROW('DONNÉES BRUTES'!A$3))/1000,0),0))),"—")</f>
        <v/>
      </c>
      <c r="E18">
        <f t="array" ref="E18">IFERROR(IF(8&gt;COUNTIF('DONNÉES BRUTES'!C$3:C$42,"Financials"),"",INT(LARGE(IF('DONNÉES BRUTES'!C$3:C$42="Financials",'DONNÉES BRUTES'!AB$3:AB$42+(ROW('DONNÉES BRUTES'!A$3:A$42)-ROW('DONNÉES BRUTES'!A$3))/1000,0),8))&amp;"/100"),"—")</f>
        <v/>
      </c>
      <c r="F18">
        <f t="array" ref="F18">IFERROR(IF(8&gt;COUNTIF('DONNÉES BRUTES'!C$3:C$42,"Financials"),"",INDEX('DONNÉES BRUTES'!Y$3:Y$42,MATCH(LARGE(IF('DONNÉES BRUTES'!C$3:C$42="Financials",'DONNÉES BRUTES'!AB$3:AB$42+(ROW('DONNÉES BRUTES'!A$3:A$42)-ROW('DONNÉES BRUTES'!A$3))/1000,0),8),IF('DONNÉES BRUTES'!C$3:C$42="Financials",'DONNÉES BRUTES'!AB$3:AB$42+(ROW('DONNÉES BRUTES'!A$3:A$42)-ROW('DONNÉES BRUTES'!A$3))/1000,0),0))),"—")</f>
        <v/>
      </c>
      <c r="G18">
        <f t="array" ref="G18">IFERROR(IF(8&gt;COUNTIF('DONNÉES BRUTES'!C$3:C$42,"Financials"),"",INDEX('DONNÉES BRUTES'!Z$3:Z$42,MATCH(LARGE(IF('DONNÉES BRUTES'!C$3:C$42="Financials",'DONNÉES BRUTES'!AB$3:AB$42+(ROW('DONNÉES BRUTES'!A$3:A$42)-ROW('DONNÉES BRUTES'!A$3))/1000,0),8),IF('DONNÉES BRUTES'!C$3:C$42="Financials",'DONNÉES BRUTES'!AB$3:AB$42+(ROW('DONNÉES BRUTES'!A$3:A$42)-ROW('DONNÉES BRUTES'!A$3))/1000,0),0))),"—")</f>
        <v/>
      </c>
      <c r="H18">
        <f t="array" ref="H18">IFERROR(IF(8&gt;COUNTIF('DONNÉES BRUTES'!C$3:C$42,"Financials"),"",INDEX('DONNÉES BRUTES'!AA$3:AA$42,MATCH(LARGE(IF('DONNÉES BRUTES'!C$3:C$42="Financials",'DONNÉES BRUTES'!AB$3:AB$42+(ROW('DONNÉES BRUTES'!A$3:A$42)-ROW('DONNÉES BRUTES'!A$3))/1000,0),8),IF('DONNÉES BRUTES'!C$3:C$42="Financials",'DONNÉES BRUTES'!AB$3:AB$42+(ROW('DONNÉES BRUTES'!A$3:A$42)-ROW('DONNÉES BRUTES'!A$3))/1000,0),0))),"—")</f>
        <v/>
      </c>
      <c r="I18">
        <f t="array" ref="I18">IFERROR(IF(8&gt;COUNTIF('DONNÉES BRUTES'!C$3:C$42,"Financials"),"",INDEX('DONNÉES BRUTES'!M$3:M$42,MATCH(LARGE(IF('DONNÉES BRUTES'!C$3:C$42="Financials",'DONNÉES BRUTES'!AB$3:AB$42+(ROW('DONNÉES BRUTES'!A$3:A$42)-ROW('DONNÉES BRUTES'!A$3))/1000,0),8),IF('DONNÉES BRUTES'!C$3:C$42="Financials",'DONNÉES BRUTES'!AB$3:AB$42+(ROW('DONNÉES BRUTES'!A$3:A$42)-ROW('DONNÉES BRUTES'!A$3))/1000,0),0))),"—")</f>
        <v/>
      </c>
      <c r="J18">
        <f t="array" ref="J18">IFERROR(IF(8&gt;COUNTIF('DONNÉES BRUTES'!C$3:C$42,"Financials"),"",INDEX('DONNÉES BRUTES'!N$3:N$42,MATCH(LARGE(IF('DONNÉES BRUTES'!C$3:C$42="Financials",'DONNÉES BRUTES'!AB$3:AB$42+(ROW('DONNÉES BRUTES'!A$3:A$42)-ROW('DONNÉES BRUTES'!A$3))/1000,0),8),IF('DONNÉES BRUTES'!C$3:C$42="Financials",'DONNÉES BRUTES'!AB$3:AB$42+(ROW('DONNÉES BRUTES'!A$3:A$42)-ROW('DONNÉES BRUTES'!A$3))/1000,0),0))),"—")</f>
        <v/>
      </c>
      <c r="K18">
        <f t="array" ref="K18">IFERROR(IF(8&gt;COUNTIF('DONNÉES BRUTES'!C$3:C$42,"Financials"),"",INDEX('DONNÉES BRUTES'!O$3:O$42,MATCH(LARGE(IF('DONNÉES BRUTES'!C$3:C$42="Financials",'DONNÉES BRUTES'!AB$3:AB$42+(ROW('DONNÉES BRUTES'!A$3:A$42)-ROW('DONNÉES BRUTES'!A$3))/1000,0),8),IF('DONNÉES BRUTES'!C$3:C$42="Financials",'DONNÉES BRUTES'!AB$3:AB$42+(ROW('DONNÉES BRUTES'!A$3:A$42)-ROW('DONNÉES BRUTES'!A$3))/1000,0),0))),"—")</f>
        <v/>
      </c>
      <c r="L18">
        <f t="array" ref="L18">IFERROR(IF(8&gt;COUNTIF('DONNÉES BRUTES'!C$3:C$42,"Financials"),"",INDEX('DONNÉES BRUTES'!P$3:P$42,MATCH(LARGE(IF('DONNÉES BRUTES'!C$3:C$42="Financials",'DONNÉES BRUTES'!AB$3:AB$42+(ROW('DONNÉES BRUTES'!A$3:A$42)-ROW('DONNÉES BRUTES'!A$3))/1000,0),8),IF('DONNÉES BRUTES'!C$3:C$42="Financials",'DONNÉES BRUTES'!AB$3:AB$42+(ROW('DONNÉES BRUTES'!A$3:A$42)-ROW('DONNÉES BRUTES'!A$3))/1000,0),0))),"—")</f>
        <v/>
      </c>
      <c r="M18">
        <f t="array" ref="M18">IFERROR(IF(8&gt;COUNTIF('DONNÉES BRUTES'!C$3:C$42,"Financials"),"",INDEX('DONNÉES BRUTES'!Q$3:Q$42,MATCH(LARGE(IF('DONNÉES BRUTES'!C$3:C$42="Financials",'DONNÉES BRUTES'!AB$3:AB$42+(ROW('DONNÉES BRUTES'!A$3:A$42)-ROW('DONNÉES BRUTES'!A$3))/1000,0),8),IF('DONNÉES BRUTES'!C$3:C$42="Financials",'DONNÉES BRUTES'!AB$3:AB$42+(ROW('DONNÉES BRUTES'!A$3:A$42)-ROW('DONNÉES BRUTES'!A$3))/1000,0),0))),"—")</f>
        <v/>
      </c>
      <c r="N18">
        <f t="array" ref="N18">IFERROR(IF(8&gt;COUNTIF('DONNÉES BRUTES'!C$3:C$42,"Financials"),"",INDEX('DONNÉES BRUTES'!S$3:S$42,MATCH(LARGE(IF('DONNÉES BRUTES'!C$3:C$42="Financials",'DONNÉES BRUTES'!AB$3:AB$42+(ROW('DONNÉES BRUTES'!A$3:A$42)-ROW('DONNÉES BRUTES'!A$3))/1000,0),8),IF('DONNÉES BRUTES'!C$3:C$42="Financials",'DONNÉES BRUTES'!AB$3:AB$42+(ROW('DONNÉES BRUTES'!A$3:A$42)-ROW('DONNÉES BRUTES'!A$3))/1000,0),0))),"—")</f>
        <v/>
      </c>
      <c r="O18">
        <f t="array" ref="O18">IFERROR(IF(8&gt;COUNTIF('DONNÉES BRUTES'!C$3:C$42,"Financials"),"",INDEX('DONNÉES BRUTES'!T$3:T$42,MATCH(LARGE(IF('DONNÉES BRUTES'!C$3:C$42="Financials",'DONNÉES BRUTES'!AB$3:AB$42+(ROW('DONNÉES BRUTES'!A$3:A$42)-ROW('DONNÉES BRUTES'!A$3))/1000,0),8),IF('DONNÉES BRUTES'!C$3:C$42="Financials",'DONNÉES BRUTES'!AB$3:AB$42+(ROW('DONNÉES BRUTES'!A$3:A$42)-ROW('DONNÉES BRUTES'!A$3))/1000,0),0))),"—")</f>
        <v/>
      </c>
      <c r="P18">
        <f t="array" ref="P18">IFERROR(IF(8&gt;COUNTIF('DONNÉES BRUTES'!C$3:C$42,"Financials"),"",INDEX('DONNÉES BRUTES'!U$3:U$42,MATCH(LARGE(IF('DONNÉES BRUTES'!C$3:C$42="Financials",'DONNÉES BRUTES'!AB$3:AB$42+(ROW('DONNÉES BRUTES'!A$3:A$42)-ROW('DONNÉES BRUTES'!A$3))/1000,0),8),IF('DONNÉES BRUTES'!C$3:C$42="Financials",'DONNÉES BRUTES'!AB$3:AB$42+(ROW('DONNÉES BRUTES'!A$3:A$42)-ROW('DONNÉES BRUTES'!A$3))/1000,0),0))),"—")</f>
        <v/>
      </c>
      <c r="Q18">
        <f t="array" ref="Q18">IFERROR(IF(8&gt;COUNTIF('DONNÉES BRUTES'!C$3:C$42,"Financials"),"",INDEX('DONNÉES BRUTES'!AD$3:AD$42,MATCH(LARGE(IF('DONNÉES BRUTES'!C$3:C$42="Financials",'DONNÉES BRUTES'!AB$3:AB$42+(ROW('DONNÉES BRUTES'!A$3:A$42)-ROW('DONNÉES BRUTES'!A$3))/1000,0),8),IF('DONNÉES BRUTES'!C$3:C$42="Financials",'DONNÉES BRUTES'!AB$3:AB$42+(ROW('DONNÉES BRUTES'!A$3:A$42)-ROW('DONNÉES BRUTES'!A$3))/1000,0),0))),"—")</f>
        <v/>
      </c>
    </row>
    <row r="19" ht="15.95" customHeight="1">
      <c r="B19">
        <f>IF(9&gt;COUNTIF('DONNÉES BRUTES'!C$3:C$42,"Financials"),"",9)</f>
        <v/>
      </c>
      <c r="C19">
        <f t="array" ref="C19">IFERROR(IF(9&gt;COUNTIF('DONNÉES BRUTES'!C$3:C$42,"Financials"),"",INDEX('DONNÉES BRUTES'!A$3:A$42,MATCH(LARGE(IF('DONNÉES BRUTES'!C$3:C$42="Financials",'DONNÉES BRUTES'!AB$3:AB$42+(ROW('DONNÉES BRUTES'!A$3:A$42)-ROW('DONNÉES BRUTES'!A$3))/1000,0),9),IF('DONNÉES BRUTES'!C$3:C$42="Financials",'DONNÉES BRUTES'!AB$3:AB$42+(ROW('DONNÉES BRUTES'!A$3:A$42)-ROW('DONNÉES BRUTES'!A$3))/1000,0),0))),"—")</f>
        <v/>
      </c>
      <c r="D19">
        <f t="array" ref="D19">IFERROR(IF(9&gt;COUNTIF('DONNÉES BRUTES'!C$3:C$42,"Financials"),"",INDEX('DONNÉES BRUTES'!B$3:B$42,MATCH(LARGE(IF('DONNÉES BRUTES'!C$3:C$42="Financials",'DONNÉES BRUTES'!AB$3:AB$42+(ROW('DONNÉES BRUTES'!A$3:A$42)-ROW('DONNÉES BRUTES'!A$3))/1000,0),9),IF('DONNÉES BRUTES'!C$3:C$42="Financials",'DONNÉES BRUTES'!AB$3:AB$42+(ROW('DONNÉES BRUTES'!A$3:A$42)-ROW('DONNÉES BRUTES'!A$3))/1000,0),0))),"—")</f>
        <v/>
      </c>
      <c r="E19">
        <f t="array" ref="E19">IFERROR(IF(9&gt;COUNTIF('DONNÉES BRUTES'!C$3:C$42,"Financials"),"",INT(LARGE(IF('DONNÉES BRUTES'!C$3:C$42="Financials",'DONNÉES BRUTES'!AB$3:AB$42+(ROW('DONNÉES BRUTES'!A$3:A$42)-ROW('DONNÉES BRUTES'!A$3))/1000,0),9))&amp;"/100"),"—")</f>
        <v/>
      </c>
      <c r="F19">
        <f t="array" ref="F19">IFERROR(IF(9&gt;COUNTIF('DONNÉES BRUTES'!C$3:C$42,"Financials"),"",INDEX('DONNÉES BRUTES'!Y$3:Y$42,MATCH(LARGE(IF('DONNÉES BRUTES'!C$3:C$42="Financials",'DONNÉES BRUTES'!AB$3:AB$42+(ROW('DONNÉES BRUTES'!A$3:A$42)-ROW('DONNÉES BRUTES'!A$3))/1000,0),9),IF('DONNÉES BRUTES'!C$3:C$42="Financials",'DONNÉES BRUTES'!AB$3:AB$42+(ROW('DONNÉES BRUTES'!A$3:A$42)-ROW('DONNÉES BRUTES'!A$3))/1000,0),0))),"—")</f>
        <v/>
      </c>
      <c r="G19">
        <f t="array" ref="G19">IFERROR(IF(9&gt;COUNTIF('DONNÉES BRUTES'!C$3:C$42,"Financials"),"",INDEX('DONNÉES BRUTES'!Z$3:Z$42,MATCH(LARGE(IF('DONNÉES BRUTES'!C$3:C$42="Financials",'DONNÉES BRUTES'!AB$3:AB$42+(ROW('DONNÉES BRUTES'!A$3:A$42)-ROW('DONNÉES BRUTES'!A$3))/1000,0),9),IF('DONNÉES BRUTES'!C$3:C$42="Financials",'DONNÉES BRUTES'!AB$3:AB$42+(ROW('DONNÉES BRUTES'!A$3:A$42)-ROW('DONNÉES BRUTES'!A$3))/1000,0),0))),"—")</f>
        <v/>
      </c>
      <c r="H19">
        <f t="array" ref="H19">IFERROR(IF(9&gt;COUNTIF('DONNÉES BRUTES'!C$3:C$42,"Financials"),"",INDEX('DONNÉES BRUTES'!AA$3:AA$42,MATCH(LARGE(IF('DONNÉES BRUTES'!C$3:C$42="Financials",'DONNÉES BRUTES'!AB$3:AB$42+(ROW('DONNÉES BRUTES'!A$3:A$42)-ROW('DONNÉES BRUTES'!A$3))/1000,0),9),IF('DONNÉES BRUTES'!C$3:C$42="Financials",'DONNÉES BRUTES'!AB$3:AB$42+(ROW('DONNÉES BRUTES'!A$3:A$42)-ROW('DONNÉES BRUTES'!A$3))/1000,0),0))),"—")</f>
        <v/>
      </c>
      <c r="I19">
        <f t="array" ref="I19">IFERROR(IF(9&gt;COUNTIF('DONNÉES BRUTES'!C$3:C$42,"Financials"),"",INDEX('DONNÉES BRUTES'!M$3:M$42,MATCH(LARGE(IF('DONNÉES BRUTES'!C$3:C$42="Financials",'DONNÉES BRUTES'!AB$3:AB$42+(ROW('DONNÉES BRUTES'!A$3:A$42)-ROW('DONNÉES BRUTES'!A$3))/1000,0),9),IF('DONNÉES BRUTES'!C$3:C$42="Financials",'DONNÉES BRUTES'!AB$3:AB$42+(ROW('DONNÉES BRUTES'!A$3:A$42)-ROW('DONNÉES BRUTES'!A$3))/1000,0),0))),"—")</f>
        <v/>
      </c>
      <c r="J19">
        <f t="array" ref="J19">IFERROR(IF(9&gt;COUNTIF('DONNÉES BRUTES'!C$3:C$42,"Financials"),"",INDEX('DONNÉES BRUTES'!N$3:N$42,MATCH(LARGE(IF('DONNÉES BRUTES'!C$3:C$42="Financials",'DONNÉES BRUTES'!AB$3:AB$42+(ROW('DONNÉES BRUTES'!A$3:A$42)-ROW('DONNÉES BRUTES'!A$3))/1000,0),9),IF('DONNÉES BRUTES'!C$3:C$42="Financials",'DONNÉES BRUTES'!AB$3:AB$42+(ROW('DONNÉES BRUTES'!A$3:A$42)-ROW('DONNÉES BRUTES'!A$3))/1000,0),0))),"—")</f>
        <v/>
      </c>
      <c r="K19">
        <f t="array" ref="K19">IFERROR(IF(9&gt;COUNTIF('DONNÉES BRUTES'!C$3:C$42,"Financials"),"",INDEX('DONNÉES BRUTES'!O$3:O$42,MATCH(LARGE(IF('DONNÉES BRUTES'!C$3:C$42="Financials",'DONNÉES BRUTES'!AB$3:AB$42+(ROW('DONNÉES BRUTES'!A$3:A$42)-ROW('DONNÉES BRUTES'!A$3))/1000,0),9),IF('DONNÉES BRUTES'!C$3:C$42="Financials",'DONNÉES BRUTES'!AB$3:AB$42+(ROW('DONNÉES BRUTES'!A$3:A$42)-ROW('DONNÉES BRUTES'!A$3))/1000,0),0))),"—")</f>
        <v/>
      </c>
      <c r="L19">
        <f t="array" ref="L19">IFERROR(IF(9&gt;COUNTIF('DONNÉES BRUTES'!C$3:C$42,"Financials"),"",INDEX('DONNÉES BRUTES'!P$3:P$42,MATCH(LARGE(IF('DONNÉES BRUTES'!C$3:C$42="Financials",'DONNÉES BRUTES'!AB$3:AB$42+(ROW('DONNÉES BRUTES'!A$3:A$42)-ROW('DONNÉES BRUTES'!A$3))/1000,0),9),IF('DONNÉES BRUTES'!C$3:C$42="Financials",'DONNÉES BRUTES'!AB$3:AB$42+(ROW('DONNÉES BRUTES'!A$3:A$42)-ROW('DONNÉES BRUTES'!A$3))/1000,0),0))),"—")</f>
        <v/>
      </c>
      <c r="M19">
        <f t="array" ref="M19">IFERROR(IF(9&gt;COUNTIF('DONNÉES BRUTES'!C$3:C$42,"Financials"),"",INDEX('DONNÉES BRUTES'!Q$3:Q$42,MATCH(LARGE(IF('DONNÉES BRUTES'!C$3:C$42="Financials",'DONNÉES BRUTES'!AB$3:AB$42+(ROW('DONNÉES BRUTES'!A$3:A$42)-ROW('DONNÉES BRUTES'!A$3))/1000,0),9),IF('DONNÉES BRUTES'!C$3:C$42="Financials",'DONNÉES BRUTES'!AB$3:AB$42+(ROW('DONNÉES BRUTES'!A$3:A$42)-ROW('DONNÉES BRUTES'!A$3))/1000,0),0))),"—")</f>
        <v/>
      </c>
      <c r="N19">
        <f t="array" ref="N19">IFERROR(IF(9&gt;COUNTIF('DONNÉES BRUTES'!C$3:C$42,"Financials"),"",INDEX('DONNÉES BRUTES'!S$3:S$42,MATCH(LARGE(IF('DONNÉES BRUTES'!C$3:C$42="Financials",'DONNÉES BRUTES'!AB$3:AB$42+(ROW('DONNÉES BRUTES'!A$3:A$42)-ROW('DONNÉES BRUTES'!A$3))/1000,0),9),IF('DONNÉES BRUTES'!C$3:C$42="Financials",'DONNÉES BRUTES'!AB$3:AB$42+(ROW('DONNÉES BRUTES'!A$3:A$42)-ROW('DONNÉES BRUTES'!A$3))/1000,0),0))),"—")</f>
        <v/>
      </c>
      <c r="O19">
        <f t="array" ref="O19">IFERROR(IF(9&gt;COUNTIF('DONNÉES BRUTES'!C$3:C$42,"Financials"),"",INDEX('DONNÉES BRUTES'!T$3:T$42,MATCH(LARGE(IF('DONNÉES BRUTES'!C$3:C$42="Financials",'DONNÉES BRUTES'!AB$3:AB$42+(ROW('DONNÉES BRUTES'!A$3:A$42)-ROW('DONNÉES BRUTES'!A$3))/1000,0),9),IF('DONNÉES BRUTES'!C$3:C$42="Financials",'DONNÉES BRUTES'!AB$3:AB$42+(ROW('DONNÉES BRUTES'!A$3:A$42)-ROW('DONNÉES BRUTES'!A$3))/1000,0),0))),"—")</f>
        <v/>
      </c>
      <c r="P19">
        <f t="array" ref="P19">IFERROR(IF(9&gt;COUNTIF('DONNÉES BRUTES'!C$3:C$42,"Financials"),"",INDEX('DONNÉES BRUTES'!U$3:U$42,MATCH(LARGE(IF('DONNÉES BRUTES'!C$3:C$42="Financials",'DONNÉES BRUTES'!AB$3:AB$42+(ROW('DONNÉES BRUTES'!A$3:A$42)-ROW('DONNÉES BRUTES'!A$3))/1000,0),9),IF('DONNÉES BRUTES'!C$3:C$42="Financials",'DONNÉES BRUTES'!AB$3:AB$42+(ROW('DONNÉES BRUTES'!A$3:A$42)-ROW('DONNÉES BRUTES'!A$3))/1000,0),0))),"—")</f>
        <v/>
      </c>
      <c r="Q19">
        <f t="array" ref="Q19">IFERROR(IF(9&gt;COUNTIF('DONNÉES BRUTES'!C$3:C$42,"Financials"),"",INDEX('DONNÉES BRUTES'!AD$3:AD$42,MATCH(LARGE(IF('DONNÉES BRUTES'!C$3:C$42="Financials",'DONNÉES BRUTES'!AB$3:AB$42+(ROW('DONNÉES BRUTES'!A$3:A$42)-ROW('DONNÉES BRUTES'!A$3))/1000,0),9),IF('DONNÉES BRUTES'!C$3:C$42="Financials",'DONNÉES BRUTES'!AB$3:AB$42+(ROW('DONNÉES BRUTES'!A$3:A$42)-ROW('DONNÉES BRUTES'!A$3))/1000,0),0))),"—")</f>
        <v/>
      </c>
    </row>
    <row r="20" ht="15.95" customHeight="1">
      <c r="B20">
        <f>IF(10&gt;COUNTIF('DONNÉES BRUTES'!C$3:C$42,"Financials"),"",10)</f>
        <v/>
      </c>
      <c r="C20">
        <f t="array" ref="C20">IFERROR(IF(10&gt;COUNTIF('DONNÉES BRUTES'!C$3:C$42,"Financials"),"",INDEX('DONNÉES BRUTES'!A$3:A$42,MATCH(LARGE(IF('DONNÉES BRUTES'!C$3:C$42="Financials",'DONNÉES BRUTES'!AB$3:AB$42+(ROW('DONNÉES BRUTES'!A$3:A$42)-ROW('DONNÉES BRUTES'!A$3))/1000,0),10),IF('DONNÉES BRUTES'!C$3:C$42="Financials",'DONNÉES BRUTES'!AB$3:AB$42+(ROW('DONNÉES BRUTES'!A$3:A$42)-ROW('DONNÉES BRUTES'!A$3))/1000,0),0))),"—")</f>
        <v/>
      </c>
      <c r="D20">
        <f t="array" ref="D20">IFERROR(IF(10&gt;COUNTIF('DONNÉES BRUTES'!C$3:C$42,"Financials"),"",INDEX('DONNÉES BRUTES'!B$3:B$42,MATCH(LARGE(IF('DONNÉES BRUTES'!C$3:C$42="Financials",'DONNÉES BRUTES'!AB$3:AB$42+(ROW('DONNÉES BRUTES'!A$3:A$42)-ROW('DONNÉES BRUTES'!A$3))/1000,0),10),IF('DONNÉES BRUTES'!C$3:C$42="Financials",'DONNÉES BRUTES'!AB$3:AB$42+(ROW('DONNÉES BRUTES'!A$3:A$42)-ROW('DONNÉES BRUTES'!A$3))/1000,0),0))),"—")</f>
        <v/>
      </c>
      <c r="E20">
        <f t="array" ref="E20">IFERROR(IF(10&gt;COUNTIF('DONNÉES BRUTES'!C$3:C$42,"Financials"),"",INT(LARGE(IF('DONNÉES BRUTES'!C$3:C$42="Financials",'DONNÉES BRUTES'!AB$3:AB$42+(ROW('DONNÉES BRUTES'!A$3:A$42)-ROW('DONNÉES BRUTES'!A$3))/1000,0),10))&amp;"/100"),"—")</f>
        <v/>
      </c>
      <c r="F20">
        <f t="array" ref="F20">IFERROR(IF(10&gt;COUNTIF('DONNÉES BRUTES'!C$3:C$42,"Financials"),"",INDEX('DONNÉES BRUTES'!Y$3:Y$42,MATCH(LARGE(IF('DONNÉES BRUTES'!C$3:C$42="Financials",'DONNÉES BRUTES'!AB$3:AB$42+(ROW('DONNÉES BRUTES'!A$3:A$42)-ROW('DONNÉES BRUTES'!A$3))/1000,0),10),IF('DONNÉES BRUTES'!C$3:C$42="Financials",'DONNÉES BRUTES'!AB$3:AB$42+(ROW('DONNÉES BRUTES'!A$3:A$42)-ROW('DONNÉES BRUTES'!A$3))/1000,0),0))),"—")</f>
        <v/>
      </c>
      <c r="G20">
        <f t="array" ref="G20">IFERROR(IF(10&gt;COUNTIF('DONNÉES BRUTES'!C$3:C$42,"Financials"),"",INDEX('DONNÉES BRUTES'!Z$3:Z$42,MATCH(LARGE(IF('DONNÉES BRUTES'!C$3:C$42="Financials",'DONNÉES BRUTES'!AB$3:AB$42+(ROW('DONNÉES BRUTES'!A$3:A$42)-ROW('DONNÉES BRUTES'!A$3))/1000,0),10),IF('DONNÉES BRUTES'!C$3:C$42="Financials",'DONNÉES BRUTES'!AB$3:AB$42+(ROW('DONNÉES BRUTES'!A$3:A$42)-ROW('DONNÉES BRUTES'!A$3))/1000,0),0))),"—")</f>
        <v/>
      </c>
      <c r="H20">
        <f t="array" ref="H20">IFERROR(IF(10&gt;COUNTIF('DONNÉES BRUTES'!C$3:C$42,"Financials"),"",INDEX('DONNÉES BRUTES'!AA$3:AA$42,MATCH(LARGE(IF('DONNÉES BRUTES'!C$3:C$42="Financials",'DONNÉES BRUTES'!AB$3:AB$42+(ROW('DONNÉES BRUTES'!A$3:A$42)-ROW('DONNÉES BRUTES'!A$3))/1000,0),10),IF('DONNÉES BRUTES'!C$3:C$42="Financials",'DONNÉES BRUTES'!AB$3:AB$42+(ROW('DONNÉES BRUTES'!A$3:A$42)-ROW('DONNÉES BRUTES'!A$3))/1000,0),0))),"—")</f>
        <v/>
      </c>
      <c r="I20">
        <f t="array" ref="I20">IFERROR(IF(10&gt;COUNTIF('DONNÉES BRUTES'!C$3:C$42,"Financials"),"",INDEX('DONNÉES BRUTES'!M$3:M$42,MATCH(LARGE(IF('DONNÉES BRUTES'!C$3:C$42="Financials",'DONNÉES BRUTES'!AB$3:AB$42+(ROW('DONNÉES BRUTES'!A$3:A$42)-ROW('DONNÉES BRUTES'!A$3))/1000,0),10),IF('DONNÉES BRUTES'!C$3:C$42="Financials",'DONNÉES BRUTES'!AB$3:AB$42+(ROW('DONNÉES BRUTES'!A$3:A$42)-ROW('DONNÉES BRUTES'!A$3))/1000,0),0))),"—")</f>
        <v/>
      </c>
      <c r="J20">
        <f t="array" ref="J20">IFERROR(IF(10&gt;COUNTIF('DONNÉES BRUTES'!C$3:C$42,"Financials"),"",INDEX('DONNÉES BRUTES'!N$3:N$42,MATCH(LARGE(IF('DONNÉES BRUTES'!C$3:C$42="Financials",'DONNÉES BRUTES'!AB$3:AB$42+(ROW('DONNÉES BRUTES'!A$3:A$42)-ROW('DONNÉES BRUTES'!A$3))/1000,0),10),IF('DONNÉES BRUTES'!C$3:C$42="Financials",'DONNÉES BRUTES'!AB$3:AB$42+(ROW('DONNÉES BRUTES'!A$3:A$42)-ROW('DONNÉES BRUTES'!A$3))/1000,0),0))),"—")</f>
        <v/>
      </c>
      <c r="K20">
        <f t="array" ref="K20">IFERROR(IF(10&gt;COUNTIF('DONNÉES BRUTES'!C$3:C$42,"Financials"),"",INDEX('DONNÉES BRUTES'!O$3:O$42,MATCH(LARGE(IF('DONNÉES BRUTES'!C$3:C$42="Financials",'DONNÉES BRUTES'!AB$3:AB$42+(ROW('DONNÉES BRUTES'!A$3:A$42)-ROW('DONNÉES BRUTES'!A$3))/1000,0),10),IF('DONNÉES BRUTES'!C$3:C$42="Financials",'DONNÉES BRUTES'!AB$3:AB$42+(ROW('DONNÉES BRUTES'!A$3:A$42)-ROW('DONNÉES BRUTES'!A$3))/1000,0),0))),"—")</f>
        <v/>
      </c>
      <c r="L20">
        <f t="array" ref="L20">IFERROR(IF(10&gt;COUNTIF('DONNÉES BRUTES'!C$3:C$42,"Financials"),"",INDEX('DONNÉES BRUTES'!P$3:P$42,MATCH(LARGE(IF('DONNÉES BRUTES'!C$3:C$42="Financials",'DONNÉES BRUTES'!AB$3:AB$42+(ROW('DONNÉES BRUTES'!A$3:A$42)-ROW('DONNÉES BRUTES'!A$3))/1000,0),10),IF('DONNÉES BRUTES'!C$3:C$42="Financials",'DONNÉES BRUTES'!AB$3:AB$42+(ROW('DONNÉES BRUTES'!A$3:A$42)-ROW('DONNÉES BRUTES'!A$3))/1000,0),0))),"—")</f>
        <v/>
      </c>
      <c r="M20">
        <f t="array" ref="M20">IFERROR(IF(10&gt;COUNTIF('DONNÉES BRUTES'!C$3:C$42,"Financials"),"",INDEX('DONNÉES BRUTES'!Q$3:Q$42,MATCH(LARGE(IF('DONNÉES BRUTES'!C$3:C$42="Financials",'DONNÉES BRUTES'!AB$3:AB$42+(ROW('DONNÉES BRUTES'!A$3:A$42)-ROW('DONNÉES BRUTES'!A$3))/1000,0),10),IF('DONNÉES BRUTES'!C$3:C$42="Financials",'DONNÉES BRUTES'!AB$3:AB$42+(ROW('DONNÉES BRUTES'!A$3:A$42)-ROW('DONNÉES BRUTES'!A$3))/1000,0),0))),"—")</f>
        <v/>
      </c>
      <c r="N20">
        <f t="array" ref="N20">IFERROR(IF(10&gt;COUNTIF('DONNÉES BRUTES'!C$3:C$42,"Financials"),"",INDEX('DONNÉES BRUTES'!S$3:S$42,MATCH(LARGE(IF('DONNÉES BRUTES'!C$3:C$42="Financials",'DONNÉES BRUTES'!AB$3:AB$42+(ROW('DONNÉES BRUTES'!A$3:A$42)-ROW('DONNÉES BRUTES'!A$3))/1000,0),10),IF('DONNÉES BRUTES'!C$3:C$42="Financials",'DONNÉES BRUTES'!AB$3:AB$42+(ROW('DONNÉES BRUTES'!A$3:A$42)-ROW('DONNÉES BRUTES'!A$3))/1000,0),0))),"—")</f>
        <v/>
      </c>
      <c r="O20">
        <f t="array" ref="O20">IFERROR(IF(10&gt;COUNTIF('DONNÉES BRUTES'!C$3:C$42,"Financials"),"",INDEX('DONNÉES BRUTES'!T$3:T$42,MATCH(LARGE(IF('DONNÉES BRUTES'!C$3:C$42="Financials",'DONNÉES BRUTES'!AB$3:AB$42+(ROW('DONNÉES BRUTES'!A$3:A$42)-ROW('DONNÉES BRUTES'!A$3))/1000,0),10),IF('DONNÉES BRUTES'!C$3:C$42="Financials",'DONNÉES BRUTES'!AB$3:AB$42+(ROW('DONNÉES BRUTES'!A$3:A$42)-ROW('DONNÉES BRUTES'!A$3))/1000,0),0))),"—")</f>
        <v/>
      </c>
      <c r="P20">
        <f t="array" ref="P20">IFERROR(IF(10&gt;COUNTIF('DONNÉES BRUTES'!C$3:C$42,"Financials"),"",INDEX('DONNÉES BRUTES'!U$3:U$42,MATCH(LARGE(IF('DONNÉES BRUTES'!C$3:C$42="Financials",'DONNÉES BRUTES'!AB$3:AB$42+(ROW('DONNÉES BRUTES'!A$3:A$42)-ROW('DONNÉES BRUTES'!A$3))/1000,0),10),IF('DONNÉES BRUTES'!C$3:C$42="Financials",'DONNÉES BRUTES'!AB$3:AB$42+(ROW('DONNÉES BRUTES'!A$3:A$42)-ROW('DONNÉES BRUTES'!A$3))/1000,0),0))),"—")</f>
        <v/>
      </c>
      <c r="Q20">
        <f t="array" ref="Q20">IFERROR(IF(10&gt;COUNTIF('DONNÉES BRUTES'!C$3:C$42,"Financials"),"",INDEX('DONNÉES BRUTES'!AD$3:AD$42,MATCH(LARGE(IF('DONNÉES BRUTES'!C$3:C$42="Financials",'DONNÉES BRUTES'!AB$3:AB$42+(ROW('DONNÉES BRUTES'!A$3:A$42)-ROW('DONNÉES BRUTES'!A$3))/1000,0),10),IF('DONNÉES BRUTES'!C$3:C$42="Financials",'DONNÉES BRUTES'!AB$3:AB$42+(ROW('DONNÉES BRUTES'!A$3:A$42)-ROW('DONNÉES BRUTES'!A$3))/1000,0),0))),"—")</f>
        <v/>
      </c>
    </row>
    <row r="21" ht="15.95" customHeight="1">
      <c r="B21">
        <f>IF(11&gt;COUNTIF('DONNÉES BRUTES'!C$3:C$42,"Financials"),"",11)</f>
        <v/>
      </c>
      <c r="C21">
        <f t="array" ref="C21">IFERROR(IF(11&gt;COUNTIF('DONNÉES BRUTES'!C$3:C$42,"Financials"),"",INDEX('DONNÉES BRUTES'!A$3:A$42,MATCH(LARGE(IF('DONNÉES BRUTES'!C$3:C$42="Financials",'DONNÉES BRUTES'!AB$3:AB$42+(ROW('DONNÉES BRUTES'!A$3:A$42)-ROW('DONNÉES BRUTES'!A$3))/1000,0),11),IF('DONNÉES BRUTES'!C$3:C$42="Financials",'DONNÉES BRUTES'!AB$3:AB$42+(ROW('DONNÉES BRUTES'!A$3:A$42)-ROW('DONNÉES BRUTES'!A$3))/1000,0),0))),"—")</f>
        <v/>
      </c>
      <c r="D21">
        <f t="array" ref="D21">IFERROR(IF(11&gt;COUNTIF('DONNÉES BRUTES'!C$3:C$42,"Financials"),"",INDEX('DONNÉES BRUTES'!B$3:B$42,MATCH(LARGE(IF('DONNÉES BRUTES'!C$3:C$42="Financials",'DONNÉES BRUTES'!AB$3:AB$42+(ROW('DONNÉES BRUTES'!A$3:A$42)-ROW('DONNÉES BRUTES'!A$3))/1000,0),11),IF('DONNÉES BRUTES'!C$3:C$42="Financials",'DONNÉES BRUTES'!AB$3:AB$42+(ROW('DONNÉES BRUTES'!A$3:A$42)-ROW('DONNÉES BRUTES'!A$3))/1000,0),0))),"—")</f>
        <v/>
      </c>
      <c r="E21">
        <f t="array" ref="E21">IFERROR(IF(11&gt;COUNTIF('DONNÉES BRUTES'!C$3:C$42,"Financials"),"",INT(LARGE(IF('DONNÉES BRUTES'!C$3:C$42="Financials",'DONNÉES BRUTES'!AB$3:AB$42+(ROW('DONNÉES BRUTES'!A$3:A$42)-ROW('DONNÉES BRUTES'!A$3))/1000,0),11))&amp;"/100"),"—")</f>
        <v/>
      </c>
      <c r="F21">
        <f t="array" ref="F21">IFERROR(IF(11&gt;COUNTIF('DONNÉES BRUTES'!C$3:C$42,"Financials"),"",INDEX('DONNÉES BRUTES'!Y$3:Y$42,MATCH(LARGE(IF('DONNÉES BRUTES'!C$3:C$42="Financials",'DONNÉES BRUTES'!AB$3:AB$42+(ROW('DONNÉES BRUTES'!A$3:A$42)-ROW('DONNÉES BRUTES'!A$3))/1000,0),11),IF('DONNÉES BRUTES'!C$3:C$42="Financials",'DONNÉES BRUTES'!AB$3:AB$42+(ROW('DONNÉES BRUTES'!A$3:A$42)-ROW('DONNÉES BRUTES'!A$3))/1000,0),0))),"—")</f>
        <v/>
      </c>
      <c r="G21">
        <f t="array" ref="G21">IFERROR(IF(11&gt;COUNTIF('DONNÉES BRUTES'!C$3:C$42,"Financials"),"",INDEX('DONNÉES BRUTES'!Z$3:Z$42,MATCH(LARGE(IF('DONNÉES BRUTES'!C$3:C$42="Financials",'DONNÉES BRUTES'!AB$3:AB$42+(ROW('DONNÉES BRUTES'!A$3:A$42)-ROW('DONNÉES BRUTES'!A$3))/1000,0),11),IF('DONNÉES BRUTES'!C$3:C$42="Financials",'DONNÉES BRUTES'!AB$3:AB$42+(ROW('DONNÉES BRUTES'!A$3:A$42)-ROW('DONNÉES BRUTES'!A$3))/1000,0),0))),"—")</f>
        <v/>
      </c>
      <c r="H21">
        <f t="array" ref="H21">IFERROR(IF(11&gt;COUNTIF('DONNÉES BRUTES'!C$3:C$42,"Financials"),"",INDEX('DONNÉES BRUTES'!AA$3:AA$42,MATCH(LARGE(IF('DONNÉES BRUTES'!C$3:C$42="Financials",'DONNÉES BRUTES'!AB$3:AB$42+(ROW('DONNÉES BRUTES'!A$3:A$42)-ROW('DONNÉES BRUTES'!A$3))/1000,0),11),IF('DONNÉES BRUTES'!C$3:C$42="Financials",'DONNÉES BRUTES'!AB$3:AB$42+(ROW('DONNÉES BRUTES'!A$3:A$42)-ROW('DONNÉES BRUTES'!A$3))/1000,0),0))),"—")</f>
        <v/>
      </c>
      <c r="I21">
        <f t="array" ref="I21">IFERROR(IF(11&gt;COUNTIF('DONNÉES BRUTES'!C$3:C$42,"Financials"),"",INDEX('DONNÉES BRUTES'!M$3:M$42,MATCH(LARGE(IF('DONNÉES BRUTES'!C$3:C$42="Financials",'DONNÉES BRUTES'!AB$3:AB$42+(ROW('DONNÉES BRUTES'!A$3:A$42)-ROW('DONNÉES BRUTES'!A$3))/1000,0),11),IF('DONNÉES BRUTES'!C$3:C$42="Financials",'DONNÉES BRUTES'!AB$3:AB$42+(ROW('DONNÉES BRUTES'!A$3:A$42)-ROW('DONNÉES BRUTES'!A$3))/1000,0),0))),"—")</f>
        <v/>
      </c>
      <c r="J21">
        <f t="array" ref="J21">IFERROR(IF(11&gt;COUNTIF('DONNÉES BRUTES'!C$3:C$42,"Financials"),"",INDEX('DONNÉES BRUTES'!N$3:N$42,MATCH(LARGE(IF('DONNÉES BRUTES'!C$3:C$42="Financials",'DONNÉES BRUTES'!AB$3:AB$42+(ROW('DONNÉES BRUTES'!A$3:A$42)-ROW('DONNÉES BRUTES'!A$3))/1000,0),11),IF('DONNÉES BRUTES'!C$3:C$42="Financials",'DONNÉES BRUTES'!AB$3:AB$42+(ROW('DONNÉES BRUTES'!A$3:A$42)-ROW('DONNÉES BRUTES'!A$3))/1000,0),0))),"—")</f>
        <v/>
      </c>
      <c r="K21">
        <f t="array" ref="K21">IFERROR(IF(11&gt;COUNTIF('DONNÉES BRUTES'!C$3:C$42,"Financials"),"",INDEX('DONNÉES BRUTES'!O$3:O$42,MATCH(LARGE(IF('DONNÉES BRUTES'!C$3:C$42="Financials",'DONNÉES BRUTES'!AB$3:AB$42+(ROW('DONNÉES BRUTES'!A$3:A$42)-ROW('DONNÉES BRUTES'!A$3))/1000,0),11),IF('DONNÉES BRUTES'!C$3:C$42="Financials",'DONNÉES BRUTES'!AB$3:AB$42+(ROW('DONNÉES BRUTES'!A$3:A$42)-ROW('DONNÉES BRUTES'!A$3))/1000,0),0))),"—")</f>
        <v/>
      </c>
      <c r="L21">
        <f t="array" ref="L21">IFERROR(IF(11&gt;COUNTIF('DONNÉES BRUTES'!C$3:C$42,"Financials"),"",INDEX('DONNÉES BRUTES'!P$3:P$42,MATCH(LARGE(IF('DONNÉES BRUTES'!C$3:C$42="Financials",'DONNÉES BRUTES'!AB$3:AB$42+(ROW('DONNÉES BRUTES'!A$3:A$42)-ROW('DONNÉES BRUTES'!A$3))/1000,0),11),IF('DONNÉES BRUTES'!C$3:C$42="Financials",'DONNÉES BRUTES'!AB$3:AB$42+(ROW('DONNÉES BRUTES'!A$3:A$42)-ROW('DONNÉES BRUTES'!A$3))/1000,0),0))),"—")</f>
        <v/>
      </c>
      <c r="M21">
        <f t="array" ref="M21">IFERROR(IF(11&gt;COUNTIF('DONNÉES BRUTES'!C$3:C$42,"Financials"),"",INDEX('DONNÉES BRUTES'!Q$3:Q$42,MATCH(LARGE(IF('DONNÉES BRUTES'!C$3:C$42="Financials",'DONNÉES BRUTES'!AB$3:AB$42+(ROW('DONNÉES BRUTES'!A$3:A$42)-ROW('DONNÉES BRUTES'!A$3))/1000,0),11),IF('DONNÉES BRUTES'!C$3:C$42="Financials",'DONNÉES BRUTES'!AB$3:AB$42+(ROW('DONNÉES BRUTES'!A$3:A$42)-ROW('DONNÉES BRUTES'!A$3))/1000,0),0))),"—")</f>
        <v/>
      </c>
      <c r="N21">
        <f t="array" ref="N21">IFERROR(IF(11&gt;COUNTIF('DONNÉES BRUTES'!C$3:C$42,"Financials"),"",INDEX('DONNÉES BRUTES'!S$3:S$42,MATCH(LARGE(IF('DONNÉES BRUTES'!C$3:C$42="Financials",'DONNÉES BRUTES'!AB$3:AB$42+(ROW('DONNÉES BRUTES'!A$3:A$42)-ROW('DONNÉES BRUTES'!A$3))/1000,0),11),IF('DONNÉES BRUTES'!C$3:C$42="Financials",'DONNÉES BRUTES'!AB$3:AB$42+(ROW('DONNÉES BRUTES'!A$3:A$42)-ROW('DONNÉES BRUTES'!A$3))/1000,0),0))),"—")</f>
        <v/>
      </c>
      <c r="O21">
        <f t="array" ref="O21">IFERROR(IF(11&gt;COUNTIF('DONNÉES BRUTES'!C$3:C$42,"Financials"),"",INDEX('DONNÉES BRUTES'!T$3:T$42,MATCH(LARGE(IF('DONNÉES BRUTES'!C$3:C$42="Financials",'DONNÉES BRUTES'!AB$3:AB$42+(ROW('DONNÉES BRUTES'!A$3:A$42)-ROW('DONNÉES BRUTES'!A$3))/1000,0),11),IF('DONNÉES BRUTES'!C$3:C$42="Financials",'DONNÉES BRUTES'!AB$3:AB$42+(ROW('DONNÉES BRUTES'!A$3:A$42)-ROW('DONNÉES BRUTES'!A$3))/1000,0),0))),"—")</f>
        <v/>
      </c>
      <c r="P21">
        <f t="array" ref="P21">IFERROR(IF(11&gt;COUNTIF('DONNÉES BRUTES'!C$3:C$42,"Financials"),"",INDEX('DONNÉES BRUTES'!U$3:U$42,MATCH(LARGE(IF('DONNÉES BRUTES'!C$3:C$42="Financials",'DONNÉES BRUTES'!AB$3:AB$42+(ROW('DONNÉES BRUTES'!A$3:A$42)-ROW('DONNÉES BRUTES'!A$3))/1000,0),11),IF('DONNÉES BRUTES'!C$3:C$42="Financials",'DONNÉES BRUTES'!AB$3:AB$42+(ROW('DONNÉES BRUTES'!A$3:A$42)-ROW('DONNÉES BRUTES'!A$3))/1000,0),0))),"—")</f>
        <v/>
      </c>
      <c r="Q21">
        <f t="array" ref="Q21">IFERROR(IF(11&gt;COUNTIF('DONNÉES BRUTES'!C$3:C$42,"Financials"),"",INDEX('DONNÉES BRUTES'!AD$3:AD$42,MATCH(LARGE(IF('DONNÉES BRUTES'!C$3:C$42="Financials",'DONNÉES BRUTES'!AB$3:AB$42+(ROW('DONNÉES BRUTES'!A$3:A$42)-ROW('DONNÉES BRUTES'!A$3))/1000,0),11),IF('DONNÉES BRUTES'!C$3:C$42="Financials",'DONNÉES BRUTES'!AB$3:AB$42+(ROW('DONNÉES BRUTES'!A$3:A$42)-ROW('DONNÉES BRUTES'!A$3))/1000,0),0))),"—")</f>
        <v/>
      </c>
    </row>
    <row r="22" ht="15.95" customHeight="1">
      <c r="B22">
        <f>IF(12&gt;COUNTIF('DONNÉES BRUTES'!C$3:C$42,"Financials"),"",12)</f>
        <v/>
      </c>
      <c r="C22">
        <f t="array" ref="C22">IFERROR(IF(12&gt;COUNTIF('DONNÉES BRUTES'!C$3:C$42,"Financials"),"",INDEX('DONNÉES BRUTES'!A$3:A$42,MATCH(LARGE(IF('DONNÉES BRUTES'!C$3:C$42="Financials",'DONNÉES BRUTES'!AB$3:AB$42+(ROW('DONNÉES BRUTES'!A$3:A$42)-ROW('DONNÉES BRUTES'!A$3))/1000,0),12),IF('DONNÉES BRUTES'!C$3:C$42="Financials",'DONNÉES BRUTES'!AB$3:AB$42+(ROW('DONNÉES BRUTES'!A$3:A$42)-ROW('DONNÉES BRUTES'!A$3))/1000,0),0))),"—")</f>
        <v/>
      </c>
      <c r="D22">
        <f t="array" ref="D22">IFERROR(IF(12&gt;COUNTIF('DONNÉES BRUTES'!C$3:C$42,"Financials"),"",INDEX('DONNÉES BRUTES'!B$3:B$42,MATCH(LARGE(IF('DONNÉES BRUTES'!C$3:C$42="Financials",'DONNÉES BRUTES'!AB$3:AB$42+(ROW('DONNÉES BRUTES'!A$3:A$42)-ROW('DONNÉES BRUTES'!A$3))/1000,0),12),IF('DONNÉES BRUTES'!C$3:C$42="Financials",'DONNÉES BRUTES'!AB$3:AB$42+(ROW('DONNÉES BRUTES'!A$3:A$42)-ROW('DONNÉES BRUTES'!A$3))/1000,0),0))),"—")</f>
        <v/>
      </c>
      <c r="E22">
        <f t="array" ref="E22">IFERROR(IF(12&gt;COUNTIF('DONNÉES BRUTES'!C$3:C$42,"Financials"),"",INT(LARGE(IF('DONNÉES BRUTES'!C$3:C$42="Financials",'DONNÉES BRUTES'!AB$3:AB$42+(ROW('DONNÉES BRUTES'!A$3:A$42)-ROW('DONNÉES BRUTES'!A$3))/1000,0),12))&amp;"/100"),"—")</f>
        <v/>
      </c>
      <c r="F22">
        <f t="array" ref="F22">IFERROR(IF(12&gt;COUNTIF('DONNÉES BRUTES'!C$3:C$42,"Financials"),"",INDEX('DONNÉES BRUTES'!Y$3:Y$42,MATCH(LARGE(IF('DONNÉES BRUTES'!C$3:C$42="Financials",'DONNÉES BRUTES'!AB$3:AB$42+(ROW('DONNÉES BRUTES'!A$3:A$42)-ROW('DONNÉES BRUTES'!A$3))/1000,0),12),IF('DONNÉES BRUTES'!C$3:C$42="Financials",'DONNÉES BRUTES'!AB$3:AB$42+(ROW('DONNÉES BRUTES'!A$3:A$42)-ROW('DONNÉES BRUTES'!A$3))/1000,0),0))),"—")</f>
        <v/>
      </c>
      <c r="G22">
        <f t="array" ref="G22">IFERROR(IF(12&gt;COUNTIF('DONNÉES BRUTES'!C$3:C$42,"Financials"),"",INDEX('DONNÉES BRUTES'!Z$3:Z$42,MATCH(LARGE(IF('DONNÉES BRUTES'!C$3:C$42="Financials",'DONNÉES BRUTES'!AB$3:AB$42+(ROW('DONNÉES BRUTES'!A$3:A$42)-ROW('DONNÉES BRUTES'!A$3))/1000,0),12),IF('DONNÉES BRUTES'!C$3:C$42="Financials",'DONNÉES BRUTES'!AB$3:AB$42+(ROW('DONNÉES BRUTES'!A$3:A$42)-ROW('DONNÉES BRUTES'!A$3))/1000,0),0))),"—")</f>
        <v/>
      </c>
      <c r="H22">
        <f t="array" ref="H22">IFERROR(IF(12&gt;COUNTIF('DONNÉES BRUTES'!C$3:C$42,"Financials"),"",INDEX('DONNÉES BRUTES'!AA$3:AA$42,MATCH(LARGE(IF('DONNÉES BRUTES'!C$3:C$42="Financials",'DONNÉES BRUTES'!AB$3:AB$42+(ROW('DONNÉES BRUTES'!A$3:A$42)-ROW('DONNÉES BRUTES'!A$3))/1000,0),12),IF('DONNÉES BRUTES'!C$3:C$42="Financials",'DONNÉES BRUTES'!AB$3:AB$42+(ROW('DONNÉES BRUTES'!A$3:A$42)-ROW('DONNÉES BRUTES'!A$3))/1000,0),0))),"—")</f>
        <v/>
      </c>
      <c r="I22">
        <f t="array" ref="I22">IFERROR(IF(12&gt;COUNTIF('DONNÉES BRUTES'!C$3:C$42,"Financials"),"",INDEX('DONNÉES BRUTES'!M$3:M$42,MATCH(LARGE(IF('DONNÉES BRUTES'!C$3:C$42="Financials",'DONNÉES BRUTES'!AB$3:AB$42+(ROW('DONNÉES BRUTES'!A$3:A$42)-ROW('DONNÉES BRUTES'!A$3))/1000,0),12),IF('DONNÉES BRUTES'!C$3:C$42="Financials",'DONNÉES BRUTES'!AB$3:AB$42+(ROW('DONNÉES BRUTES'!A$3:A$42)-ROW('DONNÉES BRUTES'!A$3))/1000,0),0))),"—")</f>
        <v/>
      </c>
      <c r="J22">
        <f t="array" ref="J22">IFERROR(IF(12&gt;COUNTIF('DONNÉES BRUTES'!C$3:C$42,"Financials"),"",INDEX('DONNÉES BRUTES'!N$3:N$42,MATCH(LARGE(IF('DONNÉES BRUTES'!C$3:C$42="Financials",'DONNÉES BRUTES'!AB$3:AB$42+(ROW('DONNÉES BRUTES'!A$3:A$42)-ROW('DONNÉES BRUTES'!A$3))/1000,0),12),IF('DONNÉES BRUTES'!C$3:C$42="Financials",'DONNÉES BRUTES'!AB$3:AB$42+(ROW('DONNÉES BRUTES'!A$3:A$42)-ROW('DONNÉES BRUTES'!A$3))/1000,0),0))),"—")</f>
        <v/>
      </c>
      <c r="K22">
        <f t="array" ref="K22">IFERROR(IF(12&gt;COUNTIF('DONNÉES BRUTES'!C$3:C$42,"Financials"),"",INDEX('DONNÉES BRUTES'!O$3:O$42,MATCH(LARGE(IF('DONNÉES BRUTES'!C$3:C$42="Financials",'DONNÉES BRUTES'!AB$3:AB$42+(ROW('DONNÉES BRUTES'!A$3:A$42)-ROW('DONNÉES BRUTES'!A$3))/1000,0),12),IF('DONNÉES BRUTES'!C$3:C$42="Financials",'DONNÉES BRUTES'!AB$3:AB$42+(ROW('DONNÉES BRUTES'!A$3:A$42)-ROW('DONNÉES BRUTES'!A$3))/1000,0),0))),"—")</f>
        <v/>
      </c>
      <c r="L22">
        <f t="array" ref="L22">IFERROR(IF(12&gt;COUNTIF('DONNÉES BRUTES'!C$3:C$42,"Financials"),"",INDEX('DONNÉES BRUTES'!P$3:P$42,MATCH(LARGE(IF('DONNÉES BRUTES'!C$3:C$42="Financials",'DONNÉES BRUTES'!AB$3:AB$42+(ROW('DONNÉES BRUTES'!A$3:A$42)-ROW('DONNÉES BRUTES'!A$3))/1000,0),12),IF('DONNÉES BRUTES'!C$3:C$42="Financials",'DONNÉES BRUTES'!AB$3:AB$42+(ROW('DONNÉES BRUTES'!A$3:A$42)-ROW('DONNÉES BRUTES'!A$3))/1000,0),0))),"—")</f>
        <v/>
      </c>
      <c r="M22">
        <f t="array" ref="M22">IFERROR(IF(12&gt;COUNTIF('DONNÉES BRUTES'!C$3:C$42,"Financials"),"",INDEX('DONNÉES BRUTES'!Q$3:Q$42,MATCH(LARGE(IF('DONNÉES BRUTES'!C$3:C$42="Financials",'DONNÉES BRUTES'!AB$3:AB$42+(ROW('DONNÉES BRUTES'!A$3:A$42)-ROW('DONNÉES BRUTES'!A$3))/1000,0),12),IF('DONNÉES BRUTES'!C$3:C$42="Financials",'DONNÉES BRUTES'!AB$3:AB$42+(ROW('DONNÉES BRUTES'!A$3:A$42)-ROW('DONNÉES BRUTES'!A$3))/1000,0),0))),"—")</f>
        <v/>
      </c>
      <c r="N22">
        <f t="array" ref="N22">IFERROR(IF(12&gt;COUNTIF('DONNÉES BRUTES'!C$3:C$42,"Financials"),"",INDEX('DONNÉES BRUTES'!S$3:S$42,MATCH(LARGE(IF('DONNÉES BRUTES'!C$3:C$42="Financials",'DONNÉES BRUTES'!AB$3:AB$42+(ROW('DONNÉES BRUTES'!A$3:A$42)-ROW('DONNÉES BRUTES'!A$3))/1000,0),12),IF('DONNÉES BRUTES'!C$3:C$42="Financials",'DONNÉES BRUTES'!AB$3:AB$42+(ROW('DONNÉES BRUTES'!A$3:A$42)-ROW('DONNÉES BRUTES'!A$3))/1000,0),0))),"—")</f>
        <v/>
      </c>
      <c r="O22">
        <f t="array" ref="O22">IFERROR(IF(12&gt;COUNTIF('DONNÉES BRUTES'!C$3:C$42,"Financials"),"",INDEX('DONNÉES BRUTES'!T$3:T$42,MATCH(LARGE(IF('DONNÉES BRUTES'!C$3:C$42="Financials",'DONNÉES BRUTES'!AB$3:AB$42+(ROW('DONNÉES BRUTES'!A$3:A$42)-ROW('DONNÉES BRUTES'!A$3))/1000,0),12),IF('DONNÉES BRUTES'!C$3:C$42="Financials",'DONNÉES BRUTES'!AB$3:AB$42+(ROW('DONNÉES BRUTES'!A$3:A$42)-ROW('DONNÉES BRUTES'!A$3))/1000,0),0))),"—")</f>
        <v/>
      </c>
      <c r="P22">
        <f t="array" ref="P22">IFERROR(IF(12&gt;COUNTIF('DONNÉES BRUTES'!C$3:C$42,"Financials"),"",INDEX('DONNÉES BRUTES'!U$3:U$42,MATCH(LARGE(IF('DONNÉES BRUTES'!C$3:C$42="Financials",'DONNÉES BRUTES'!AB$3:AB$42+(ROW('DONNÉES BRUTES'!A$3:A$42)-ROW('DONNÉES BRUTES'!A$3))/1000,0),12),IF('DONNÉES BRUTES'!C$3:C$42="Financials",'DONNÉES BRUTES'!AB$3:AB$42+(ROW('DONNÉES BRUTES'!A$3:A$42)-ROW('DONNÉES BRUTES'!A$3))/1000,0),0))),"—")</f>
        <v/>
      </c>
      <c r="Q22">
        <f t="array" ref="Q22">IFERROR(IF(12&gt;COUNTIF('DONNÉES BRUTES'!C$3:C$42,"Financials"),"",INDEX('DONNÉES BRUTES'!AD$3:AD$42,MATCH(LARGE(IF('DONNÉES BRUTES'!C$3:C$42="Financials",'DONNÉES BRUTES'!AB$3:AB$42+(ROW('DONNÉES BRUTES'!A$3:A$42)-ROW('DONNÉES BRUTES'!A$3))/1000,0),12),IF('DONNÉES BRUTES'!C$3:C$42="Financials",'DONNÉES BRUTES'!AB$3:AB$42+(ROW('DONNÉES BRUTES'!A$3:A$42)-ROW('DONNÉES BRUTES'!A$3))/1000,0),0))),"—")</f>
        <v/>
      </c>
    </row>
    <row r="23" ht="15.95" customHeight="1">
      <c r="B23">
        <f>IF(13&gt;COUNTIF('DONNÉES BRUTES'!C$3:C$42,"Financials"),"",13)</f>
        <v/>
      </c>
      <c r="C23">
        <f t="array" ref="C23">IFERROR(IF(13&gt;COUNTIF('DONNÉES BRUTES'!C$3:C$42,"Financials"),"",INDEX('DONNÉES BRUTES'!A$3:A$42,MATCH(LARGE(IF('DONNÉES BRUTES'!C$3:C$42="Financials",'DONNÉES BRUTES'!AB$3:AB$42+(ROW('DONNÉES BRUTES'!A$3:A$42)-ROW('DONNÉES BRUTES'!A$3))/1000,0),13),IF('DONNÉES BRUTES'!C$3:C$42="Financials",'DONNÉES BRUTES'!AB$3:AB$42+(ROW('DONNÉES BRUTES'!A$3:A$42)-ROW('DONNÉES BRUTES'!A$3))/1000,0),0))),"—")</f>
        <v/>
      </c>
      <c r="D23">
        <f t="array" ref="D23">IFERROR(IF(13&gt;COUNTIF('DONNÉES BRUTES'!C$3:C$42,"Financials"),"",INDEX('DONNÉES BRUTES'!B$3:B$42,MATCH(LARGE(IF('DONNÉES BRUTES'!C$3:C$42="Financials",'DONNÉES BRUTES'!AB$3:AB$42+(ROW('DONNÉES BRUTES'!A$3:A$42)-ROW('DONNÉES BRUTES'!A$3))/1000,0),13),IF('DONNÉES BRUTES'!C$3:C$42="Financials",'DONNÉES BRUTES'!AB$3:AB$42+(ROW('DONNÉES BRUTES'!A$3:A$42)-ROW('DONNÉES BRUTES'!A$3))/1000,0),0))),"—")</f>
        <v/>
      </c>
      <c r="E23">
        <f t="array" ref="E23">IFERROR(IF(13&gt;COUNTIF('DONNÉES BRUTES'!C$3:C$42,"Financials"),"",INT(LARGE(IF('DONNÉES BRUTES'!C$3:C$42="Financials",'DONNÉES BRUTES'!AB$3:AB$42+(ROW('DONNÉES BRUTES'!A$3:A$42)-ROW('DONNÉES BRUTES'!A$3))/1000,0),13))&amp;"/100"),"—")</f>
        <v/>
      </c>
      <c r="F23">
        <f t="array" ref="F23">IFERROR(IF(13&gt;COUNTIF('DONNÉES BRUTES'!C$3:C$42,"Financials"),"",INDEX('DONNÉES BRUTES'!Y$3:Y$42,MATCH(LARGE(IF('DONNÉES BRUTES'!C$3:C$42="Financials",'DONNÉES BRUTES'!AB$3:AB$42+(ROW('DONNÉES BRUTES'!A$3:A$42)-ROW('DONNÉES BRUTES'!A$3))/1000,0),13),IF('DONNÉES BRUTES'!C$3:C$42="Financials",'DONNÉES BRUTES'!AB$3:AB$42+(ROW('DONNÉES BRUTES'!A$3:A$42)-ROW('DONNÉES BRUTES'!A$3))/1000,0),0))),"—")</f>
        <v/>
      </c>
      <c r="G23">
        <f t="array" ref="G23">IFERROR(IF(13&gt;COUNTIF('DONNÉES BRUTES'!C$3:C$42,"Financials"),"",INDEX('DONNÉES BRUTES'!Z$3:Z$42,MATCH(LARGE(IF('DONNÉES BRUTES'!C$3:C$42="Financials",'DONNÉES BRUTES'!AB$3:AB$42+(ROW('DONNÉES BRUTES'!A$3:A$42)-ROW('DONNÉES BRUTES'!A$3))/1000,0),13),IF('DONNÉES BRUTES'!C$3:C$42="Financials",'DONNÉES BRUTES'!AB$3:AB$42+(ROW('DONNÉES BRUTES'!A$3:A$42)-ROW('DONNÉES BRUTES'!A$3))/1000,0),0))),"—")</f>
        <v/>
      </c>
      <c r="H23">
        <f t="array" ref="H23">IFERROR(IF(13&gt;COUNTIF('DONNÉES BRUTES'!C$3:C$42,"Financials"),"",INDEX('DONNÉES BRUTES'!AA$3:AA$42,MATCH(LARGE(IF('DONNÉES BRUTES'!C$3:C$42="Financials",'DONNÉES BRUTES'!AB$3:AB$42+(ROW('DONNÉES BRUTES'!A$3:A$42)-ROW('DONNÉES BRUTES'!A$3))/1000,0),13),IF('DONNÉES BRUTES'!C$3:C$42="Financials",'DONNÉES BRUTES'!AB$3:AB$42+(ROW('DONNÉES BRUTES'!A$3:A$42)-ROW('DONNÉES BRUTES'!A$3))/1000,0),0))),"—")</f>
        <v/>
      </c>
      <c r="I23">
        <f t="array" ref="I23">IFERROR(IF(13&gt;COUNTIF('DONNÉES BRUTES'!C$3:C$42,"Financials"),"",INDEX('DONNÉES BRUTES'!M$3:M$42,MATCH(LARGE(IF('DONNÉES BRUTES'!C$3:C$42="Financials",'DONNÉES BRUTES'!AB$3:AB$42+(ROW('DONNÉES BRUTES'!A$3:A$42)-ROW('DONNÉES BRUTES'!A$3))/1000,0),13),IF('DONNÉES BRUTES'!C$3:C$42="Financials",'DONNÉES BRUTES'!AB$3:AB$42+(ROW('DONNÉES BRUTES'!A$3:A$42)-ROW('DONNÉES BRUTES'!A$3))/1000,0),0))),"—")</f>
        <v/>
      </c>
      <c r="J23">
        <f t="array" ref="J23">IFERROR(IF(13&gt;COUNTIF('DONNÉES BRUTES'!C$3:C$42,"Financials"),"",INDEX('DONNÉES BRUTES'!N$3:N$42,MATCH(LARGE(IF('DONNÉES BRUTES'!C$3:C$42="Financials",'DONNÉES BRUTES'!AB$3:AB$42+(ROW('DONNÉES BRUTES'!A$3:A$42)-ROW('DONNÉES BRUTES'!A$3))/1000,0),13),IF('DONNÉES BRUTES'!C$3:C$42="Financials",'DONNÉES BRUTES'!AB$3:AB$42+(ROW('DONNÉES BRUTES'!A$3:A$42)-ROW('DONNÉES BRUTES'!A$3))/1000,0),0))),"—")</f>
        <v/>
      </c>
      <c r="K23">
        <f t="array" ref="K23">IFERROR(IF(13&gt;COUNTIF('DONNÉES BRUTES'!C$3:C$42,"Financials"),"",INDEX('DONNÉES BRUTES'!O$3:O$42,MATCH(LARGE(IF('DONNÉES BRUTES'!C$3:C$42="Financials",'DONNÉES BRUTES'!AB$3:AB$42+(ROW('DONNÉES BRUTES'!A$3:A$42)-ROW('DONNÉES BRUTES'!A$3))/1000,0),13),IF('DONNÉES BRUTES'!C$3:C$42="Financials",'DONNÉES BRUTES'!AB$3:AB$42+(ROW('DONNÉES BRUTES'!A$3:A$42)-ROW('DONNÉES BRUTES'!A$3))/1000,0),0))),"—")</f>
        <v/>
      </c>
      <c r="L23">
        <f t="array" ref="L23">IFERROR(IF(13&gt;COUNTIF('DONNÉES BRUTES'!C$3:C$42,"Financials"),"",INDEX('DONNÉES BRUTES'!P$3:P$42,MATCH(LARGE(IF('DONNÉES BRUTES'!C$3:C$42="Financials",'DONNÉES BRUTES'!AB$3:AB$42+(ROW('DONNÉES BRUTES'!A$3:A$42)-ROW('DONNÉES BRUTES'!A$3))/1000,0),13),IF('DONNÉES BRUTES'!C$3:C$42="Financials",'DONNÉES BRUTES'!AB$3:AB$42+(ROW('DONNÉES BRUTES'!A$3:A$42)-ROW('DONNÉES BRUTES'!A$3))/1000,0),0))),"—")</f>
        <v/>
      </c>
      <c r="M23">
        <f t="array" ref="M23">IFERROR(IF(13&gt;COUNTIF('DONNÉES BRUTES'!C$3:C$42,"Financials"),"",INDEX('DONNÉES BRUTES'!Q$3:Q$42,MATCH(LARGE(IF('DONNÉES BRUTES'!C$3:C$42="Financials",'DONNÉES BRUTES'!AB$3:AB$42+(ROW('DONNÉES BRUTES'!A$3:A$42)-ROW('DONNÉES BRUTES'!A$3))/1000,0),13),IF('DONNÉES BRUTES'!C$3:C$42="Financials",'DONNÉES BRUTES'!AB$3:AB$42+(ROW('DONNÉES BRUTES'!A$3:A$42)-ROW('DONNÉES BRUTES'!A$3))/1000,0),0))),"—")</f>
        <v/>
      </c>
      <c r="N23">
        <f t="array" ref="N23">IFERROR(IF(13&gt;COUNTIF('DONNÉES BRUTES'!C$3:C$42,"Financials"),"",INDEX('DONNÉES BRUTES'!S$3:S$42,MATCH(LARGE(IF('DONNÉES BRUTES'!C$3:C$42="Financials",'DONNÉES BRUTES'!AB$3:AB$42+(ROW('DONNÉES BRUTES'!A$3:A$42)-ROW('DONNÉES BRUTES'!A$3))/1000,0),13),IF('DONNÉES BRUTES'!C$3:C$42="Financials",'DONNÉES BRUTES'!AB$3:AB$42+(ROW('DONNÉES BRUTES'!A$3:A$42)-ROW('DONNÉES BRUTES'!A$3))/1000,0),0))),"—")</f>
        <v/>
      </c>
      <c r="O23">
        <f t="array" ref="O23">IFERROR(IF(13&gt;COUNTIF('DONNÉES BRUTES'!C$3:C$42,"Financials"),"",INDEX('DONNÉES BRUTES'!T$3:T$42,MATCH(LARGE(IF('DONNÉES BRUTES'!C$3:C$42="Financials",'DONNÉES BRUTES'!AB$3:AB$42+(ROW('DONNÉES BRUTES'!A$3:A$42)-ROW('DONNÉES BRUTES'!A$3))/1000,0),13),IF('DONNÉES BRUTES'!C$3:C$42="Financials",'DONNÉES BRUTES'!AB$3:AB$42+(ROW('DONNÉES BRUTES'!A$3:A$42)-ROW('DONNÉES BRUTES'!A$3))/1000,0),0))),"—")</f>
        <v/>
      </c>
      <c r="P23">
        <f t="array" ref="P23">IFERROR(IF(13&gt;COUNTIF('DONNÉES BRUTES'!C$3:C$42,"Financials"),"",INDEX('DONNÉES BRUTES'!U$3:U$42,MATCH(LARGE(IF('DONNÉES BRUTES'!C$3:C$42="Financials",'DONNÉES BRUTES'!AB$3:AB$42+(ROW('DONNÉES BRUTES'!A$3:A$42)-ROW('DONNÉES BRUTES'!A$3))/1000,0),13),IF('DONNÉES BRUTES'!C$3:C$42="Financials",'DONNÉES BRUTES'!AB$3:AB$42+(ROW('DONNÉES BRUTES'!A$3:A$42)-ROW('DONNÉES BRUTES'!A$3))/1000,0),0))),"—")</f>
        <v/>
      </c>
      <c r="Q23">
        <f t="array" ref="Q23">IFERROR(IF(13&gt;COUNTIF('DONNÉES BRUTES'!C$3:C$42,"Financials"),"",INDEX('DONNÉES BRUTES'!AD$3:AD$42,MATCH(LARGE(IF('DONNÉES BRUTES'!C$3:C$42="Financials",'DONNÉES BRUTES'!AB$3:AB$42+(ROW('DONNÉES BRUTES'!A$3:A$42)-ROW('DONNÉES BRUTES'!A$3))/1000,0),13),IF('DONNÉES BRUTES'!C$3:C$42="Financials",'DONNÉES BRUTES'!AB$3:AB$42+(ROW('DONNÉES BRUTES'!A$3:A$42)-ROW('DONNÉES BRUTES'!A$3))/1000,0),0))),"—")</f>
        <v/>
      </c>
    </row>
    <row r="24" ht="15.95" customHeight="1">
      <c r="B24">
        <f>IF(14&gt;COUNTIF('DONNÉES BRUTES'!C$3:C$42,"Financials"),"",14)</f>
        <v/>
      </c>
      <c r="C24">
        <f t="array" ref="C24">IFERROR(IF(14&gt;COUNTIF('DONNÉES BRUTES'!C$3:C$42,"Financials"),"",INDEX('DONNÉES BRUTES'!A$3:A$42,MATCH(LARGE(IF('DONNÉES BRUTES'!C$3:C$42="Financials",'DONNÉES BRUTES'!AB$3:AB$42+(ROW('DONNÉES BRUTES'!A$3:A$42)-ROW('DONNÉES BRUTES'!A$3))/1000,0),14),IF('DONNÉES BRUTES'!C$3:C$42="Financials",'DONNÉES BRUTES'!AB$3:AB$42+(ROW('DONNÉES BRUTES'!A$3:A$42)-ROW('DONNÉES BRUTES'!A$3))/1000,0),0))),"—")</f>
        <v/>
      </c>
      <c r="D24">
        <f t="array" ref="D24">IFERROR(IF(14&gt;COUNTIF('DONNÉES BRUTES'!C$3:C$42,"Financials"),"",INDEX('DONNÉES BRUTES'!B$3:B$42,MATCH(LARGE(IF('DONNÉES BRUTES'!C$3:C$42="Financials",'DONNÉES BRUTES'!AB$3:AB$42+(ROW('DONNÉES BRUTES'!A$3:A$42)-ROW('DONNÉES BRUTES'!A$3))/1000,0),14),IF('DONNÉES BRUTES'!C$3:C$42="Financials",'DONNÉES BRUTES'!AB$3:AB$42+(ROW('DONNÉES BRUTES'!A$3:A$42)-ROW('DONNÉES BRUTES'!A$3))/1000,0),0))),"—")</f>
        <v/>
      </c>
      <c r="E24">
        <f t="array" ref="E24">IFERROR(IF(14&gt;COUNTIF('DONNÉES BRUTES'!C$3:C$42,"Financials"),"",INT(LARGE(IF('DONNÉES BRUTES'!C$3:C$42="Financials",'DONNÉES BRUTES'!AB$3:AB$42+(ROW('DONNÉES BRUTES'!A$3:A$42)-ROW('DONNÉES BRUTES'!A$3))/1000,0),14))&amp;"/100"),"—")</f>
        <v/>
      </c>
      <c r="F24">
        <f t="array" ref="F24">IFERROR(IF(14&gt;COUNTIF('DONNÉES BRUTES'!C$3:C$42,"Financials"),"",INDEX('DONNÉES BRUTES'!Y$3:Y$42,MATCH(LARGE(IF('DONNÉES BRUTES'!C$3:C$42="Financials",'DONNÉES BRUTES'!AB$3:AB$42+(ROW('DONNÉES BRUTES'!A$3:A$42)-ROW('DONNÉES BRUTES'!A$3))/1000,0),14),IF('DONNÉES BRUTES'!C$3:C$42="Financials",'DONNÉES BRUTES'!AB$3:AB$42+(ROW('DONNÉES BRUTES'!A$3:A$42)-ROW('DONNÉES BRUTES'!A$3))/1000,0),0))),"—")</f>
        <v/>
      </c>
      <c r="G24">
        <f t="array" ref="G24">IFERROR(IF(14&gt;COUNTIF('DONNÉES BRUTES'!C$3:C$42,"Financials"),"",INDEX('DONNÉES BRUTES'!Z$3:Z$42,MATCH(LARGE(IF('DONNÉES BRUTES'!C$3:C$42="Financials",'DONNÉES BRUTES'!AB$3:AB$42+(ROW('DONNÉES BRUTES'!A$3:A$42)-ROW('DONNÉES BRUTES'!A$3))/1000,0),14),IF('DONNÉES BRUTES'!C$3:C$42="Financials",'DONNÉES BRUTES'!AB$3:AB$42+(ROW('DONNÉES BRUTES'!A$3:A$42)-ROW('DONNÉES BRUTES'!A$3))/1000,0),0))),"—")</f>
        <v/>
      </c>
      <c r="H24">
        <f t="array" ref="H24">IFERROR(IF(14&gt;COUNTIF('DONNÉES BRUTES'!C$3:C$42,"Financials"),"",INDEX('DONNÉES BRUTES'!AA$3:AA$42,MATCH(LARGE(IF('DONNÉES BRUTES'!C$3:C$42="Financials",'DONNÉES BRUTES'!AB$3:AB$42+(ROW('DONNÉES BRUTES'!A$3:A$42)-ROW('DONNÉES BRUTES'!A$3))/1000,0),14),IF('DONNÉES BRUTES'!C$3:C$42="Financials",'DONNÉES BRUTES'!AB$3:AB$42+(ROW('DONNÉES BRUTES'!A$3:A$42)-ROW('DONNÉES BRUTES'!A$3))/1000,0),0))),"—")</f>
        <v/>
      </c>
      <c r="I24">
        <f t="array" ref="I24">IFERROR(IF(14&gt;COUNTIF('DONNÉES BRUTES'!C$3:C$42,"Financials"),"",INDEX('DONNÉES BRUTES'!M$3:M$42,MATCH(LARGE(IF('DONNÉES BRUTES'!C$3:C$42="Financials",'DONNÉES BRUTES'!AB$3:AB$42+(ROW('DONNÉES BRUTES'!A$3:A$42)-ROW('DONNÉES BRUTES'!A$3))/1000,0),14),IF('DONNÉES BRUTES'!C$3:C$42="Financials",'DONNÉES BRUTES'!AB$3:AB$42+(ROW('DONNÉES BRUTES'!A$3:A$42)-ROW('DONNÉES BRUTES'!A$3))/1000,0),0))),"—")</f>
        <v/>
      </c>
      <c r="J24">
        <f t="array" ref="J24">IFERROR(IF(14&gt;COUNTIF('DONNÉES BRUTES'!C$3:C$42,"Financials"),"",INDEX('DONNÉES BRUTES'!N$3:N$42,MATCH(LARGE(IF('DONNÉES BRUTES'!C$3:C$42="Financials",'DONNÉES BRUTES'!AB$3:AB$42+(ROW('DONNÉES BRUTES'!A$3:A$42)-ROW('DONNÉES BRUTES'!A$3))/1000,0),14),IF('DONNÉES BRUTES'!C$3:C$42="Financials",'DONNÉES BRUTES'!AB$3:AB$42+(ROW('DONNÉES BRUTES'!A$3:A$42)-ROW('DONNÉES BRUTES'!A$3))/1000,0),0))),"—")</f>
        <v/>
      </c>
      <c r="K24">
        <f t="array" ref="K24">IFERROR(IF(14&gt;COUNTIF('DONNÉES BRUTES'!C$3:C$42,"Financials"),"",INDEX('DONNÉES BRUTES'!O$3:O$42,MATCH(LARGE(IF('DONNÉES BRUTES'!C$3:C$42="Financials",'DONNÉES BRUTES'!AB$3:AB$42+(ROW('DONNÉES BRUTES'!A$3:A$42)-ROW('DONNÉES BRUTES'!A$3))/1000,0),14),IF('DONNÉES BRUTES'!C$3:C$42="Financials",'DONNÉES BRUTES'!AB$3:AB$42+(ROW('DONNÉES BRUTES'!A$3:A$42)-ROW('DONNÉES BRUTES'!A$3))/1000,0),0))),"—")</f>
        <v/>
      </c>
      <c r="L24">
        <f t="array" ref="L24">IFERROR(IF(14&gt;COUNTIF('DONNÉES BRUTES'!C$3:C$42,"Financials"),"",INDEX('DONNÉES BRUTES'!P$3:P$42,MATCH(LARGE(IF('DONNÉES BRUTES'!C$3:C$42="Financials",'DONNÉES BRUTES'!AB$3:AB$42+(ROW('DONNÉES BRUTES'!A$3:A$42)-ROW('DONNÉES BRUTES'!A$3))/1000,0),14),IF('DONNÉES BRUTES'!C$3:C$42="Financials",'DONNÉES BRUTES'!AB$3:AB$42+(ROW('DONNÉES BRUTES'!A$3:A$42)-ROW('DONNÉES BRUTES'!A$3))/1000,0),0))),"—")</f>
        <v/>
      </c>
      <c r="M24">
        <f t="array" ref="M24">IFERROR(IF(14&gt;COUNTIF('DONNÉES BRUTES'!C$3:C$42,"Financials"),"",INDEX('DONNÉES BRUTES'!Q$3:Q$42,MATCH(LARGE(IF('DONNÉES BRUTES'!C$3:C$42="Financials",'DONNÉES BRUTES'!AB$3:AB$42+(ROW('DONNÉES BRUTES'!A$3:A$42)-ROW('DONNÉES BRUTES'!A$3))/1000,0),14),IF('DONNÉES BRUTES'!C$3:C$42="Financials",'DONNÉES BRUTES'!AB$3:AB$42+(ROW('DONNÉES BRUTES'!A$3:A$42)-ROW('DONNÉES BRUTES'!A$3))/1000,0),0))),"—")</f>
        <v/>
      </c>
      <c r="N24">
        <f t="array" ref="N24">IFERROR(IF(14&gt;COUNTIF('DONNÉES BRUTES'!C$3:C$42,"Financials"),"",INDEX('DONNÉES BRUTES'!S$3:S$42,MATCH(LARGE(IF('DONNÉES BRUTES'!C$3:C$42="Financials",'DONNÉES BRUTES'!AB$3:AB$42+(ROW('DONNÉES BRUTES'!A$3:A$42)-ROW('DONNÉES BRUTES'!A$3))/1000,0),14),IF('DONNÉES BRUTES'!C$3:C$42="Financials",'DONNÉES BRUTES'!AB$3:AB$42+(ROW('DONNÉES BRUTES'!A$3:A$42)-ROW('DONNÉES BRUTES'!A$3))/1000,0),0))),"—")</f>
        <v/>
      </c>
      <c r="O24">
        <f t="array" ref="O24">IFERROR(IF(14&gt;COUNTIF('DONNÉES BRUTES'!C$3:C$42,"Financials"),"",INDEX('DONNÉES BRUTES'!T$3:T$42,MATCH(LARGE(IF('DONNÉES BRUTES'!C$3:C$42="Financials",'DONNÉES BRUTES'!AB$3:AB$42+(ROW('DONNÉES BRUTES'!A$3:A$42)-ROW('DONNÉES BRUTES'!A$3))/1000,0),14),IF('DONNÉES BRUTES'!C$3:C$42="Financials",'DONNÉES BRUTES'!AB$3:AB$42+(ROW('DONNÉES BRUTES'!A$3:A$42)-ROW('DONNÉES BRUTES'!A$3))/1000,0),0))),"—")</f>
        <v/>
      </c>
      <c r="P24">
        <f t="array" ref="P24">IFERROR(IF(14&gt;COUNTIF('DONNÉES BRUTES'!C$3:C$42,"Financials"),"",INDEX('DONNÉES BRUTES'!U$3:U$42,MATCH(LARGE(IF('DONNÉES BRUTES'!C$3:C$42="Financials",'DONNÉES BRUTES'!AB$3:AB$42+(ROW('DONNÉES BRUTES'!A$3:A$42)-ROW('DONNÉES BRUTES'!A$3))/1000,0),14),IF('DONNÉES BRUTES'!C$3:C$42="Financials",'DONNÉES BRUTES'!AB$3:AB$42+(ROW('DONNÉES BRUTES'!A$3:A$42)-ROW('DONNÉES BRUTES'!A$3))/1000,0),0))),"—")</f>
        <v/>
      </c>
      <c r="Q24">
        <f t="array" ref="Q24">IFERROR(IF(14&gt;COUNTIF('DONNÉES BRUTES'!C$3:C$42,"Financials"),"",INDEX('DONNÉES BRUTES'!AD$3:AD$42,MATCH(LARGE(IF('DONNÉES BRUTES'!C$3:C$42="Financials",'DONNÉES BRUTES'!AB$3:AB$42+(ROW('DONNÉES BRUTES'!A$3:A$42)-ROW('DONNÉES BRUTES'!A$3))/1000,0),14),IF('DONNÉES BRUTES'!C$3:C$42="Financials",'DONNÉES BRUTES'!AB$3:AB$42+(ROW('DONNÉES BRUTES'!A$3:A$42)-ROW('DONNÉES BRUTES'!A$3))/1000,0),0))),"—")</f>
        <v/>
      </c>
    </row>
    <row r="25" ht="15.95" customHeight="1">
      <c r="B25">
        <f>IF(15&gt;COUNTIF('DONNÉES BRUTES'!C$3:C$42,"Financials"),"",15)</f>
        <v/>
      </c>
      <c r="C25">
        <f t="array" ref="C25">IFERROR(IF(15&gt;COUNTIF('DONNÉES BRUTES'!C$3:C$42,"Financials"),"",INDEX('DONNÉES BRUTES'!A$3:A$42,MATCH(LARGE(IF('DONNÉES BRUTES'!C$3:C$42="Financials",'DONNÉES BRUTES'!AB$3:AB$42+(ROW('DONNÉES BRUTES'!A$3:A$42)-ROW('DONNÉES BRUTES'!A$3))/1000,0),15),IF('DONNÉES BRUTES'!C$3:C$42="Financials",'DONNÉES BRUTES'!AB$3:AB$42+(ROW('DONNÉES BRUTES'!A$3:A$42)-ROW('DONNÉES BRUTES'!A$3))/1000,0),0))),"—")</f>
        <v/>
      </c>
      <c r="D25">
        <f t="array" ref="D25">IFERROR(IF(15&gt;COUNTIF('DONNÉES BRUTES'!C$3:C$42,"Financials"),"",INDEX('DONNÉES BRUTES'!B$3:B$42,MATCH(LARGE(IF('DONNÉES BRUTES'!C$3:C$42="Financials",'DONNÉES BRUTES'!AB$3:AB$42+(ROW('DONNÉES BRUTES'!A$3:A$42)-ROW('DONNÉES BRUTES'!A$3))/1000,0),15),IF('DONNÉES BRUTES'!C$3:C$42="Financials",'DONNÉES BRUTES'!AB$3:AB$42+(ROW('DONNÉES BRUTES'!A$3:A$42)-ROW('DONNÉES BRUTES'!A$3))/1000,0),0))),"—")</f>
        <v/>
      </c>
      <c r="E25">
        <f t="array" ref="E25">IFERROR(IF(15&gt;COUNTIF('DONNÉES BRUTES'!C$3:C$42,"Financials"),"",INT(LARGE(IF('DONNÉES BRUTES'!C$3:C$42="Financials",'DONNÉES BRUTES'!AB$3:AB$42+(ROW('DONNÉES BRUTES'!A$3:A$42)-ROW('DONNÉES BRUTES'!A$3))/1000,0),15))&amp;"/100"),"—")</f>
        <v/>
      </c>
      <c r="F25">
        <f t="array" ref="F25">IFERROR(IF(15&gt;COUNTIF('DONNÉES BRUTES'!C$3:C$42,"Financials"),"",INDEX('DONNÉES BRUTES'!Y$3:Y$42,MATCH(LARGE(IF('DONNÉES BRUTES'!C$3:C$42="Financials",'DONNÉES BRUTES'!AB$3:AB$42+(ROW('DONNÉES BRUTES'!A$3:A$42)-ROW('DONNÉES BRUTES'!A$3))/1000,0),15),IF('DONNÉES BRUTES'!C$3:C$42="Financials",'DONNÉES BRUTES'!AB$3:AB$42+(ROW('DONNÉES BRUTES'!A$3:A$42)-ROW('DONNÉES BRUTES'!A$3))/1000,0),0))),"—")</f>
        <v/>
      </c>
      <c r="G25">
        <f t="array" ref="G25">IFERROR(IF(15&gt;COUNTIF('DONNÉES BRUTES'!C$3:C$42,"Financials"),"",INDEX('DONNÉES BRUTES'!Z$3:Z$42,MATCH(LARGE(IF('DONNÉES BRUTES'!C$3:C$42="Financials",'DONNÉES BRUTES'!AB$3:AB$42+(ROW('DONNÉES BRUTES'!A$3:A$42)-ROW('DONNÉES BRUTES'!A$3))/1000,0),15),IF('DONNÉES BRUTES'!C$3:C$42="Financials",'DONNÉES BRUTES'!AB$3:AB$42+(ROW('DONNÉES BRUTES'!A$3:A$42)-ROW('DONNÉES BRUTES'!A$3))/1000,0),0))),"—")</f>
        <v/>
      </c>
      <c r="H25">
        <f t="array" ref="H25">IFERROR(IF(15&gt;COUNTIF('DONNÉES BRUTES'!C$3:C$42,"Financials"),"",INDEX('DONNÉES BRUTES'!AA$3:AA$42,MATCH(LARGE(IF('DONNÉES BRUTES'!C$3:C$42="Financials",'DONNÉES BRUTES'!AB$3:AB$42+(ROW('DONNÉES BRUTES'!A$3:A$42)-ROW('DONNÉES BRUTES'!A$3))/1000,0),15),IF('DONNÉES BRUTES'!C$3:C$42="Financials",'DONNÉES BRUTES'!AB$3:AB$42+(ROW('DONNÉES BRUTES'!A$3:A$42)-ROW('DONNÉES BRUTES'!A$3))/1000,0),0))),"—")</f>
        <v/>
      </c>
      <c r="I25">
        <f t="array" ref="I25">IFERROR(IF(15&gt;COUNTIF('DONNÉES BRUTES'!C$3:C$42,"Financials"),"",INDEX('DONNÉES BRUTES'!M$3:M$42,MATCH(LARGE(IF('DONNÉES BRUTES'!C$3:C$42="Financials",'DONNÉES BRUTES'!AB$3:AB$42+(ROW('DONNÉES BRUTES'!A$3:A$42)-ROW('DONNÉES BRUTES'!A$3))/1000,0),15),IF('DONNÉES BRUTES'!C$3:C$42="Financials",'DONNÉES BRUTES'!AB$3:AB$42+(ROW('DONNÉES BRUTES'!A$3:A$42)-ROW('DONNÉES BRUTES'!A$3))/1000,0),0))),"—")</f>
        <v/>
      </c>
      <c r="J25">
        <f t="array" ref="J25">IFERROR(IF(15&gt;COUNTIF('DONNÉES BRUTES'!C$3:C$42,"Financials"),"",INDEX('DONNÉES BRUTES'!N$3:N$42,MATCH(LARGE(IF('DONNÉES BRUTES'!C$3:C$42="Financials",'DONNÉES BRUTES'!AB$3:AB$42+(ROW('DONNÉES BRUTES'!A$3:A$42)-ROW('DONNÉES BRUTES'!A$3))/1000,0),15),IF('DONNÉES BRUTES'!C$3:C$42="Financials",'DONNÉES BRUTES'!AB$3:AB$42+(ROW('DONNÉES BRUTES'!A$3:A$42)-ROW('DONNÉES BRUTES'!A$3))/1000,0),0))),"—")</f>
        <v/>
      </c>
      <c r="K25">
        <f t="array" ref="K25">IFERROR(IF(15&gt;COUNTIF('DONNÉES BRUTES'!C$3:C$42,"Financials"),"",INDEX('DONNÉES BRUTES'!O$3:O$42,MATCH(LARGE(IF('DONNÉES BRUTES'!C$3:C$42="Financials",'DONNÉES BRUTES'!AB$3:AB$42+(ROW('DONNÉES BRUTES'!A$3:A$42)-ROW('DONNÉES BRUTES'!A$3))/1000,0),15),IF('DONNÉES BRUTES'!C$3:C$42="Financials",'DONNÉES BRUTES'!AB$3:AB$42+(ROW('DONNÉES BRUTES'!A$3:A$42)-ROW('DONNÉES BRUTES'!A$3))/1000,0),0))),"—")</f>
        <v/>
      </c>
      <c r="L25">
        <f t="array" ref="L25">IFERROR(IF(15&gt;COUNTIF('DONNÉES BRUTES'!C$3:C$42,"Financials"),"",INDEX('DONNÉES BRUTES'!P$3:P$42,MATCH(LARGE(IF('DONNÉES BRUTES'!C$3:C$42="Financials",'DONNÉES BRUTES'!AB$3:AB$42+(ROW('DONNÉES BRUTES'!A$3:A$42)-ROW('DONNÉES BRUTES'!A$3))/1000,0),15),IF('DONNÉES BRUTES'!C$3:C$42="Financials",'DONNÉES BRUTES'!AB$3:AB$42+(ROW('DONNÉES BRUTES'!A$3:A$42)-ROW('DONNÉES BRUTES'!A$3))/1000,0),0))),"—")</f>
        <v/>
      </c>
      <c r="M25">
        <f t="array" ref="M25">IFERROR(IF(15&gt;COUNTIF('DONNÉES BRUTES'!C$3:C$42,"Financials"),"",INDEX('DONNÉES BRUTES'!Q$3:Q$42,MATCH(LARGE(IF('DONNÉES BRUTES'!C$3:C$42="Financials",'DONNÉES BRUTES'!AB$3:AB$42+(ROW('DONNÉES BRUTES'!A$3:A$42)-ROW('DONNÉES BRUTES'!A$3))/1000,0),15),IF('DONNÉES BRUTES'!C$3:C$42="Financials",'DONNÉES BRUTES'!AB$3:AB$42+(ROW('DONNÉES BRUTES'!A$3:A$42)-ROW('DONNÉES BRUTES'!A$3))/1000,0),0))),"—")</f>
        <v/>
      </c>
      <c r="N25">
        <f t="array" ref="N25">IFERROR(IF(15&gt;COUNTIF('DONNÉES BRUTES'!C$3:C$42,"Financials"),"",INDEX('DONNÉES BRUTES'!S$3:S$42,MATCH(LARGE(IF('DONNÉES BRUTES'!C$3:C$42="Financials",'DONNÉES BRUTES'!AB$3:AB$42+(ROW('DONNÉES BRUTES'!A$3:A$42)-ROW('DONNÉES BRUTES'!A$3))/1000,0),15),IF('DONNÉES BRUTES'!C$3:C$42="Financials",'DONNÉES BRUTES'!AB$3:AB$42+(ROW('DONNÉES BRUTES'!A$3:A$42)-ROW('DONNÉES BRUTES'!A$3))/1000,0),0))),"—")</f>
        <v/>
      </c>
      <c r="O25">
        <f t="array" ref="O25">IFERROR(IF(15&gt;COUNTIF('DONNÉES BRUTES'!C$3:C$42,"Financials"),"",INDEX('DONNÉES BRUTES'!T$3:T$42,MATCH(LARGE(IF('DONNÉES BRUTES'!C$3:C$42="Financials",'DONNÉES BRUTES'!AB$3:AB$42+(ROW('DONNÉES BRUTES'!A$3:A$42)-ROW('DONNÉES BRUTES'!A$3))/1000,0),15),IF('DONNÉES BRUTES'!C$3:C$42="Financials",'DONNÉES BRUTES'!AB$3:AB$42+(ROW('DONNÉES BRUTES'!A$3:A$42)-ROW('DONNÉES BRUTES'!A$3))/1000,0),0))),"—")</f>
        <v/>
      </c>
      <c r="P25">
        <f t="array" ref="P25">IFERROR(IF(15&gt;COUNTIF('DONNÉES BRUTES'!C$3:C$42,"Financials"),"",INDEX('DONNÉES BRUTES'!U$3:U$42,MATCH(LARGE(IF('DONNÉES BRUTES'!C$3:C$42="Financials",'DONNÉES BRUTES'!AB$3:AB$42+(ROW('DONNÉES BRUTES'!A$3:A$42)-ROW('DONNÉES BRUTES'!A$3))/1000,0),15),IF('DONNÉES BRUTES'!C$3:C$42="Financials",'DONNÉES BRUTES'!AB$3:AB$42+(ROW('DONNÉES BRUTES'!A$3:A$42)-ROW('DONNÉES BRUTES'!A$3))/1000,0),0))),"—")</f>
        <v/>
      </c>
      <c r="Q25">
        <f t="array" ref="Q25">IFERROR(IF(15&gt;COUNTIF('DONNÉES BRUTES'!C$3:C$42,"Financials"),"",INDEX('DONNÉES BRUTES'!AD$3:AD$42,MATCH(LARGE(IF('DONNÉES BRUTES'!C$3:C$42="Financials",'DONNÉES BRUTES'!AB$3:AB$42+(ROW('DONNÉES BRUTES'!A$3:A$42)-ROW('DONNÉES BRUTES'!A$3))/1000,0),15),IF('DONNÉES BRUTES'!C$3:C$42="Financials",'DONNÉES BRUTES'!AB$3:AB$42+(ROW('DONNÉES BRUTES'!A$3:A$42)-ROW('DONNÉES BRUTES'!A$3))/1000,0),0))),"—")</f>
        <v/>
      </c>
    </row>
    <row r="26" ht="15.95" customHeight="1"/>
    <row r="27" ht="15.95" customHeight="1"/>
    <row r="28" ht="15.95" customHeight="1">
      <c r="S28" t="inlineStr">
        <is>
          <t>Société</t>
        </is>
      </c>
      <c r="T28" t="inlineStr">
        <is>
          <t>Score</t>
        </is>
      </c>
      <c r="U28" t="inlineStr">
        <is>
          <t>Growth</t>
        </is>
      </c>
      <c r="V28" t="inlineStr">
        <is>
          <t>Quality</t>
        </is>
      </c>
      <c r="W28" t="inlineStr">
        <is>
          <t>Momentum</t>
        </is>
      </c>
      <c r="Y28" t="inlineStr">
        <is>
          <t>Société</t>
        </is>
      </c>
      <c r="Z28" t="inlineStr">
        <is>
          <t>Growth</t>
        </is>
      </c>
      <c r="AA28" t="inlineStr">
        <is>
          <t>Quality</t>
        </is>
      </c>
      <c r="AB28" t="inlineStr">
        <is>
          <t>Momentum</t>
        </is>
      </c>
    </row>
    <row r="29" ht="15.95" customHeight="1">
      <c r="S29">
        <f>IF(D11="","",LEFT(D11,14))</f>
        <v/>
      </c>
      <c r="T29">
        <f>IF(E11="","",IFERROR(VALUE(LEFT(E11,FIND("/",E11)-1)),0))</f>
        <v/>
      </c>
      <c r="U29">
        <f>IF(ISNUMBER(F11),F11,0)</f>
        <v/>
      </c>
      <c r="V29">
        <f>IF(ISNUMBER(G11),G11,0)</f>
        <v/>
      </c>
      <c r="W29">
        <f>IF(ISNUMBER(H11),H11,0)</f>
        <v/>
      </c>
      <c r="X29">
        <f>IF(ISNUMBER(F11),F11,"")</f>
        <v/>
      </c>
      <c r="Y29">
        <f>IF(ISNUMBER(G11),G11,"")</f>
        <v/>
      </c>
      <c r="Z29">
        <f>IF(ISNUMBER(H11),H11,"")</f>
        <v/>
      </c>
      <c r="AA29" t="n">
        <v>92</v>
      </c>
      <c r="AB29" t="n">
        <v>82</v>
      </c>
    </row>
    <row r="30" ht="15.95" customHeight="1">
      <c r="S30">
        <f>IF(D12="","",LEFT(D12,14))</f>
        <v/>
      </c>
      <c r="T30">
        <f>IF(E12="","",IFERROR(VALUE(LEFT(E12,FIND("/",E12)-1)),0))</f>
        <v/>
      </c>
      <c r="U30">
        <f>IF(ISNUMBER(F12),F12,0)</f>
        <v/>
      </c>
      <c r="V30">
        <f>IF(ISNUMBER(G12),G12,0)</f>
        <v/>
      </c>
      <c r="W30">
        <f>IF(ISNUMBER(H12),H12,0)</f>
        <v/>
      </c>
      <c r="X30">
        <f>IF(ISNUMBER(F12),F12,"")</f>
        <v/>
      </c>
      <c r="Y30">
        <f>IF(ISNUMBER(G12),G12,"")</f>
        <v/>
      </c>
      <c r="Z30">
        <f>IF(ISNUMBER(H12),H12,"")</f>
        <v/>
      </c>
      <c r="AA30" t="n">
        <v>28</v>
      </c>
      <c r="AB30" t="n">
        <v>92</v>
      </c>
    </row>
    <row r="31" ht="15.95" customHeight="1">
      <c r="S31">
        <f>IF(D13="","",LEFT(D13,14))</f>
        <v/>
      </c>
      <c r="T31">
        <f>IF(E13="","",IFERROR(VALUE(LEFT(E13,FIND("/",E13)-1)),0))</f>
        <v/>
      </c>
      <c r="U31">
        <f>IF(ISNUMBER(F13),F13,0)</f>
        <v/>
      </c>
      <c r="V31">
        <f>IF(ISNUMBER(G13),G13,0)</f>
        <v/>
      </c>
      <c r="W31">
        <f>IF(ISNUMBER(H13),H13,0)</f>
        <v/>
      </c>
      <c r="X31">
        <f>IF(ISNUMBER(F13),F13,"")</f>
        <v/>
      </c>
      <c r="Y31">
        <f>IF(ISNUMBER(G13),G13,"")</f>
        <v/>
      </c>
      <c r="Z31">
        <f>IF(ISNUMBER(H13),H13,"")</f>
        <v/>
      </c>
      <c r="AA31" t="n">
        <v>64</v>
      </c>
      <c r="AB31" t="n">
        <v>95</v>
      </c>
    </row>
    <row r="32">
      <c r="S32">
        <f>IF(D14="","",LEFT(D14,14))</f>
        <v/>
      </c>
      <c r="T32">
        <f>IF(E14="","",IFERROR(VALUE(LEFT(E14,FIND("/",E14)-1)),0))</f>
        <v/>
      </c>
      <c r="U32">
        <f>IF(ISNUMBER(F14),F14,0)</f>
        <v/>
      </c>
      <c r="V32">
        <f>IF(ISNUMBER(G14),G14,0)</f>
        <v/>
      </c>
      <c r="W32">
        <f>IF(ISNUMBER(H14),H14,0)</f>
        <v/>
      </c>
      <c r="X32">
        <f>IF(ISNUMBER(F14),F14,"")</f>
        <v/>
      </c>
      <c r="Y32">
        <f>IF(ISNUMBER(G14),G14,"")</f>
        <v/>
      </c>
      <c r="Z32">
        <f>IF(ISNUMBER(H14),H14,"")</f>
        <v/>
      </c>
      <c r="AA32" t="n">
        <v>46</v>
      </c>
      <c r="AB32" t="n">
        <v>26</v>
      </c>
    </row>
  </sheetData>
  <mergeCells count="3">
    <mergeCell ref="B2:Q2"/>
    <mergeCell ref="B1:Q1"/>
    <mergeCell ref="B8:Q8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39"/>
  <sheetViews>
    <sheetView showGridLines="0" zoomScale="90" workbookViewId="0">
      <selection activeCell="J25" sqref="J25"/>
    </sheetView>
  </sheetViews>
  <sheetFormatPr baseColWidth="10" defaultColWidth="8.85546875" defaultRowHeight="15"/>
  <cols>
    <col width="1.5703125" customWidth="1" min="1" max="1"/>
    <col width="5.28515625" customWidth="1" min="2" max="2"/>
    <col width="10.42578125" customWidth="1" min="3" max="3"/>
    <col width="21.85546875" customWidth="1" min="4" max="4"/>
    <col width="10.42578125" customWidth="1" min="5" max="5"/>
    <col width="5.28515625" customWidth="1" min="6" max="8"/>
    <col width="8" customWidth="1" min="9" max="10"/>
    <col width="7.28515625" customWidth="1" min="11" max="11"/>
    <col width="8" customWidth="1" min="12" max="13"/>
    <col width="6.42578125" customWidth="1" min="14" max="14"/>
    <col width="7.28515625" customWidth="1" min="15" max="15"/>
    <col width="6.42578125" customWidth="1" min="16" max="17"/>
  </cols>
  <sheetData>
    <row r="1" ht="32.1" customHeight="1" thickBot="1">
      <c r="A1" s="102">
        <f t="array" ref="A1">"FinSight IA  ·  Industrials  ·  CAC 40  ·  "&amp;COUNTA(_xlfn._xlws.FILTER('DONNÉES BRUTES'!A$3:A$42,'DONNÉES BRUTES'!C$3:C$42="Industrials"))&amp;" sociétés  ·  22/03/2026"</f>
        <v/>
      </c>
      <c r="B1" s="102" t="n"/>
      <c r="C1" s="102" t="n"/>
      <c r="D1" s="102" t="n"/>
      <c r="E1" s="102" t="n"/>
      <c r="F1" s="102" t="n"/>
      <c r="G1" s="102" t="n"/>
      <c r="H1" s="102" t="n"/>
      <c r="I1" s="102" t="n"/>
      <c r="J1" s="102" t="n"/>
      <c r="K1" s="102" t="n"/>
      <c r="L1" s="102" t="n"/>
      <c r="M1" s="102" t="n"/>
      <c r="N1" s="102" t="n"/>
      <c r="O1" s="102" t="n"/>
      <c r="P1" s="102" t="n"/>
    </row>
    <row r="2" ht="3.95" customHeight="1">
      <c r="A2" s="146" t="inlineStr">
        <is>
          <t>Zoom sectoriel  ·  Ratios clés  ·  Score FinSight  ·  Usage confidentiel</t>
        </is>
      </c>
      <c r="B2" s="146" t="n"/>
      <c r="C2" s="146" t="n"/>
      <c r="D2" s="146" t="n"/>
      <c r="E2" s="146" t="n"/>
      <c r="F2" s="146" t="n"/>
      <c r="G2" s="146" t="n"/>
      <c r="H2" s="146" t="n"/>
      <c r="I2" s="146" t="n"/>
      <c r="J2" s="146" t="n"/>
      <c r="K2" s="146" t="n"/>
      <c r="L2" s="146" t="n"/>
      <c r="M2" s="146" t="n"/>
      <c r="N2" s="146" t="n"/>
      <c r="O2" s="146" t="n"/>
      <c r="P2" s="146" t="n"/>
    </row>
    <row r="3" ht="15.95" customHeight="1">
      <c r="A3" s="184" t="n"/>
      <c r="B3" s="184" t="n"/>
      <c r="C3" s="184" t="n"/>
      <c r="D3" s="184" t="n"/>
      <c r="E3" s="184" t="n"/>
      <c r="F3" s="184" t="n"/>
      <c r="G3" s="184" t="n"/>
      <c r="H3" s="184" t="n"/>
      <c r="I3" s="184" t="n"/>
      <c r="J3" s="184" t="n"/>
      <c r="K3" s="184" t="n"/>
      <c r="L3" s="184" t="n"/>
      <c r="M3" s="184" t="n"/>
      <c r="N3" s="184" t="n"/>
      <c r="O3" s="184" t="n"/>
      <c r="P3" s="184" t="n"/>
    </row>
    <row r="4" ht="6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5" ht="18" customHeight="1">
      <c r="A5" s="198" t="n"/>
      <c r="B5" s="195">
        <f t="array" ref="B5">COUNTA(_xlfn._xlws.FILTER('DONNÉES BRUTES'!A$3:A$42,'DONNÉES BRUTES'!C$3:C$42="Industrials"))</f>
        <v/>
      </c>
      <c r="C5" s="186" t="n"/>
      <c r="D5" s="186" t="n"/>
      <c r="E5" s="185">
        <f>ROUND(AVERAGEIF('DONNÉES BRUTES'!C$3:C$42,"Industrials",'DONNÉES BRUTES'!AB$3:AB$42),0)&amp;"/100"</f>
        <v/>
      </c>
      <c r="F5" s="185" t="n"/>
      <c r="G5" s="185" t="n"/>
      <c r="H5" s="185">
        <f>IFERROR(_xlfn.XLOOKUP(_xlfn.MAXIFS('DONNÉES BRUTES'!AB$3:AB$42,'DONNÉES BRUTES'!C$3:C$42,"Industrials"),'DONNÉES BRUTES'!AB$3:AB$42,'DONNÉES BRUTES'!B$3:B$42),"—")</f>
        <v/>
      </c>
      <c r="I5" s="185" t="n"/>
      <c r="J5" s="185" t="n"/>
      <c r="L5" s="285">
        <f>IFERROR(VLOOKUP("Industrials",'SECTOR OVERVIEW'!B$8:G$19,6,0),"—")</f>
        <v/>
      </c>
      <c r="N5" s="286">
        <f t="array" ref="N5">IFERROR(ROUND(MEDIAN(IF('DONNÉES BRUTES'!C$3:C$42="Industrials",IF(ISNUMBER('DONNÉES BRUTES'!Y$3:Y$42),'DONNÉES BRUTES'!Y$3:Y$42))),0),"—")</f>
        <v/>
      </c>
      <c r="P5" s="287">
        <f>IF(COUNTIFS('DONNÉES BRUTES'!C$3:C$42,"Industrials",'DONNÉES BRUTES'!AD$3:AD$42,"Surpondérer")&gt;0,"Surpondérer",IF(COUNTIFS('DONNÉES BRUTES'!C$3:C$42,"Industrials",'DONNÉES BRUTES'!AD$3:AD$42,"Neutre")&gt;=COUNTIFS('DONNÉES BRUTES'!C$3:C$42,"Industrials",'DONNÉES BRUTES'!AD$3:AD$42,"Sous-pondérer"),"Neutre","Sous-pondérer"))</f>
        <v/>
      </c>
    </row>
    <row r="6" ht="15.95" customHeight="1">
      <c r="A6" s="202" t="n"/>
      <c r="B6" s="203" t="inlineStr">
        <is>
          <t>Sociétés</t>
        </is>
      </c>
      <c r="C6" s="204" t="n"/>
      <c r="D6" s="204" t="n"/>
      <c r="E6" s="201" t="inlineStr">
        <is>
          <t>Score moyen</t>
        </is>
      </c>
      <c r="F6" s="201" t="n"/>
      <c r="G6" s="201" t="n"/>
      <c r="H6" s="201" t="inlineStr">
        <is>
          <t>Meilleure société</t>
        </is>
      </c>
      <c r="I6" s="201" t="n"/>
      <c r="J6" s="201" t="n"/>
      <c r="L6" s="288" t="inlineStr">
        <is>
          <t>Mg. EBITDA Méd.</t>
        </is>
      </c>
      <c r="N6" s="288" t="inlineStr">
        <is>
          <t>Score Growth Méd.</t>
        </is>
      </c>
      <c r="P6" s="289" t="inlineStr">
        <is>
          <t>Signal</t>
        </is>
      </c>
    </row>
    <row r="7" ht="15.95" customHeight="1">
      <c r="A7" s="200" t="n"/>
      <c r="B7" s="197" t="n"/>
      <c r="C7" s="192" t="n"/>
      <c r="D7" s="192" t="n"/>
      <c r="E7" s="193" t="n"/>
      <c r="F7" s="191" t="n"/>
      <c r="G7" s="191" t="n"/>
      <c r="H7" s="191" t="n"/>
      <c r="I7" s="191" t="n"/>
      <c r="J7" s="191" t="n"/>
      <c r="K7" s="191" t="n"/>
      <c r="L7" s="191" t="n"/>
      <c r="M7" s="191" t="n"/>
      <c r="N7" s="191" t="n"/>
      <c r="O7" s="191" t="n"/>
      <c r="P7" s="194" t="n"/>
    </row>
    <row r="8" ht="15.95" customHeight="1">
      <c r="A8" s="199" t="n"/>
      <c r="B8" s="196">
        <f t="array" ref="B8">"ANALYSE DÉTAILLÉE  ·  "&amp;UPPER("Industrials")&amp;"  ·  "&amp;COUNTA(_xlfn._xlws.FILTER('DONNÉES BRUTES'!A$3:A$42,'DONNÉES BRUTES'!C$3:C$42="Industrials"))&amp;" sociétés  ·  Triée par Score Global"</f>
        <v/>
      </c>
      <c r="C8" s="188" t="n"/>
      <c r="D8" s="188" t="n"/>
      <c r="E8" s="189" t="n"/>
      <c r="F8" s="187" t="n"/>
      <c r="G8" s="187" t="n"/>
      <c r="H8" s="187" t="n"/>
      <c r="I8" s="187" t="n"/>
      <c r="J8" s="187" t="n"/>
      <c r="K8" s="187" t="n"/>
      <c r="L8" s="187" t="n"/>
      <c r="M8" s="187" t="n"/>
      <c r="N8" s="187" t="n"/>
      <c r="O8" s="187" t="n"/>
      <c r="P8" s="190" t="n"/>
    </row>
    <row r="9" ht="15.95" customHeight="1">
      <c r="A9" s="200" t="n"/>
      <c r="B9" s="197" t="n"/>
      <c r="C9" s="192" t="n"/>
      <c r="D9" s="192" t="n"/>
      <c r="E9" s="193" t="n"/>
      <c r="F9" s="191" t="n"/>
      <c r="G9" s="191" t="n"/>
      <c r="H9" s="191" t="n"/>
      <c r="I9" s="191" t="n"/>
      <c r="J9" s="191" t="n"/>
      <c r="K9" s="191" t="n"/>
      <c r="L9" s="191" t="n"/>
      <c r="M9" s="191" t="n"/>
      <c r="N9" s="191" t="n"/>
      <c r="O9" s="206" t="n"/>
      <c r="P9" s="205" t="n"/>
    </row>
    <row r="10" ht="15.95" customHeight="1">
      <c r="A10" s="199" t="n"/>
      <c r="B10" s="196" t="inlineStr">
        <is>
          <t>#</t>
        </is>
      </c>
      <c r="C10" s="188" t="inlineStr">
        <is>
          <t>Ticker</t>
        </is>
      </c>
      <c r="D10" s="188" t="inlineStr">
        <is>
          <t>Société</t>
        </is>
      </c>
      <c r="E10" s="189" t="inlineStr">
        <is>
          <t>Score</t>
        </is>
      </c>
      <c r="F10" s="187" t="inlineStr">
        <is>
          <t>Gr.</t>
        </is>
      </c>
      <c r="G10" s="187" t="inlineStr">
        <is>
          <t>Qual.</t>
        </is>
      </c>
      <c r="H10" s="187" t="inlineStr">
        <is>
          <t>Mom.</t>
        </is>
      </c>
      <c r="I10" s="187" t="inlineStr">
        <is>
          <t>Mg. Brute</t>
        </is>
      </c>
      <c r="J10" s="187" t="inlineStr">
        <is>
          <t>Mg. EBITDA</t>
        </is>
      </c>
      <c r="K10" s="187" t="inlineStr">
        <is>
          <t>Mg. Nette</t>
        </is>
      </c>
      <c r="L10" s="187" t="inlineStr">
        <is>
          <t>Croiss. Rev.</t>
        </is>
      </c>
      <c r="M10" s="187" t="inlineStr">
        <is>
          <t>ROE</t>
        </is>
      </c>
      <c r="N10" s="187" t="inlineStr">
        <is>
          <t>Curr. R.</t>
        </is>
      </c>
      <c r="O10" s="208" t="inlineStr">
        <is>
          <t>ND/EBITDA</t>
        </is>
      </c>
      <c r="P10" s="218" t="inlineStr">
        <is>
          <t>Altman Z</t>
        </is>
      </c>
      <c r="Q10" s="233" t="inlineStr">
        <is>
          <t>Signal</t>
        </is>
      </c>
    </row>
    <row r="11" ht="15.95" customHeight="1">
      <c r="A11" s="200" t="n"/>
      <c r="B11" s="197">
        <f>IF(1&gt;COUNTIF('DONNÉES BRUTES'!C$3:C$42,"Industrials"),"",1)</f>
        <v/>
      </c>
      <c r="C11" s="192">
        <f t="array" ref="C11">IFERROR(IF(1&gt;COUNTIF('DONNÉES BRUTES'!C$3:C$42,"Industrials"),"",INDEX('DONNÉES BRUTES'!A$3:A$42,MATCH(LARGE(IF('DONNÉES BRUTES'!C$3:C$42="Industrials",'DONNÉES BRUTES'!AB$3:AB$42+(ROW('DONNÉES BRUTES'!A$3:A$42)-ROW('DONNÉES BRUTES'!A$3))/1000,0),1),IF('DONNÉES BRUTES'!C$3:C$42="Industrials",'DONNÉES BRUTES'!AB$3:AB$42+(ROW('DONNÉES BRUTES'!A$3:A$42)-ROW('DONNÉES BRUTES'!A$3))/1000,0),0))),"—")</f>
        <v/>
      </c>
      <c r="D11" s="192">
        <f t="array" ref="D11">IFERROR(IF(1&gt;COUNTIF('DONNÉES BRUTES'!C$3:C$42,"Industrials"),"",INDEX('DONNÉES BRUTES'!B$3:B$42,MATCH(LARGE(IF('DONNÉES BRUTES'!C$3:C$42="Industrials",'DONNÉES BRUTES'!AB$3:AB$42+(ROW('DONNÉES BRUTES'!A$3:A$42)-ROW('DONNÉES BRUTES'!A$3))/1000,0),1),IF('DONNÉES BRUTES'!C$3:C$42="Industrials",'DONNÉES BRUTES'!AB$3:AB$42+(ROW('DONNÉES BRUTES'!A$3:A$42)-ROW('DONNÉES BRUTES'!A$3))/1000,0),0))),"—")</f>
        <v/>
      </c>
      <c r="E11" s="193">
        <f t="array" ref="E11">IFERROR(IF(1&gt;COUNTIF('DONNÉES BRUTES'!C$3:C$42,"Industrials"),"",INT(LARGE(IF('DONNÉES BRUTES'!C$3:C$42="Industrials",'DONNÉES BRUTES'!AB$3:AB$42+(ROW('DONNÉES BRUTES'!A$3:A$42)-ROW('DONNÉES BRUTES'!A$3))/1000,0),1))&amp;"/100"),"—")</f>
        <v/>
      </c>
      <c r="F11" s="191">
        <f t="array" ref="F11">IFERROR(IF(1&gt;COUNTIF('DONNÉES BRUTES'!C$3:C$42,"Industrials"),"",INDEX('DONNÉES BRUTES'!Y$3:Y$42,MATCH(LARGE(IF('DONNÉES BRUTES'!C$3:C$42="Industrials",'DONNÉES BRUTES'!AB$3:AB$42+(ROW('DONNÉES BRUTES'!A$3:A$42)-ROW('DONNÉES BRUTES'!A$3))/1000,0),1),IF('DONNÉES BRUTES'!C$3:C$42="Industrials",'DONNÉES BRUTES'!AB$3:AB$42+(ROW('DONNÉES BRUTES'!A$3:A$42)-ROW('DONNÉES BRUTES'!A$3))/1000,0),0))),"—")</f>
        <v/>
      </c>
      <c r="G11" s="191">
        <f t="array" ref="G11">IFERROR(IF(1&gt;COUNTIF('DONNÉES BRUTES'!C$3:C$42,"Industrials"),"",INDEX('DONNÉES BRUTES'!Z$3:Z$42,MATCH(LARGE(IF('DONNÉES BRUTES'!C$3:C$42="Industrials",'DONNÉES BRUTES'!AB$3:AB$42+(ROW('DONNÉES BRUTES'!A$3:A$42)-ROW('DONNÉES BRUTES'!A$3))/1000,0),1),IF('DONNÉES BRUTES'!C$3:C$42="Industrials",'DONNÉES BRUTES'!AB$3:AB$42+(ROW('DONNÉES BRUTES'!A$3:A$42)-ROW('DONNÉES BRUTES'!A$3))/1000,0),0))),"—")</f>
        <v/>
      </c>
      <c r="H11" s="191">
        <f t="array" ref="H11">IFERROR(IF(1&gt;COUNTIF('DONNÉES BRUTES'!C$3:C$42,"Industrials"),"",INDEX('DONNÉES BRUTES'!AA$3:AA$42,MATCH(LARGE(IF('DONNÉES BRUTES'!C$3:C$42="Industrials",'DONNÉES BRUTES'!AB$3:AB$42+(ROW('DONNÉES BRUTES'!A$3:A$42)-ROW('DONNÉES BRUTES'!A$3))/1000,0),1),IF('DONNÉES BRUTES'!C$3:C$42="Industrials",'DONNÉES BRUTES'!AB$3:AB$42+(ROW('DONNÉES BRUTES'!A$3:A$42)-ROW('DONNÉES BRUTES'!A$3))/1000,0),0))),"—")</f>
        <v/>
      </c>
      <c r="I11" s="191">
        <f t="array" ref="I11">IFERROR(IF(1&gt;COUNTIF('DONNÉES BRUTES'!C$3:C$42,"Industrials"),"",INDEX('DONNÉES BRUTES'!M$3:M$42,MATCH(LARGE(IF('DONNÉES BRUTES'!C$3:C$42="Industrials",'DONNÉES BRUTES'!AB$3:AB$42+(ROW('DONNÉES BRUTES'!A$3:A$42)-ROW('DONNÉES BRUTES'!A$3))/1000,0),1),IF('DONNÉES BRUTES'!C$3:C$42="Industrials",'DONNÉES BRUTES'!AB$3:AB$42+(ROW('DONNÉES BRUTES'!A$3:A$42)-ROW('DONNÉES BRUTES'!A$3))/1000,0),0))),"—")</f>
        <v/>
      </c>
      <c r="J11" s="191">
        <f t="array" ref="J11">IFERROR(IF(1&gt;COUNTIF('DONNÉES BRUTES'!C$3:C$42,"Industrials"),"",INDEX('DONNÉES BRUTES'!N$3:N$42,MATCH(LARGE(IF('DONNÉES BRUTES'!C$3:C$42="Industrials",'DONNÉES BRUTES'!AB$3:AB$42+(ROW('DONNÉES BRUTES'!A$3:A$42)-ROW('DONNÉES BRUTES'!A$3))/1000,0),1),IF('DONNÉES BRUTES'!C$3:C$42="Industrials",'DONNÉES BRUTES'!AB$3:AB$42+(ROW('DONNÉES BRUTES'!A$3:A$42)-ROW('DONNÉES BRUTES'!A$3))/1000,0),0))),"—")</f>
        <v/>
      </c>
      <c r="K11" s="191">
        <f t="array" ref="K11">IFERROR(IF(1&gt;COUNTIF('DONNÉES BRUTES'!C$3:C$42,"Industrials"),"",INDEX('DONNÉES BRUTES'!O$3:O$42,MATCH(LARGE(IF('DONNÉES BRUTES'!C$3:C$42="Industrials",'DONNÉES BRUTES'!AB$3:AB$42+(ROW('DONNÉES BRUTES'!A$3:A$42)-ROW('DONNÉES BRUTES'!A$3))/1000,0),1),IF('DONNÉES BRUTES'!C$3:C$42="Industrials",'DONNÉES BRUTES'!AB$3:AB$42+(ROW('DONNÉES BRUTES'!A$3:A$42)-ROW('DONNÉES BRUTES'!A$3))/1000,0),0))),"—")</f>
        <v/>
      </c>
      <c r="L11" s="191">
        <f t="array" ref="L11">IFERROR(IF(1&gt;COUNTIF('DONNÉES BRUTES'!C$3:C$42,"Industrials"),"",INDEX('DONNÉES BRUTES'!P$3:P$42,MATCH(LARGE(IF('DONNÉES BRUTES'!C$3:C$42="Industrials",'DONNÉES BRUTES'!AB$3:AB$42+(ROW('DONNÉES BRUTES'!A$3:A$42)-ROW('DONNÉES BRUTES'!A$3))/1000,0),1),IF('DONNÉES BRUTES'!C$3:C$42="Industrials",'DONNÉES BRUTES'!AB$3:AB$42+(ROW('DONNÉES BRUTES'!A$3:A$42)-ROW('DONNÉES BRUTES'!A$3))/1000,0),0))),"—")</f>
        <v/>
      </c>
      <c r="M11" s="191">
        <f t="array" ref="M11">IFERROR(IF(1&gt;COUNTIF('DONNÉES BRUTES'!C$3:C$42,"Industrials"),"",INDEX('DONNÉES BRUTES'!Q$3:Q$42,MATCH(LARGE(IF('DONNÉES BRUTES'!C$3:C$42="Industrials",'DONNÉES BRUTES'!AB$3:AB$42+(ROW('DONNÉES BRUTES'!A$3:A$42)-ROW('DONNÉES BRUTES'!A$3))/1000,0),1),IF('DONNÉES BRUTES'!C$3:C$42="Industrials",'DONNÉES BRUTES'!AB$3:AB$42+(ROW('DONNÉES BRUTES'!A$3:A$42)-ROW('DONNÉES BRUTES'!A$3))/1000,0),0))),"—")</f>
        <v/>
      </c>
      <c r="N11" s="191">
        <f t="array" ref="N11">IFERROR(IF(1&gt;COUNTIF('DONNÉES BRUTES'!C$3:C$42,"Industrials"),"",INDEX('DONNÉES BRUTES'!S$3:S$42,MATCH(LARGE(IF('DONNÉES BRUTES'!C$3:C$42="Industrials",'DONNÉES BRUTES'!AB$3:AB$42+(ROW('DONNÉES BRUTES'!A$3:A$42)-ROW('DONNÉES BRUTES'!A$3))/1000,0),1),IF('DONNÉES BRUTES'!C$3:C$42="Industrials",'DONNÉES BRUTES'!AB$3:AB$42+(ROW('DONNÉES BRUTES'!A$3:A$42)-ROW('DONNÉES BRUTES'!A$3))/1000,0),0))),"—")</f>
        <v/>
      </c>
      <c r="O11" s="206">
        <f t="array" ref="O11">IFERROR(IF(1&gt;COUNTIF('DONNÉES BRUTES'!C$3:C$42,"Industrials"),"",INDEX('DONNÉES BRUTES'!T$3:T$42,MATCH(LARGE(IF('DONNÉES BRUTES'!C$3:C$42="Industrials",'DONNÉES BRUTES'!AB$3:AB$42+(ROW('DONNÉES BRUTES'!A$3:A$42)-ROW('DONNÉES BRUTES'!A$3))/1000,0),1),IF('DONNÉES BRUTES'!C$3:C$42="Industrials",'DONNÉES BRUTES'!AB$3:AB$42+(ROW('DONNÉES BRUTES'!A$3:A$42)-ROW('DONNÉES BRUTES'!A$3))/1000,0),0))),"—")</f>
        <v/>
      </c>
      <c r="P11" s="205">
        <f t="array" ref="P11">IFERROR(IF(1&gt;COUNTIF('DONNÉES BRUTES'!C$3:C$42,"Industrials"),"",INDEX('DONNÉES BRUTES'!U$3:U$42,MATCH(LARGE(IF('DONNÉES BRUTES'!C$3:C$42="Industrials",'DONNÉES BRUTES'!AB$3:AB$42+(ROW('DONNÉES BRUTES'!A$3:A$42)-ROW('DONNÉES BRUTES'!A$3))/1000,0),1),IF('DONNÉES BRUTES'!C$3:C$42="Industrials",'DONNÉES BRUTES'!AB$3:AB$42+(ROW('DONNÉES BRUTES'!A$3:A$42)-ROW('DONNÉES BRUTES'!A$3))/1000,0),0))),"—")</f>
        <v/>
      </c>
      <c r="Q11">
        <f t="array" ref="Q11">IFERROR(IF(1&gt;COUNTIF('DONNÉES BRUTES'!C$3:C$42,"Industrials"),"",INDEX('DONNÉES BRUTES'!AD$3:AD$42,MATCH(LARGE(IF('DONNÉES BRUTES'!C$3:C$42="Industrials",'DONNÉES BRUTES'!AB$3:AB$42+(ROW('DONNÉES BRUTES'!A$3:A$42)-ROW('DONNÉES BRUTES'!A$3))/1000,0),1),IF('DONNÉES BRUTES'!C$3:C$42="Industrials",'DONNÉES BRUTES'!AB$3:AB$42+(ROW('DONNÉES BRUTES'!A$3:A$42)-ROW('DONNÉES BRUTES'!A$3))/1000,0),0))),"—")</f>
        <v/>
      </c>
    </row>
    <row r="12" ht="15.95" customHeight="1">
      <c r="A12" s="199" t="n"/>
      <c r="B12" s="196">
        <f>IF(2&gt;COUNTIF('DONNÉES BRUTES'!C$3:C$42,"Industrials"),"",2)</f>
        <v/>
      </c>
      <c r="C12" s="188">
        <f t="array" ref="C12">IFERROR(IF(2&gt;COUNTIF('DONNÉES BRUTES'!C$3:C$42,"Industrials"),"",INDEX('DONNÉES BRUTES'!A$3:A$42,MATCH(LARGE(IF('DONNÉES BRUTES'!C$3:C$42="Industrials",'DONNÉES BRUTES'!AB$3:AB$42+(ROW('DONNÉES BRUTES'!A$3:A$42)-ROW('DONNÉES BRUTES'!A$3))/1000,0),2),IF('DONNÉES BRUTES'!C$3:C$42="Industrials",'DONNÉES BRUTES'!AB$3:AB$42+(ROW('DONNÉES BRUTES'!A$3:A$42)-ROW('DONNÉES BRUTES'!A$3))/1000,0),0))),"—")</f>
        <v/>
      </c>
      <c r="D12" s="188">
        <f t="array" ref="D12">IFERROR(IF(2&gt;COUNTIF('DONNÉES BRUTES'!C$3:C$42,"Industrials"),"",INDEX('DONNÉES BRUTES'!B$3:B$42,MATCH(LARGE(IF('DONNÉES BRUTES'!C$3:C$42="Industrials",'DONNÉES BRUTES'!AB$3:AB$42+(ROW('DONNÉES BRUTES'!A$3:A$42)-ROW('DONNÉES BRUTES'!A$3))/1000,0),2),IF('DONNÉES BRUTES'!C$3:C$42="Industrials",'DONNÉES BRUTES'!AB$3:AB$42+(ROW('DONNÉES BRUTES'!A$3:A$42)-ROW('DONNÉES BRUTES'!A$3))/1000,0),0))),"—")</f>
        <v/>
      </c>
      <c r="E12" s="189">
        <f t="array" ref="E12">IFERROR(IF(2&gt;COUNTIF('DONNÉES BRUTES'!C$3:C$42,"Industrials"),"",INT(LARGE(IF('DONNÉES BRUTES'!C$3:C$42="Industrials",'DONNÉES BRUTES'!AB$3:AB$42+(ROW('DONNÉES BRUTES'!A$3:A$42)-ROW('DONNÉES BRUTES'!A$3))/1000,0),2))&amp;"/100"),"—")</f>
        <v/>
      </c>
      <c r="F12" s="187">
        <f t="array" ref="F12">IFERROR(IF(2&gt;COUNTIF('DONNÉES BRUTES'!C$3:C$42,"Industrials"),"",INDEX('DONNÉES BRUTES'!Y$3:Y$42,MATCH(LARGE(IF('DONNÉES BRUTES'!C$3:C$42="Industrials",'DONNÉES BRUTES'!AB$3:AB$42+(ROW('DONNÉES BRUTES'!A$3:A$42)-ROW('DONNÉES BRUTES'!A$3))/1000,0),2),IF('DONNÉES BRUTES'!C$3:C$42="Industrials",'DONNÉES BRUTES'!AB$3:AB$42+(ROW('DONNÉES BRUTES'!A$3:A$42)-ROW('DONNÉES BRUTES'!A$3))/1000,0),0))),"—")</f>
        <v/>
      </c>
      <c r="G12" s="187">
        <f t="array" ref="G12">IFERROR(IF(2&gt;COUNTIF('DONNÉES BRUTES'!C$3:C$42,"Industrials"),"",INDEX('DONNÉES BRUTES'!Z$3:Z$42,MATCH(LARGE(IF('DONNÉES BRUTES'!C$3:C$42="Industrials",'DONNÉES BRUTES'!AB$3:AB$42+(ROW('DONNÉES BRUTES'!A$3:A$42)-ROW('DONNÉES BRUTES'!A$3))/1000,0),2),IF('DONNÉES BRUTES'!C$3:C$42="Industrials",'DONNÉES BRUTES'!AB$3:AB$42+(ROW('DONNÉES BRUTES'!A$3:A$42)-ROW('DONNÉES BRUTES'!A$3))/1000,0),0))),"—")</f>
        <v/>
      </c>
      <c r="H12" s="187">
        <f t="array" ref="H12">IFERROR(IF(2&gt;COUNTIF('DONNÉES BRUTES'!C$3:C$42,"Industrials"),"",INDEX('DONNÉES BRUTES'!AA$3:AA$42,MATCH(LARGE(IF('DONNÉES BRUTES'!C$3:C$42="Industrials",'DONNÉES BRUTES'!AB$3:AB$42+(ROW('DONNÉES BRUTES'!A$3:A$42)-ROW('DONNÉES BRUTES'!A$3))/1000,0),2),IF('DONNÉES BRUTES'!C$3:C$42="Industrials",'DONNÉES BRUTES'!AB$3:AB$42+(ROW('DONNÉES BRUTES'!A$3:A$42)-ROW('DONNÉES BRUTES'!A$3))/1000,0),0))),"—")</f>
        <v/>
      </c>
      <c r="I12" s="187">
        <f t="array" ref="I12">IFERROR(IF(2&gt;COUNTIF('DONNÉES BRUTES'!C$3:C$42,"Industrials"),"",INDEX('DONNÉES BRUTES'!M$3:M$42,MATCH(LARGE(IF('DONNÉES BRUTES'!C$3:C$42="Industrials",'DONNÉES BRUTES'!AB$3:AB$42+(ROW('DONNÉES BRUTES'!A$3:A$42)-ROW('DONNÉES BRUTES'!A$3))/1000,0),2),IF('DONNÉES BRUTES'!C$3:C$42="Industrials",'DONNÉES BRUTES'!AB$3:AB$42+(ROW('DONNÉES BRUTES'!A$3:A$42)-ROW('DONNÉES BRUTES'!A$3))/1000,0),0))),"—")</f>
        <v/>
      </c>
      <c r="J12" s="187">
        <f t="array" ref="J12">IFERROR(IF(2&gt;COUNTIF('DONNÉES BRUTES'!C$3:C$42,"Industrials"),"",INDEX('DONNÉES BRUTES'!N$3:N$42,MATCH(LARGE(IF('DONNÉES BRUTES'!C$3:C$42="Industrials",'DONNÉES BRUTES'!AB$3:AB$42+(ROW('DONNÉES BRUTES'!A$3:A$42)-ROW('DONNÉES BRUTES'!A$3))/1000,0),2),IF('DONNÉES BRUTES'!C$3:C$42="Industrials",'DONNÉES BRUTES'!AB$3:AB$42+(ROW('DONNÉES BRUTES'!A$3:A$42)-ROW('DONNÉES BRUTES'!A$3))/1000,0),0))),"—")</f>
        <v/>
      </c>
      <c r="K12" s="187">
        <f t="array" ref="K12">IFERROR(IF(2&gt;COUNTIF('DONNÉES BRUTES'!C$3:C$42,"Industrials"),"",INDEX('DONNÉES BRUTES'!O$3:O$42,MATCH(LARGE(IF('DONNÉES BRUTES'!C$3:C$42="Industrials",'DONNÉES BRUTES'!AB$3:AB$42+(ROW('DONNÉES BRUTES'!A$3:A$42)-ROW('DONNÉES BRUTES'!A$3))/1000,0),2),IF('DONNÉES BRUTES'!C$3:C$42="Industrials",'DONNÉES BRUTES'!AB$3:AB$42+(ROW('DONNÉES BRUTES'!A$3:A$42)-ROW('DONNÉES BRUTES'!A$3))/1000,0),0))),"—")</f>
        <v/>
      </c>
      <c r="L12" s="187">
        <f t="array" ref="L12">IFERROR(IF(2&gt;COUNTIF('DONNÉES BRUTES'!C$3:C$42,"Industrials"),"",INDEX('DONNÉES BRUTES'!P$3:P$42,MATCH(LARGE(IF('DONNÉES BRUTES'!C$3:C$42="Industrials",'DONNÉES BRUTES'!AB$3:AB$42+(ROW('DONNÉES BRUTES'!A$3:A$42)-ROW('DONNÉES BRUTES'!A$3))/1000,0),2),IF('DONNÉES BRUTES'!C$3:C$42="Industrials",'DONNÉES BRUTES'!AB$3:AB$42+(ROW('DONNÉES BRUTES'!A$3:A$42)-ROW('DONNÉES BRUTES'!A$3))/1000,0),0))),"—")</f>
        <v/>
      </c>
      <c r="M12" s="187">
        <f t="array" ref="M12">IFERROR(IF(2&gt;COUNTIF('DONNÉES BRUTES'!C$3:C$42,"Industrials"),"",INDEX('DONNÉES BRUTES'!Q$3:Q$42,MATCH(LARGE(IF('DONNÉES BRUTES'!C$3:C$42="Industrials",'DONNÉES BRUTES'!AB$3:AB$42+(ROW('DONNÉES BRUTES'!A$3:A$42)-ROW('DONNÉES BRUTES'!A$3))/1000,0),2),IF('DONNÉES BRUTES'!C$3:C$42="Industrials",'DONNÉES BRUTES'!AB$3:AB$42+(ROW('DONNÉES BRUTES'!A$3:A$42)-ROW('DONNÉES BRUTES'!A$3))/1000,0),0))),"—")</f>
        <v/>
      </c>
      <c r="N12" s="187">
        <f t="array" ref="N12">IFERROR(IF(2&gt;COUNTIF('DONNÉES BRUTES'!C$3:C$42,"Industrials"),"",INDEX('DONNÉES BRUTES'!S$3:S$42,MATCH(LARGE(IF('DONNÉES BRUTES'!C$3:C$42="Industrials",'DONNÉES BRUTES'!AB$3:AB$42+(ROW('DONNÉES BRUTES'!A$3:A$42)-ROW('DONNÉES BRUTES'!A$3))/1000,0),2),IF('DONNÉES BRUTES'!C$3:C$42="Industrials",'DONNÉES BRUTES'!AB$3:AB$42+(ROW('DONNÉES BRUTES'!A$3:A$42)-ROW('DONNÉES BRUTES'!A$3))/1000,0),0))),"—")</f>
        <v/>
      </c>
      <c r="O12" s="208">
        <f t="array" ref="O12">IFERROR(IF(2&gt;COUNTIF('DONNÉES BRUTES'!C$3:C$42,"Industrials"),"",INDEX('DONNÉES BRUTES'!T$3:T$42,MATCH(LARGE(IF('DONNÉES BRUTES'!C$3:C$42="Industrials",'DONNÉES BRUTES'!AB$3:AB$42+(ROW('DONNÉES BRUTES'!A$3:A$42)-ROW('DONNÉES BRUTES'!A$3))/1000,0),2),IF('DONNÉES BRUTES'!C$3:C$42="Industrials",'DONNÉES BRUTES'!AB$3:AB$42+(ROW('DONNÉES BRUTES'!A$3:A$42)-ROW('DONNÉES BRUTES'!A$3))/1000,0),0))),"—")</f>
        <v/>
      </c>
      <c r="P12" s="218">
        <f t="array" ref="P12">IFERROR(IF(2&gt;COUNTIF('DONNÉES BRUTES'!C$3:C$42,"Industrials"),"",INDEX('DONNÉES BRUTES'!U$3:U$42,MATCH(LARGE(IF('DONNÉES BRUTES'!C$3:C$42="Industrials",'DONNÉES BRUTES'!AB$3:AB$42+(ROW('DONNÉES BRUTES'!A$3:A$42)-ROW('DONNÉES BRUTES'!A$3))/1000,0),2),IF('DONNÉES BRUTES'!C$3:C$42="Industrials",'DONNÉES BRUTES'!AB$3:AB$42+(ROW('DONNÉES BRUTES'!A$3:A$42)-ROW('DONNÉES BRUTES'!A$3))/1000,0),0))),"—")</f>
        <v/>
      </c>
      <c r="Q12">
        <f t="array" ref="Q12">IFERROR(IF(2&gt;COUNTIF('DONNÉES BRUTES'!C$3:C$42,"Industrials"),"",INDEX('DONNÉES BRUTES'!AD$3:AD$42,MATCH(LARGE(IF('DONNÉES BRUTES'!C$3:C$42="Industrials",'DONNÉES BRUTES'!AB$3:AB$42+(ROW('DONNÉES BRUTES'!A$3:A$42)-ROW('DONNÉES BRUTES'!A$3))/1000,0),2),IF('DONNÉES BRUTES'!C$3:C$42="Industrials",'DONNÉES BRUTES'!AB$3:AB$42+(ROW('DONNÉES BRUTES'!A$3:A$42)-ROW('DONNÉES BRUTES'!A$3))/1000,0),0))),"—")</f>
        <v/>
      </c>
    </row>
    <row r="13" ht="15.95" customHeight="1">
      <c r="A13" s="200" t="n"/>
      <c r="B13" s="197">
        <f>IF(3&gt;COUNTIF('DONNÉES BRUTES'!C$3:C$42,"Industrials"),"",3)</f>
        <v/>
      </c>
      <c r="C13" s="192">
        <f t="array" ref="C13">IFERROR(IF(3&gt;COUNTIF('DONNÉES BRUTES'!C$3:C$42,"Industrials"),"",INDEX('DONNÉES BRUTES'!A$3:A$42,MATCH(LARGE(IF('DONNÉES BRUTES'!C$3:C$42="Industrials",'DONNÉES BRUTES'!AB$3:AB$42+(ROW('DONNÉES BRUTES'!A$3:A$42)-ROW('DONNÉES BRUTES'!A$3))/1000,0),3),IF('DONNÉES BRUTES'!C$3:C$42="Industrials",'DONNÉES BRUTES'!AB$3:AB$42+(ROW('DONNÉES BRUTES'!A$3:A$42)-ROW('DONNÉES BRUTES'!A$3))/1000,0),0))),"—")</f>
        <v/>
      </c>
      <c r="D13" s="192">
        <f t="array" ref="D13">IFERROR(IF(3&gt;COUNTIF('DONNÉES BRUTES'!C$3:C$42,"Industrials"),"",INDEX('DONNÉES BRUTES'!B$3:B$42,MATCH(LARGE(IF('DONNÉES BRUTES'!C$3:C$42="Industrials",'DONNÉES BRUTES'!AB$3:AB$42+(ROW('DONNÉES BRUTES'!A$3:A$42)-ROW('DONNÉES BRUTES'!A$3))/1000,0),3),IF('DONNÉES BRUTES'!C$3:C$42="Industrials",'DONNÉES BRUTES'!AB$3:AB$42+(ROW('DONNÉES BRUTES'!A$3:A$42)-ROW('DONNÉES BRUTES'!A$3))/1000,0),0))),"—")</f>
        <v/>
      </c>
      <c r="E13" s="193">
        <f t="array" ref="E13">IFERROR(IF(3&gt;COUNTIF('DONNÉES BRUTES'!C$3:C$42,"Industrials"),"",INT(LARGE(IF('DONNÉES BRUTES'!C$3:C$42="Industrials",'DONNÉES BRUTES'!AB$3:AB$42+(ROW('DONNÉES BRUTES'!A$3:A$42)-ROW('DONNÉES BRUTES'!A$3))/1000,0),3))&amp;"/100"),"—")</f>
        <v/>
      </c>
      <c r="F13" s="191">
        <f t="array" ref="F13">IFERROR(IF(3&gt;COUNTIF('DONNÉES BRUTES'!C$3:C$42,"Industrials"),"",INDEX('DONNÉES BRUTES'!Y$3:Y$42,MATCH(LARGE(IF('DONNÉES BRUTES'!C$3:C$42="Industrials",'DONNÉES BRUTES'!AB$3:AB$42+(ROW('DONNÉES BRUTES'!A$3:A$42)-ROW('DONNÉES BRUTES'!A$3))/1000,0),3),IF('DONNÉES BRUTES'!C$3:C$42="Industrials",'DONNÉES BRUTES'!AB$3:AB$42+(ROW('DONNÉES BRUTES'!A$3:A$42)-ROW('DONNÉES BRUTES'!A$3))/1000,0),0))),"—")</f>
        <v/>
      </c>
      <c r="G13" s="191">
        <f t="array" ref="G13">IFERROR(IF(3&gt;COUNTIF('DONNÉES BRUTES'!C$3:C$42,"Industrials"),"",INDEX('DONNÉES BRUTES'!Z$3:Z$42,MATCH(LARGE(IF('DONNÉES BRUTES'!C$3:C$42="Industrials",'DONNÉES BRUTES'!AB$3:AB$42+(ROW('DONNÉES BRUTES'!A$3:A$42)-ROW('DONNÉES BRUTES'!A$3))/1000,0),3),IF('DONNÉES BRUTES'!C$3:C$42="Industrials",'DONNÉES BRUTES'!AB$3:AB$42+(ROW('DONNÉES BRUTES'!A$3:A$42)-ROW('DONNÉES BRUTES'!A$3))/1000,0),0))),"—")</f>
        <v/>
      </c>
      <c r="H13" s="191">
        <f t="array" ref="H13">IFERROR(IF(3&gt;COUNTIF('DONNÉES BRUTES'!C$3:C$42,"Industrials"),"",INDEX('DONNÉES BRUTES'!AA$3:AA$42,MATCH(LARGE(IF('DONNÉES BRUTES'!C$3:C$42="Industrials",'DONNÉES BRUTES'!AB$3:AB$42+(ROW('DONNÉES BRUTES'!A$3:A$42)-ROW('DONNÉES BRUTES'!A$3))/1000,0),3),IF('DONNÉES BRUTES'!C$3:C$42="Industrials",'DONNÉES BRUTES'!AB$3:AB$42+(ROW('DONNÉES BRUTES'!A$3:A$42)-ROW('DONNÉES BRUTES'!A$3))/1000,0),0))),"—")</f>
        <v/>
      </c>
      <c r="I13" s="191">
        <f t="array" ref="I13">IFERROR(IF(3&gt;COUNTIF('DONNÉES BRUTES'!C$3:C$42,"Industrials"),"",INDEX('DONNÉES BRUTES'!M$3:M$42,MATCH(LARGE(IF('DONNÉES BRUTES'!C$3:C$42="Industrials",'DONNÉES BRUTES'!AB$3:AB$42+(ROW('DONNÉES BRUTES'!A$3:A$42)-ROW('DONNÉES BRUTES'!A$3))/1000,0),3),IF('DONNÉES BRUTES'!C$3:C$42="Industrials",'DONNÉES BRUTES'!AB$3:AB$42+(ROW('DONNÉES BRUTES'!A$3:A$42)-ROW('DONNÉES BRUTES'!A$3))/1000,0),0))),"—")</f>
        <v/>
      </c>
      <c r="J13" s="191">
        <f t="array" ref="J13">IFERROR(IF(3&gt;COUNTIF('DONNÉES BRUTES'!C$3:C$42,"Industrials"),"",INDEX('DONNÉES BRUTES'!N$3:N$42,MATCH(LARGE(IF('DONNÉES BRUTES'!C$3:C$42="Industrials",'DONNÉES BRUTES'!AB$3:AB$42+(ROW('DONNÉES BRUTES'!A$3:A$42)-ROW('DONNÉES BRUTES'!A$3))/1000,0),3),IF('DONNÉES BRUTES'!C$3:C$42="Industrials",'DONNÉES BRUTES'!AB$3:AB$42+(ROW('DONNÉES BRUTES'!A$3:A$42)-ROW('DONNÉES BRUTES'!A$3))/1000,0),0))),"—")</f>
        <v/>
      </c>
      <c r="K13" s="191">
        <f t="array" ref="K13">IFERROR(IF(3&gt;COUNTIF('DONNÉES BRUTES'!C$3:C$42,"Industrials"),"",INDEX('DONNÉES BRUTES'!O$3:O$42,MATCH(LARGE(IF('DONNÉES BRUTES'!C$3:C$42="Industrials",'DONNÉES BRUTES'!AB$3:AB$42+(ROW('DONNÉES BRUTES'!A$3:A$42)-ROW('DONNÉES BRUTES'!A$3))/1000,0),3),IF('DONNÉES BRUTES'!C$3:C$42="Industrials",'DONNÉES BRUTES'!AB$3:AB$42+(ROW('DONNÉES BRUTES'!A$3:A$42)-ROW('DONNÉES BRUTES'!A$3))/1000,0),0))),"—")</f>
        <v/>
      </c>
      <c r="L13" s="191">
        <f t="array" ref="L13">IFERROR(IF(3&gt;COUNTIF('DONNÉES BRUTES'!C$3:C$42,"Industrials"),"",INDEX('DONNÉES BRUTES'!P$3:P$42,MATCH(LARGE(IF('DONNÉES BRUTES'!C$3:C$42="Industrials",'DONNÉES BRUTES'!AB$3:AB$42+(ROW('DONNÉES BRUTES'!A$3:A$42)-ROW('DONNÉES BRUTES'!A$3))/1000,0),3),IF('DONNÉES BRUTES'!C$3:C$42="Industrials",'DONNÉES BRUTES'!AB$3:AB$42+(ROW('DONNÉES BRUTES'!A$3:A$42)-ROW('DONNÉES BRUTES'!A$3))/1000,0),0))),"—")</f>
        <v/>
      </c>
      <c r="M13" s="191">
        <f t="array" ref="M13">IFERROR(IF(3&gt;COUNTIF('DONNÉES BRUTES'!C$3:C$42,"Industrials"),"",INDEX('DONNÉES BRUTES'!Q$3:Q$42,MATCH(LARGE(IF('DONNÉES BRUTES'!C$3:C$42="Industrials",'DONNÉES BRUTES'!AB$3:AB$42+(ROW('DONNÉES BRUTES'!A$3:A$42)-ROW('DONNÉES BRUTES'!A$3))/1000,0),3),IF('DONNÉES BRUTES'!C$3:C$42="Industrials",'DONNÉES BRUTES'!AB$3:AB$42+(ROW('DONNÉES BRUTES'!A$3:A$42)-ROW('DONNÉES BRUTES'!A$3))/1000,0),0))),"—")</f>
        <v/>
      </c>
      <c r="N13" s="191">
        <f t="array" ref="N13">IFERROR(IF(3&gt;COUNTIF('DONNÉES BRUTES'!C$3:C$42,"Industrials"),"",INDEX('DONNÉES BRUTES'!S$3:S$42,MATCH(LARGE(IF('DONNÉES BRUTES'!C$3:C$42="Industrials",'DONNÉES BRUTES'!AB$3:AB$42+(ROW('DONNÉES BRUTES'!A$3:A$42)-ROW('DONNÉES BRUTES'!A$3))/1000,0),3),IF('DONNÉES BRUTES'!C$3:C$42="Industrials",'DONNÉES BRUTES'!AB$3:AB$42+(ROW('DONNÉES BRUTES'!A$3:A$42)-ROW('DONNÉES BRUTES'!A$3))/1000,0),0))),"—")</f>
        <v/>
      </c>
      <c r="O13" s="206">
        <f t="array" ref="O13">IFERROR(IF(3&gt;COUNTIF('DONNÉES BRUTES'!C$3:C$42,"Industrials"),"",INDEX('DONNÉES BRUTES'!T$3:T$42,MATCH(LARGE(IF('DONNÉES BRUTES'!C$3:C$42="Industrials",'DONNÉES BRUTES'!AB$3:AB$42+(ROW('DONNÉES BRUTES'!A$3:A$42)-ROW('DONNÉES BRUTES'!A$3))/1000,0),3),IF('DONNÉES BRUTES'!C$3:C$42="Industrials",'DONNÉES BRUTES'!AB$3:AB$42+(ROW('DONNÉES BRUTES'!A$3:A$42)-ROW('DONNÉES BRUTES'!A$3))/1000,0),0))),"—")</f>
        <v/>
      </c>
      <c r="P13" s="205">
        <f t="array" ref="P13">IFERROR(IF(3&gt;COUNTIF('DONNÉES BRUTES'!C$3:C$42,"Industrials"),"",INDEX('DONNÉES BRUTES'!U$3:U$42,MATCH(LARGE(IF('DONNÉES BRUTES'!C$3:C$42="Industrials",'DONNÉES BRUTES'!AB$3:AB$42+(ROW('DONNÉES BRUTES'!A$3:A$42)-ROW('DONNÉES BRUTES'!A$3))/1000,0),3),IF('DONNÉES BRUTES'!C$3:C$42="Industrials",'DONNÉES BRUTES'!AB$3:AB$42+(ROW('DONNÉES BRUTES'!A$3:A$42)-ROW('DONNÉES BRUTES'!A$3))/1000,0),0))),"—")</f>
        <v/>
      </c>
      <c r="Q13">
        <f t="array" ref="Q13">IFERROR(IF(3&gt;COUNTIF('DONNÉES BRUTES'!C$3:C$42,"Industrials"),"",INDEX('DONNÉES BRUTES'!AD$3:AD$42,MATCH(LARGE(IF('DONNÉES BRUTES'!C$3:C$42="Industrials",'DONNÉES BRUTES'!AB$3:AB$42+(ROW('DONNÉES BRUTES'!A$3:A$42)-ROW('DONNÉES BRUTES'!A$3))/1000,0),3),IF('DONNÉES BRUTES'!C$3:C$42="Industrials",'DONNÉES BRUTES'!AB$3:AB$42+(ROW('DONNÉES BRUTES'!A$3:A$42)-ROW('DONNÉES BRUTES'!A$3))/1000,0),0))),"—")</f>
        <v/>
      </c>
    </row>
    <row r="14" ht="15.95" customHeight="1">
      <c r="A14" s="199" t="n"/>
      <c r="B14" s="196">
        <f>IF(4&gt;COUNTIF('DONNÉES BRUTES'!C$3:C$42,"Industrials"),"",4)</f>
        <v/>
      </c>
      <c r="C14" s="188">
        <f t="array" ref="C14">IFERROR(IF(4&gt;COUNTIF('DONNÉES BRUTES'!C$3:C$42,"Industrials"),"",INDEX('DONNÉES BRUTES'!A$3:A$42,MATCH(LARGE(IF('DONNÉES BRUTES'!C$3:C$42="Industrials",'DONNÉES BRUTES'!AB$3:AB$42+(ROW('DONNÉES BRUTES'!A$3:A$42)-ROW('DONNÉES BRUTES'!A$3))/1000,0),4),IF('DONNÉES BRUTES'!C$3:C$42="Industrials",'DONNÉES BRUTES'!AB$3:AB$42+(ROW('DONNÉES BRUTES'!A$3:A$42)-ROW('DONNÉES BRUTES'!A$3))/1000,0),0))),"—")</f>
        <v/>
      </c>
      <c r="D14" s="188">
        <f t="array" ref="D14">IFERROR(IF(4&gt;COUNTIF('DONNÉES BRUTES'!C$3:C$42,"Industrials"),"",INDEX('DONNÉES BRUTES'!B$3:B$42,MATCH(LARGE(IF('DONNÉES BRUTES'!C$3:C$42="Industrials",'DONNÉES BRUTES'!AB$3:AB$42+(ROW('DONNÉES BRUTES'!A$3:A$42)-ROW('DONNÉES BRUTES'!A$3))/1000,0),4),IF('DONNÉES BRUTES'!C$3:C$42="Industrials",'DONNÉES BRUTES'!AB$3:AB$42+(ROW('DONNÉES BRUTES'!A$3:A$42)-ROW('DONNÉES BRUTES'!A$3))/1000,0),0))),"—")</f>
        <v/>
      </c>
      <c r="E14" s="189">
        <f t="array" ref="E14">IFERROR(IF(4&gt;COUNTIF('DONNÉES BRUTES'!C$3:C$42,"Industrials"),"",INT(LARGE(IF('DONNÉES BRUTES'!C$3:C$42="Industrials",'DONNÉES BRUTES'!AB$3:AB$42+(ROW('DONNÉES BRUTES'!A$3:A$42)-ROW('DONNÉES BRUTES'!A$3))/1000,0),4))&amp;"/100"),"—")</f>
        <v/>
      </c>
      <c r="F14" s="187">
        <f t="array" ref="F14">IFERROR(IF(4&gt;COUNTIF('DONNÉES BRUTES'!C$3:C$42,"Industrials"),"",INDEX('DONNÉES BRUTES'!Y$3:Y$42,MATCH(LARGE(IF('DONNÉES BRUTES'!C$3:C$42="Industrials",'DONNÉES BRUTES'!AB$3:AB$42+(ROW('DONNÉES BRUTES'!A$3:A$42)-ROW('DONNÉES BRUTES'!A$3))/1000,0),4),IF('DONNÉES BRUTES'!C$3:C$42="Industrials",'DONNÉES BRUTES'!AB$3:AB$42+(ROW('DONNÉES BRUTES'!A$3:A$42)-ROW('DONNÉES BRUTES'!A$3))/1000,0),0))),"—")</f>
        <v/>
      </c>
      <c r="G14" s="187">
        <f t="array" ref="G14">IFERROR(IF(4&gt;COUNTIF('DONNÉES BRUTES'!C$3:C$42,"Industrials"),"",INDEX('DONNÉES BRUTES'!Z$3:Z$42,MATCH(LARGE(IF('DONNÉES BRUTES'!C$3:C$42="Industrials",'DONNÉES BRUTES'!AB$3:AB$42+(ROW('DONNÉES BRUTES'!A$3:A$42)-ROW('DONNÉES BRUTES'!A$3))/1000,0),4),IF('DONNÉES BRUTES'!C$3:C$42="Industrials",'DONNÉES BRUTES'!AB$3:AB$42+(ROW('DONNÉES BRUTES'!A$3:A$42)-ROW('DONNÉES BRUTES'!A$3))/1000,0),0))),"—")</f>
        <v/>
      </c>
      <c r="H14" s="187">
        <f t="array" ref="H14">IFERROR(IF(4&gt;COUNTIF('DONNÉES BRUTES'!C$3:C$42,"Industrials"),"",INDEX('DONNÉES BRUTES'!AA$3:AA$42,MATCH(LARGE(IF('DONNÉES BRUTES'!C$3:C$42="Industrials",'DONNÉES BRUTES'!AB$3:AB$42+(ROW('DONNÉES BRUTES'!A$3:A$42)-ROW('DONNÉES BRUTES'!A$3))/1000,0),4),IF('DONNÉES BRUTES'!C$3:C$42="Industrials",'DONNÉES BRUTES'!AB$3:AB$42+(ROW('DONNÉES BRUTES'!A$3:A$42)-ROW('DONNÉES BRUTES'!A$3))/1000,0),0))),"—")</f>
        <v/>
      </c>
      <c r="I14" s="187">
        <f t="array" ref="I14">IFERROR(IF(4&gt;COUNTIF('DONNÉES BRUTES'!C$3:C$42,"Industrials"),"",INDEX('DONNÉES BRUTES'!M$3:M$42,MATCH(LARGE(IF('DONNÉES BRUTES'!C$3:C$42="Industrials",'DONNÉES BRUTES'!AB$3:AB$42+(ROW('DONNÉES BRUTES'!A$3:A$42)-ROW('DONNÉES BRUTES'!A$3))/1000,0),4),IF('DONNÉES BRUTES'!C$3:C$42="Industrials",'DONNÉES BRUTES'!AB$3:AB$42+(ROW('DONNÉES BRUTES'!A$3:A$42)-ROW('DONNÉES BRUTES'!A$3))/1000,0),0))),"—")</f>
        <v/>
      </c>
      <c r="J14" s="187">
        <f t="array" ref="J14">IFERROR(IF(4&gt;COUNTIF('DONNÉES BRUTES'!C$3:C$42,"Industrials"),"",INDEX('DONNÉES BRUTES'!N$3:N$42,MATCH(LARGE(IF('DONNÉES BRUTES'!C$3:C$42="Industrials",'DONNÉES BRUTES'!AB$3:AB$42+(ROW('DONNÉES BRUTES'!A$3:A$42)-ROW('DONNÉES BRUTES'!A$3))/1000,0),4),IF('DONNÉES BRUTES'!C$3:C$42="Industrials",'DONNÉES BRUTES'!AB$3:AB$42+(ROW('DONNÉES BRUTES'!A$3:A$42)-ROW('DONNÉES BRUTES'!A$3))/1000,0),0))),"—")</f>
        <v/>
      </c>
      <c r="K14" s="187">
        <f t="array" ref="K14">IFERROR(IF(4&gt;COUNTIF('DONNÉES BRUTES'!C$3:C$42,"Industrials"),"",INDEX('DONNÉES BRUTES'!O$3:O$42,MATCH(LARGE(IF('DONNÉES BRUTES'!C$3:C$42="Industrials",'DONNÉES BRUTES'!AB$3:AB$42+(ROW('DONNÉES BRUTES'!A$3:A$42)-ROW('DONNÉES BRUTES'!A$3))/1000,0),4),IF('DONNÉES BRUTES'!C$3:C$42="Industrials",'DONNÉES BRUTES'!AB$3:AB$42+(ROW('DONNÉES BRUTES'!A$3:A$42)-ROW('DONNÉES BRUTES'!A$3))/1000,0),0))),"—")</f>
        <v/>
      </c>
      <c r="L14" s="187">
        <f t="array" ref="L14">IFERROR(IF(4&gt;COUNTIF('DONNÉES BRUTES'!C$3:C$42,"Industrials"),"",INDEX('DONNÉES BRUTES'!P$3:P$42,MATCH(LARGE(IF('DONNÉES BRUTES'!C$3:C$42="Industrials",'DONNÉES BRUTES'!AB$3:AB$42+(ROW('DONNÉES BRUTES'!A$3:A$42)-ROW('DONNÉES BRUTES'!A$3))/1000,0),4),IF('DONNÉES BRUTES'!C$3:C$42="Industrials",'DONNÉES BRUTES'!AB$3:AB$42+(ROW('DONNÉES BRUTES'!A$3:A$42)-ROW('DONNÉES BRUTES'!A$3))/1000,0),0))),"—")</f>
        <v/>
      </c>
      <c r="M14" s="187">
        <f t="array" ref="M14">IFERROR(IF(4&gt;COUNTIF('DONNÉES BRUTES'!C$3:C$42,"Industrials"),"",INDEX('DONNÉES BRUTES'!Q$3:Q$42,MATCH(LARGE(IF('DONNÉES BRUTES'!C$3:C$42="Industrials",'DONNÉES BRUTES'!AB$3:AB$42+(ROW('DONNÉES BRUTES'!A$3:A$42)-ROW('DONNÉES BRUTES'!A$3))/1000,0),4),IF('DONNÉES BRUTES'!C$3:C$42="Industrials",'DONNÉES BRUTES'!AB$3:AB$42+(ROW('DONNÉES BRUTES'!A$3:A$42)-ROW('DONNÉES BRUTES'!A$3))/1000,0),0))),"—")</f>
        <v/>
      </c>
      <c r="N14" s="187">
        <f t="array" ref="N14">IFERROR(IF(4&gt;COUNTIF('DONNÉES BRUTES'!C$3:C$42,"Industrials"),"",INDEX('DONNÉES BRUTES'!S$3:S$42,MATCH(LARGE(IF('DONNÉES BRUTES'!C$3:C$42="Industrials",'DONNÉES BRUTES'!AB$3:AB$42+(ROW('DONNÉES BRUTES'!A$3:A$42)-ROW('DONNÉES BRUTES'!A$3))/1000,0),4),IF('DONNÉES BRUTES'!C$3:C$42="Industrials",'DONNÉES BRUTES'!AB$3:AB$42+(ROW('DONNÉES BRUTES'!A$3:A$42)-ROW('DONNÉES BRUTES'!A$3))/1000,0),0))),"—")</f>
        <v/>
      </c>
      <c r="O14" s="208">
        <f t="array" ref="O14">IFERROR(IF(4&gt;COUNTIF('DONNÉES BRUTES'!C$3:C$42,"Industrials"),"",INDEX('DONNÉES BRUTES'!T$3:T$42,MATCH(LARGE(IF('DONNÉES BRUTES'!C$3:C$42="Industrials",'DONNÉES BRUTES'!AB$3:AB$42+(ROW('DONNÉES BRUTES'!A$3:A$42)-ROW('DONNÉES BRUTES'!A$3))/1000,0),4),IF('DONNÉES BRUTES'!C$3:C$42="Industrials",'DONNÉES BRUTES'!AB$3:AB$42+(ROW('DONNÉES BRUTES'!A$3:A$42)-ROW('DONNÉES BRUTES'!A$3))/1000,0),0))),"—")</f>
        <v/>
      </c>
      <c r="P14" s="218">
        <f t="array" ref="P14">IFERROR(IF(4&gt;COUNTIF('DONNÉES BRUTES'!C$3:C$42,"Industrials"),"",INDEX('DONNÉES BRUTES'!U$3:U$42,MATCH(LARGE(IF('DONNÉES BRUTES'!C$3:C$42="Industrials",'DONNÉES BRUTES'!AB$3:AB$42+(ROW('DONNÉES BRUTES'!A$3:A$42)-ROW('DONNÉES BRUTES'!A$3))/1000,0),4),IF('DONNÉES BRUTES'!C$3:C$42="Industrials",'DONNÉES BRUTES'!AB$3:AB$42+(ROW('DONNÉES BRUTES'!A$3:A$42)-ROW('DONNÉES BRUTES'!A$3))/1000,0),0))),"—")</f>
        <v/>
      </c>
      <c r="Q14">
        <f t="array" ref="Q14">IFERROR(IF(4&gt;COUNTIF('DONNÉES BRUTES'!C$3:C$42,"Industrials"),"",INDEX('DONNÉES BRUTES'!AD$3:AD$42,MATCH(LARGE(IF('DONNÉES BRUTES'!C$3:C$42="Industrials",'DONNÉES BRUTES'!AB$3:AB$42+(ROW('DONNÉES BRUTES'!A$3:A$42)-ROW('DONNÉES BRUTES'!A$3))/1000,0),4),IF('DONNÉES BRUTES'!C$3:C$42="Industrials",'DONNÉES BRUTES'!AB$3:AB$42+(ROW('DONNÉES BRUTES'!A$3:A$42)-ROW('DONNÉES BRUTES'!A$3))/1000,0),0))),"—")</f>
        <v/>
      </c>
    </row>
    <row r="15" ht="15.95" customHeight="1">
      <c r="A15" s="200" t="n"/>
      <c r="B15" s="197">
        <f>IF(5&gt;COUNTIF('DONNÉES BRUTES'!C$3:C$42,"Industrials"),"",5)</f>
        <v/>
      </c>
      <c r="C15" s="192">
        <f t="array" ref="C15">IFERROR(IF(5&gt;COUNTIF('DONNÉES BRUTES'!C$3:C$42,"Industrials"),"",INDEX('DONNÉES BRUTES'!A$3:A$42,MATCH(LARGE(IF('DONNÉES BRUTES'!C$3:C$42="Industrials",'DONNÉES BRUTES'!AB$3:AB$42+(ROW('DONNÉES BRUTES'!A$3:A$42)-ROW('DONNÉES BRUTES'!A$3))/1000,0),5),IF('DONNÉES BRUTES'!C$3:C$42="Industrials",'DONNÉES BRUTES'!AB$3:AB$42+(ROW('DONNÉES BRUTES'!A$3:A$42)-ROW('DONNÉES BRUTES'!A$3))/1000,0),0))),"—")</f>
        <v/>
      </c>
      <c r="D15" s="192">
        <f t="array" ref="D15">IFERROR(IF(5&gt;COUNTIF('DONNÉES BRUTES'!C$3:C$42,"Industrials"),"",INDEX('DONNÉES BRUTES'!B$3:B$42,MATCH(LARGE(IF('DONNÉES BRUTES'!C$3:C$42="Industrials",'DONNÉES BRUTES'!AB$3:AB$42+(ROW('DONNÉES BRUTES'!A$3:A$42)-ROW('DONNÉES BRUTES'!A$3))/1000,0),5),IF('DONNÉES BRUTES'!C$3:C$42="Industrials",'DONNÉES BRUTES'!AB$3:AB$42+(ROW('DONNÉES BRUTES'!A$3:A$42)-ROW('DONNÉES BRUTES'!A$3))/1000,0),0))),"—")</f>
        <v/>
      </c>
      <c r="E15" s="193">
        <f t="array" ref="E15">IFERROR(IF(5&gt;COUNTIF('DONNÉES BRUTES'!C$3:C$42,"Industrials"),"",INT(LARGE(IF('DONNÉES BRUTES'!C$3:C$42="Industrials",'DONNÉES BRUTES'!AB$3:AB$42+(ROW('DONNÉES BRUTES'!A$3:A$42)-ROW('DONNÉES BRUTES'!A$3))/1000,0),5))&amp;"/100"),"—")</f>
        <v/>
      </c>
      <c r="F15" s="191">
        <f t="array" ref="F15">IFERROR(IF(5&gt;COUNTIF('DONNÉES BRUTES'!C$3:C$42,"Industrials"),"",INDEX('DONNÉES BRUTES'!Y$3:Y$42,MATCH(LARGE(IF('DONNÉES BRUTES'!C$3:C$42="Industrials",'DONNÉES BRUTES'!AB$3:AB$42+(ROW('DONNÉES BRUTES'!A$3:A$42)-ROW('DONNÉES BRUTES'!A$3))/1000,0),5),IF('DONNÉES BRUTES'!C$3:C$42="Industrials",'DONNÉES BRUTES'!AB$3:AB$42+(ROW('DONNÉES BRUTES'!A$3:A$42)-ROW('DONNÉES BRUTES'!A$3))/1000,0),0))),"—")</f>
        <v/>
      </c>
      <c r="G15" s="191">
        <f t="array" ref="G15">IFERROR(IF(5&gt;COUNTIF('DONNÉES BRUTES'!C$3:C$42,"Industrials"),"",INDEX('DONNÉES BRUTES'!Z$3:Z$42,MATCH(LARGE(IF('DONNÉES BRUTES'!C$3:C$42="Industrials",'DONNÉES BRUTES'!AB$3:AB$42+(ROW('DONNÉES BRUTES'!A$3:A$42)-ROW('DONNÉES BRUTES'!A$3))/1000,0),5),IF('DONNÉES BRUTES'!C$3:C$42="Industrials",'DONNÉES BRUTES'!AB$3:AB$42+(ROW('DONNÉES BRUTES'!A$3:A$42)-ROW('DONNÉES BRUTES'!A$3))/1000,0),0))),"—")</f>
        <v/>
      </c>
      <c r="H15" s="191">
        <f t="array" ref="H15">IFERROR(IF(5&gt;COUNTIF('DONNÉES BRUTES'!C$3:C$42,"Industrials"),"",INDEX('DONNÉES BRUTES'!AA$3:AA$42,MATCH(LARGE(IF('DONNÉES BRUTES'!C$3:C$42="Industrials",'DONNÉES BRUTES'!AB$3:AB$42+(ROW('DONNÉES BRUTES'!A$3:A$42)-ROW('DONNÉES BRUTES'!A$3))/1000,0),5),IF('DONNÉES BRUTES'!C$3:C$42="Industrials",'DONNÉES BRUTES'!AB$3:AB$42+(ROW('DONNÉES BRUTES'!A$3:A$42)-ROW('DONNÉES BRUTES'!A$3))/1000,0),0))),"—")</f>
        <v/>
      </c>
      <c r="I15" s="191">
        <f t="array" ref="I15">IFERROR(IF(5&gt;COUNTIF('DONNÉES BRUTES'!C$3:C$42,"Industrials"),"",INDEX('DONNÉES BRUTES'!M$3:M$42,MATCH(LARGE(IF('DONNÉES BRUTES'!C$3:C$42="Industrials",'DONNÉES BRUTES'!AB$3:AB$42+(ROW('DONNÉES BRUTES'!A$3:A$42)-ROW('DONNÉES BRUTES'!A$3))/1000,0),5),IF('DONNÉES BRUTES'!C$3:C$42="Industrials",'DONNÉES BRUTES'!AB$3:AB$42+(ROW('DONNÉES BRUTES'!A$3:A$42)-ROW('DONNÉES BRUTES'!A$3))/1000,0),0))),"—")</f>
        <v/>
      </c>
      <c r="J15" s="191">
        <f t="array" ref="J15">IFERROR(IF(5&gt;COUNTIF('DONNÉES BRUTES'!C$3:C$42,"Industrials"),"",INDEX('DONNÉES BRUTES'!N$3:N$42,MATCH(LARGE(IF('DONNÉES BRUTES'!C$3:C$42="Industrials",'DONNÉES BRUTES'!AB$3:AB$42+(ROW('DONNÉES BRUTES'!A$3:A$42)-ROW('DONNÉES BRUTES'!A$3))/1000,0),5),IF('DONNÉES BRUTES'!C$3:C$42="Industrials",'DONNÉES BRUTES'!AB$3:AB$42+(ROW('DONNÉES BRUTES'!A$3:A$42)-ROW('DONNÉES BRUTES'!A$3))/1000,0),0))),"—")</f>
        <v/>
      </c>
      <c r="K15" s="191">
        <f t="array" ref="K15">IFERROR(IF(5&gt;COUNTIF('DONNÉES BRUTES'!C$3:C$42,"Industrials"),"",INDEX('DONNÉES BRUTES'!O$3:O$42,MATCH(LARGE(IF('DONNÉES BRUTES'!C$3:C$42="Industrials",'DONNÉES BRUTES'!AB$3:AB$42+(ROW('DONNÉES BRUTES'!A$3:A$42)-ROW('DONNÉES BRUTES'!A$3))/1000,0),5),IF('DONNÉES BRUTES'!C$3:C$42="Industrials",'DONNÉES BRUTES'!AB$3:AB$42+(ROW('DONNÉES BRUTES'!A$3:A$42)-ROW('DONNÉES BRUTES'!A$3))/1000,0),0))),"—")</f>
        <v/>
      </c>
      <c r="L15" s="191">
        <f t="array" ref="L15">IFERROR(IF(5&gt;COUNTIF('DONNÉES BRUTES'!C$3:C$42,"Industrials"),"",INDEX('DONNÉES BRUTES'!P$3:P$42,MATCH(LARGE(IF('DONNÉES BRUTES'!C$3:C$42="Industrials",'DONNÉES BRUTES'!AB$3:AB$42+(ROW('DONNÉES BRUTES'!A$3:A$42)-ROW('DONNÉES BRUTES'!A$3))/1000,0),5),IF('DONNÉES BRUTES'!C$3:C$42="Industrials",'DONNÉES BRUTES'!AB$3:AB$42+(ROW('DONNÉES BRUTES'!A$3:A$42)-ROW('DONNÉES BRUTES'!A$3))/1000,0),0))),"—")</f>
        <v/>
      </c>
      <c r="M15" s="191">
        <f t="array" ref="M15">IFERROR(IF(5&gt;COUNTIF('DONNÉES BRUTES'!C$3:C$42,"Industrials"),"",INDEX('DONNÉES BRUTES'!Q$3:Q$42,MATCH(LARGE(IF('DONNÉES BRUTES'!C$3:C$42="Industrials",'DONNÉES BRUTES'!AB$3:AB$42+(ROW('DONNÉES BRUTES'!A$3:A$42)-ROW('DONNÉES BRUTES'!A$3))/1000,0),5),IF('DONNÉES BRUTES'!C$3:C$42="Industrials",'DONNÉES BRUTES'!AB$3:AB$42+(ROW('DONNÉES BRUTES'!A$3:A$42)-ROW('DONNÉES BRUTES'!A$3))/1000,0),0))),"—")</f>
        <v/>
      </c>
      <c r="N15" s="191">
        <f t="array" ref="N15">IFERROR(IF(5&gt;COUNTIF('DONNÉES BRUTES'!C$3:C$42,"Industrials"),"",INDEX('DONNÉES BRUTES'!S$3:S$42,MATCH(LARGE(IF('DONNÉES BRUTES'!C$3:C$42="Industrials",'DONNÉES BRUTES'!AB$3:AB$42+(ROW('DONNÉES BRUTES'!A$3:A$42)-ROW('DONNÉES BRUTES'!A$3))/1000,0),5),IF('DONNÉES BRUTES'!C$3:C$42="Industrials",'DONNÉES BRUTES'!AB$3:AB$42+(ROW('DONNÉES BRUTES'!A$3:A$42)-ROW('DONNÉES BRUTES'!A$3))/1000,0),0))),"—")</f>
        <v/>
      </c>
      <c r="O15" s="206">
        <f t="array" ref="O15">IFERROR(IF(5&gt;COUNTIF('DONNÉES BRUTES'!C$3:C$42,"Industrials"),"",INDEX('DONNÉES BRUTES'!T$3:T$42,MATCH(LARGE(IF('DONNÉES BRUTES'!C$3:C$42="Industrials",'DONNÉES BRUTES'!AB$3:AB$42+(ROW('DONNÉES BRUTES'!A$3:A$42)-ROW('DONNÉES BRUTES'!A$3))/1000,0),5),IF('DONNÉES BRUTES'!C$3:C$42="Industrials",'DONNÉES BRUTES'!AB$3:AB$42+(ROW('DONNÉES BRUTES'!A$3:A$42)-ROW('DONNÉES BRUTES'!A$3))/1000,0),0))),"—")</f>
        <v/>
      </c>
      <c r="P15" s="209">
        <f t="array" ref="P15">IFERROR(IF(5&gt;COUNTIF('DONNÉES BRUTES'!C$3:C$42,"Industrials"),"",INDEX('DONNÉES BRUTES'!U$3:U$42,MATCH(LARGE(IF('DONNÉES BRUTES'!C$3:C$42="Industrials",'DONNÉES BRUTES'!AB$3:AB$42+(ROW('DONNÉES BRUTES'!A$3:A$42)-ROW('DONNÉES BRUTES'!A$3))/1000,0),5),IF('DONNÉES BRUTES'!C$3:C$42="Industrials",'DONNÉES BRUTES'!AB$3:AB$42+(ROW('DONNÉES BRUTES'!A$3:A$42)-ROW('DONNÉES BRUTES'!A$3))/1000,0),0))),"—")</f>
        <v/>
      </c>
      <c r="Q15">
        <f t="array" ref="Q15">IFERROR(IF(5&gt;COUNTIF('DONNÉES BRUTES'!C$3:C$42,"Industrials"),"",INDEX('DONNÉES BRUTES'!AD$3:AD$42,MATCH(LARGE(IF('DONNÉES BRUTES'!C$3:C$42="Industrials",'DONNÉES BRUTES'!AB$3:AB$42+(ROW('DONNÉES BRUTES'!A$3:A$42)-ROW('DONNÉES BRUTES'!A$3))/1000,0),5),IF('DONNÉES BRUTES'!C$3:C$42="Industrials",'DONNÉES BRUTES'!AB$3:AB$42+(ROW('DONNÉES BRUTES'!A$3:A$42)-ROW('DONNÉES BRUTES'!A$3))/1000,0),0))),"—")</f>
        <v/>
      </c>
    </row>
    <row r="16" ht="15.95" customHeight="1">
      <c r="A16" s="199" t="n"/>
      <c r="B16" s="196">
        <f>IF(6&gt;COUNTIF('DONNÉES BRUTES'!C$3:C$42,"Industrials"),"",6)</f>
        <v/>
      </c>
      <c r="C16" s="188">
        <f t="array" ref="C16">IFERROR(IF(6&gt;COUNTIF('DONNÉES BRUTES'!C$3:C$42,"Industrials"),"",INDEX('DONNÉES BRUTES'!A$3:A$42,MATCH(LARGE(IF('DONNÉES BRUTES'!C$3:C$42="Industrials",'DONNÉES BRUTES'!AB$3:AB$42+(ROW('DONNÉES BRUTES'!A$3:A$42)-ROW('DONNÉES BRUTES'!A$3))/1000,0),6),IF('DONNÉES BRUTES'!C$3:C$42="Industrials",'DONNÉES BRUTES'!AB$3:AB$42+(ROW('DONNÉES BRUTES'!A$3:A$42)-ROW('DONNÉES BRUTES'!A$3))/1000,0),0))),"—")</f>
        <v/>
      </c>
      <c r="D16" s="188">
        <f t="array" ref="D16">IFERROR(IF(6&gt;COUNTIF('DONNÉES BRUTES'!C$3:C$42,"Industrials"),"",INDEX('DONNÉES BRUTES'!B$3:B$42,MATCH(LARGE(IF('DONNÉES BRUTES'!C$3:C$42="Industrials",'DONNÉES BRUTES'!AB$3:AB$42+(ROW('DONNÉES BRUTES'!A$3:A$42)-ROW('DONNÉES BRUTES'!A$3))/1000,0),6),IF('DONNÉES BRUTES'!C$3:C$42="Industrials",'DONNÉES BRUTES'!AB$3:AB$42+(ROW('DONNÉES BRUTES'!A$3:A$42)-ROW('DONNÉES BRUTES'!A$3))/1000,0),0))),"—")</f>
        <v/>
      </c>
      <c r="E16" s="189">
        <f t="array" ref="E16">IFERROR(IF(6&gt;COUNTIF('DONNÉES BRUTES'!C$3:C$42,"Industrials"),"",INT(LARGE(IF('DONNÉES BRUTES'!C$3:C$42="Industrials",'DONNÉES BRUTES'!AB$3:AB$42+(ROW('DONNÉES BRUTES'!A$3:A$42)-ROW('DONNÉES BRUTES'!A$3))/1000,0),6))&amp;"/100"),"—")</f>
        <v/>
      </c>
      <c r="F16" s="187">
        <f t="array" ref="F16">IFERROR(IF(6&gt;COUNTIF('DONNÉES BRUTES'!C$3:C$42,"Industrials"),"",INDEX('DONNÉES BRUTES'!Y$3:Y$42,MATCH(LARGE(IF('DONNÉES BRUTES'!C$3:C$42="Industrials",'DONNÉES BRUTES'!AB$3:AB$42+(ROW('DONNÉES BRUTES'!A$3:A$42)-ROW('DONNÉES BRUTES'!A$3))/1000,0),6),IF('DONNÉES BRUTES'!C$3:C$42="Industrials",'DONNÉES BRUTES'!AB$3:AB$42+(ROW('DONNÉES BRUTES'!A$3:A$42)-ROW('DONNÉES BRUTES'!A$3))/1000,0),0))),"—")</f>
        <v/>
      </c>
      <c r="G16" s="187">
        <f t="array" ref="G16">IFERROR(IF(6&gt;COUNTIF('DONNÉES BRUTES'!C$3:C$42,"Industrials"),"",INDEX('DONNÉES BRUTES'!Z$3:Z$42,MATCH(LARGE(IF('DONNÉES BRUTES'!C$3:C$42="Industrials",'DONNÉES BRUTES'!AB$3:AB$42+(ROW('DONNÉES BRUTES'!A$3:A$42)-ROW('DONNÉES BRUTES'!A$3))/1000,0),6),IF('DONNÉES BRUTES'!C$3:C$42="Industrials",'DONNÉES BRUTES'!AB$3:AB$42+(ROW('DONNÉES BRUTES'!A$3:A$42)-ROW('DONNÉES BRUTES'!A$3))/1000,0),0))),"—")</f>
        <v/>
      </c>
      <c r="H16" s="187">
        <f t="array" ref="H16">IFERROR(IF(6&gt;COUNTIF('DONNÉES BRUTES'!C$3:C$42,"Industrials"),"",INDEX('DONNÉES BRUTES'!AA$3:AA$42,MATCH(LARGE(IF('DONNÉES BRUTES'!C$3:C$42="Industrials",'DONNÉES BRUTES'!AB$3:AB$42+(ROW('DONNÉES BRUTES'!A$3:A$42)-ROW('DONNÉES BRUTES'!A$3))/1000,0),6),IF('DONNÉES BRUTES'!C$3:C$42="Industrials",'DONNÉES BRUTES'!AB$3:AB$42+(ROW('DONNÉES BRUTES'!A$3:A$42)-ROW('DONNÉES BRUTES'!A$3))/1000,0),0))),"—")</f>
        <v/>
      </c>
      <c r="I16" s="187">
        <f t="array" ref="I16">IFERROR(IF(6&gt;COUNTIF('DONNÉES BRUTES'!C$3:C$42,"Industrials"),"",INDEX('DONNÉES BRUTES'!M$3:M$42,MATCH(LARGE(IF('DONNÉES BRUTES'!C$3:C$42="Industrials",'DONNÉES BRUTES'!AB$3:AB$42+(ROW('DONNÉES BRUTES'!A$3:A$42)-ROW('DONNÉES BRUTES'!A$3))/1000,0),6),IF('DONNÉES BRUTES'!C$3:C$42="Industrials",'DONNÉES BRUTES'!AB$3:AB$42+(ROW('DONNÉES BRUTES'!A$3:A$42)-ROW('DONNÉES BRUTES'!A$3))/1000,0),0))),"—")</f>
        <v/>
      </c>
      <c r="J16" s="187">
        <f t="array" ref="J16">IFERROR(IF(6&gt;COUNTIF('DONNÉES BRUTES'!C$3:C$42,"Industrials"),"",INDEX('DONNÉES BRUTES'!N$3:N$42,MATCH(LARGE(IF('DONNÉES BRUTES'!C$3:C$42="Industrials",'DONNÉES BRUTES'!AB$3:AB$42+(ROW('DONNÉES BRUTES'!A$3:A$42)-ROW('DONNÉES BRUTES'!A$3))/1000,0),6),IF('DONNÉES BRUTES'!C$3:C$42="Industrials",'DONNÉES BRUTES'!AB$3:AB$42+(ROW('DONNÉES BRUTES'!A$3:A$42)-ROW('DONNÉES BRUTES'!A$3))/1000,0),0))),"—")</f>
        <v/>
      </c>
      <c r="K16" s="187">
        <f t="array" ref="K16">IFERROR(IF(6&gt;COUNTIF('DONNÉES BRUTES'!C$3:C$42,"Industrials"),"",INDEX('DONNÉES BRUTES'!O$3:O$42,MATCH(LARGE(IF('DONNÉES BRUTES'!C$3:C$42="Industrials",'DONNÉES BRUTES'!AB$3:AB$42+(ROW('DONNÉES BRUTES'!A$3:A$42)-ROW('DONNÉES BRUTES'!A$3))/1000,0),6),IF('DONNÉES BRUTES'!C$3:C$42="Industrials",'DONNÉES BRUTES'!AB$3:AB$42+(ROW('DONNÉES BRUTES'!A$3:A$42)-ROW('DONNÉES BRUTES'!A$3))/1000,0),0))),"—")</f>
        <v/>
      </c>
      <c r="L16" s="187">
        <f t="array" ref="L16">IFERROR(IF(6&gt;COUNTIF('DONNÉES BRUTES'!C$3:C$42,"Industrials"),"",INDEX('DONNÉES BRUTES'!P$3:P$42,MATCH(LARGE(IF('DONNÉES BRUTES'!C$3:C$42="Industrials",'DONNÉES BRUTES'!AB$3:AB$42+(ROW('DONNÉES BRUTES'!A$3:A$42)-ROW('DONNÉES BRUTES'!A$3))/1000,0),6),IF('DONNÉES BRUTES'!C$3:C$42="Industrials",'DONNÉES BRUTES'!AB$3:AB$42+(ROW('DONNÉES BRUTES'!A$3:A$42)-ROW('DONNÉES BRUTES'!A$3))/1000,0),0))),"—")</f>
        <v/>
      </c>
      <c r="M16" s="187">
        <f t="array" ref="M16">IFERROR(IF(6&gt;COUNTIF('DONNÉES BRUTES'!C$3:C$42,"Industrials"),"",INDEX('DONNÉES BRUTES'!Q$3:Q$42,MATCH(LARGE(IF('DONNÉES BRUTES'!C$3:C$42="Industrials",'DONNÉES BRUTES'!AB$3:AB$42+(ROW('DONNÉES BRUTES'!A$3:A$42)-ROW('DONNÉES BRUTES'!A$3))/1000,0),6),IF('DONNÉES BRUTES'!C$3:C$42="Industrials",'DONNÉES BRUTES'!AB$3:AB$42+(ROW('DONNÉES BRUTES'!A$3:A$42)-ROW('DONNÉES BRUTES'!A$3))/1000,0),0))),"—")</f>
        <v/>
      </c>
      <c r="N16" s="187">
        <f t="array" ref="N16">IFERROR(IF(6&gt;COUNTIF('DONNÉES BRUTES'!C$3:C$42,"Industrials"),"",INDEX('DONNÉES BRUTES'!S$3:S$42,MATCH(LARGE(IF('DONNÉES BRUTES'!C$3:C$42="Industrials",'DONNÉES BRUTES'!AB$3:AB$42+(ROW('DONNÉES BRUTES'!A$3:A$42)-ROW('DONNÉES BRUTES'!A$3))/1000,0),6),IF('DONNÉES BRUTES'!C$3:C$42="Industrials",'DONNÉES BRUTES'!AB$3:AB$42+(ROW('DONNÉES BRUTES'!A$3:A$42)-ROW('DONNÉES BRUTES'!A$3))/1000,0),0))),"—")</f>
        <v/>
      </c>
      <c r="O16" s="208">
        <f t="array" ref="O16">IFERROR(IF(6&gt;COUNTIF('DONNÉES BRUTES'!C$3:C$42,"Industrials"),"",INDEX('DONNÉES BRUTES'!T$3:T$42,MATCH(LARGE(IF('DONNÉES BRUTES'!C$3:C$42="Industrials",'DONNÉES BRUTES'!AB$3:AB$42+(ROW('DONNÉES BRUTES'!A$3:A$42)-ROW('DONNÉES BRUTES'!A$3))/1000,0),6),IF('DONNÉES BRUTES'!C$3:C$42="Industrials",'DONNÉES BRUTES'!AB$3:AB$42+(ROW('DONNÉES BRUTES'!A$3:A$42)-ROW('DONNÉES BRUTES'!A$3))/1000,0),0))),"—")</f>
        <v/>
      </c>
      <c r="P16" s="207">
        <f t="array" ref="P16">IFERROR(IF(6&gt;COUNTIF('DONNÉES BRUTES'!C$3:C$42,"Industrials"),"",INDEX('DONNÉES BRUTES'!U$3:U$42,MATCH(LARGE(IF('DONNÉES BRUTES'!C$3:C$42="Industrials",'DONNÉES BRUTES'!AB$3:AB$42+(ROW('DONNÉES BRUTES'!A$3:A$42)-ROW('DONNÉES BRUTES'!A$3))/1000,0),6),IF('DONNÉES BRUTES'!C$3:C$42="Industrials",'DONNÉES BRUTES'!AB$3:AB$42+(ROW('DONNÉES BRUTES'!A$3:A$42)-ROW('DONNÉES BRUTES'!A$3))/1000,0),0))),"—")</f>
        <v/>
      </c>
      <c r="Q16">
        <f t="array" ref="Q16">IFERROR(IF(6&gt;COUNTIF('DONNÉES BRUTES'!C$3:C$42,"Industrials"),"",INDEX('DONNÉES BRUTES'!AD$3:AD$42,MATCH(LARGE(IF('DONNÉES BRUTES'!C$3:C$42="Industrials",'DONNÉES BRUTES'!AB$3:AB$42+(ROW('DONNÉES BRUTES'!A$3:A$42)-ROW('DONNÉES BRUTES'!A$3))/1000,0),6),IF('DONNÉES BRUTES'!C$3:C$42="Industrials",'DONNÉES BRUTES'!AB$3:AB$42+(ROW('DONNÉES BRUTES'!A$3:A$42)-ROW('DONNÉES BRUTES'!A$3))/1000,0),0))),"—")</f>
        <v/>
      </c>
    </row>
    <row r="17" ht="15.95" customHeight="1">
      <c r="A17" s="200" t="n"/>
      <c r="B17" s="197">
        <f>IF(7&gt;COUNTIF('DONNÉES BRUTES'!C$3:C$42,"Industrials"),"",7)</f>
        <v/>
      </c>
      <c r="C17" s="192">
        <f t="array" ref="C17">IFERROR(IF(7&gt;COUNTIF('DONNÉES BRUTES'!C$3:C$42,"Industrials"),"",INDEX('DONNÉES BRUTES'!A$3:A$42,MATCH(LARGE(IF('DONNÉES BRUTES'!C$3:C$42="Industrials",'DONNÉES BRUTES'!AB$3:AB$42+(ROW('DONNÉES BRUTES'!A$3:A$42)-ROW('DONNÉES BRUTES'!A$3))/1000,0),7),IF('DONNÉES BRUTES'!C$3:C$42="Industrials",'DONNÉES BRUTES'!AB$3:AB$42+(ROW('DONNÉES BRUTES'!A$3:A$42)-ROW('DONNÉES BRUTES'!A$3))/1000,0),0))),"—")</f>
        <v/>
      </c>
      <c r="D17" s="192">
        <f t="array" ref="D17">IFERROR(IF(7&gt;COUNTIF('DONNÉES BRUTES'!C$3:C$42,"Industrials"),"",INDEX('DONNÉES BRUTES'!B$3:B$42,MATCH(LARGE(IF('DONNÉES BRUTES'!C$3:C$42="Industrials",'DONNÉES BRUTES'!AB$3:AB$42+(ROW('DONNÉES BRUTES'!A$3:A$42)-ROW('DONNÉES BRUTES'!A$3))/1000,0),7),IF('DONNÉES BRUTES'!C$3:C$42="Industrials",'DONNÉES BRUTES'!AB$3:AB$42+(ROW('DONNÉES BRUTES'!A$3:A$42)-ROW('DONNÉES BRUTES'!A$3))/1000,0),0))),"—")</f>
        <v/>
      </c>
      <c r="E17" s="193">
        <f t="array" ref="E17">IFERROR(IF(7&gt;COUNTIF('DONNÉES BRUTES'!C$3:C$42,"Industrials"),"",INT(LARGE(IF('DONNÉES BRUTES'!C$3:C$42="Industrials",'DONNÉES BRUTES'!AB$3:AB$42+(ROW('DONNÉES BRUTES'!A$3:A$42)-ROW('DONNÉES BRUTES'!A$3))/1000,0),7))&amp;"/100"),"—")</f>
        <v/>
      </c>
      <c r="F17" s="191">
        <f t="array" ref="F17">IFERROR(IF(7&gt;COUNTIF('DONNÉES BRUTES'!C$3:C$42,"Industrials"),"",INDEX('DONNÉES BRUTES'!Y$3:Y$42,MATCH(LARGE(IF('DONNÉES BRUTES'!C$3:C$42="Industrials",'DONNÉES BRUTES'!AB$3:AB$42+(ROW('DONNÉES BRUTES'!A$3:A$42)-ROW('DONNÉES BRUTES'!A$3))/1000,0),7),IF('DONNÉES BRUTES'!C$3:C$42="Industrials",'DONNÉES BRUTES'!AB$3:AB$42+(ROW('DONNÉES BRUTES'!A$3:A$42)-ROW('DONNÉES BRUTES'!A$3))/1000,0),0))),"—")</f>
        <v/>
      </c>
      <c r="G17" s="191">
        <f t="array" ref="G17">IFERROR(IF(7&gt;COUNTIF('DONNÉES BRUTES'!C$3:C$42,"Industrials"),"",INDEX('DONNÉES BRUTES'!Z$3:Z$42,MATCH(LARGE(IF('DONNÉES BRUTES'!C$3:C$42="Industrials",'DONNÉES BRUTES'!AB$3:AB$42+(ROW('DONNÉES BRUTES'!A$3:A$42)-ROW('DONNÉES BRUTES'!A$3))/1000,0),7),IF('DONNÉES BRUTES'!C$3:C$42="Industrials",'DONNÉES BRUTES'!AB$3:AB$42+(ROW('DONNÉES BRUTES'!A$3:A$42)-ROW('DONNÉES BRUTES'!A$3))/1000,0),0))),"—")</f>
        <v/>
      </c>
      <c r="H17" s="191">
        <f t="array" ref="H17">IFERROR(IF(7&gt;COUNTIF('DONNÉES BRUTES'!C$3:C$42,"Industrials"),"",INDEX('DONNÉES BRUTES'!AA$3:AA$42,MATCH(LARGE(IF('DONNÉES BRUTES'!C$3:C$42="Industrials",'DONNÉES BRUTES'!AB$3:AB$42+(ROW('DONNÉES BRUTES'!A$3:A$42)-ROW('DONNÉES BRUTES'!A$3))/1000,0),7),IF('DONNÉES BRUTES'!C$3:C$42="Industrials",'DONNÉES BRUTES'!AB$3:AB$42+(ROW('DONNÉES BRUTES'!A$3:A$42)-ROW('DONNÉES BRUTES'!A$3))/1000,0),0))),"—")</f>
        <v/>
      </c>
      <c r="I17" s="191">
        <f t="array" ref="I17">IFERROR(IF(7&gt;COUNTIF('DONNÉES BRUTES'!C$3:C$42,"Industrials"),"",INDEX('DONNÉES BRUTES'!M$3:M$42,MATCH(LARGE(IF('DONNÉES BRUTES'!C$3:C$42="Industrials",'DONNÉES BRUTES'!AB$3:AB$42+(ROW('DONNÉES BRUTES'!A$3:A$42)-ROW('DONNÉES BRUTES'!A$3))/1000,0),7),IF('DONNÉES BRUTES'!C$3:C$42="Industrials",'DONNÉES BRUTES'!AB$3:AB$42+(ROW('DONNÉES BRUTES'!A$3:A$42)-ROW('DONNÉES BRUTES'!A$3))/1000,0),0))),"—")</f>
        <v/>
      </c>
      <c r="J17" s="191">
        <f t="array" ref="J17">IFERROR(IF(7&gt;COUNTIF('DONNÉES BRUTES'!C$3:C$42,"Industrials"),"",INDEX('DONNÉES BRUTES'!N$3:N$42,MATCH(LARGE(IF('DONNÉES BRUTES'!C$3:C$42="Industrials",'DONNÉES BRUTES'!AB$3:AB$42+(ROW('DONNÉES BRUTES'!A$3:A$42)-ROW('DONNÉES BRUTES'!A$3))/1000,0),7),IF('DONNÉES BRUTES'!C$3:C$42="Industrials",'DONNÉES BRUTES'!AB$3:AB$42+(ROW('DONNÉES BRUTES'!A$3:A$42)-ROW('DONNÉES BRUTES'!A$3))/1000,0),0))),"—")</f>
        <v/>
      </c>
      <c r="K17" s="191">
        <f t="array" ref="K17">IFERROR(IF(7&gt;COUNTIF('DONNÉES BRUTES'!C$3:C$42,"Industrials"),"",INDEX('DONNÉES BRUTES'!O$3:O$42,MATCH(LARGE(IF('DONNÉES BRUTES'!C$3:C$42="Industrials",'DONNÉES BRUTES'!AB$3:AB$42+(ROW('DONNÉES BRUTES'!A$3:A$42)-ROW('DONNÉES BRUTES'!A$3))/1000,0),7),IF('DONNÉES BRUTES'!C$3:C$42="Industrials",'DONNÉES BRUTES'!AB$3:AB$42+(ROW('DONNÉES BRUTES'!A$3:A$42)-ROW('DONNÉES BRUTES'!A$3))/1000,0),0))),"—")</f>
        <v/>
      </c>
      <c r="L17" s="191">
        <f t="array" ref="L17">IFERROR(IF(7&gt;COUNTIF('DONNÉES BRUTES'!C$3:C$42,"Industrials"),"",INDEX('DONNÉES BRUTES'!P$3:P$42,MATCH(LARGE(IF('DONNÉES BRUTES'!C$3:C$42="Industrials",'DONNÉES BRUTES'!AB$3:AB$42+(ROW('DONNÉES BRUTES'!A$3:A$42)-ROW('DONNÉES BRUTES'!A$3))/1000,0),7),IF('DONNÉES BRUTES'!C$3:C$42="Industrials",'DONNÉES BRUTES'!AB$3:AB$42+(ROW('DONNÉES BRUTES'!A$3:A$42)-ROW('DONNÉES BRUTES'!A$3))/1000,0),0))),"—")</f>
        <v/>
      </c>
      <c r="M17" s="191">
        <f t="array" ref="M17">IFERROR(IF(7&gt;COUNTIF('DONNÉES BRUTES'!C$3:C$42,"Industrials"),"",INDEX('DONNÉES BRUTES'!Q$3:Q$42,MATCH(LARGE(IF('DONNÉES BRUTES'!C$3:C$42="Industrials",'DONNÉES BRUTES'!AB$3:AB$42+(ROW('DONNÉES BRUTES'!A$3:A$42)-ROW('DONNÉES BRUTES'!A$3))/1000,0),7),IF('DONNÉES BRUTES'!C$3:C$42="Industrials",'DONNÉES BRUTES'!AB$3:AB$42+(ROW('DONNÉES BRUTES'!A$3:A$42)-ROW('DONNÉES BRUTES'!A$3))/1000,0),0))),"—")</f>
        <v/>
      </c>
      <c r="N17" s="191">
        <f t="array" ref="N17">IFERROR(IF(7&gt;COUNTIF('DONNÉES BRUTES'!C$3:C$42,"Industrials"),"",INDEX('DONNÉES BRUTES'!S$3:S$42,MATCH(LARGE(IF('DONNÉES BRUTES'!C$3:C$42="Industrials",'DONNÉES BRUTES'!AB$3:AB$42+(ROW('DONNÉES BRUTES'!A$3:A$42)-ROW('DONNÉES BRUTES'!A$3))/1000,0),7),IF('DONNÉES BRUTES'!C$3:C$42="Industrials",'DONNÉES BRUTES'!AB$3:AB$42+(ROW('DONNÉES BRUTES'!A$3:A$42)-ROW('DONNÉES BRUTES'!A$3))/1000,0),0))),"—")</f>
        <v/>
      </c>
      <c r="O17" s="191">
        <f t="array" ref="O17">IFERROR(IF(7&gt;COUNTIF('DONNÉES BRUTES'!C$3:C$42,"Industrials"),"",INDEX('DONNÉES BRUTES'!T$3:T$42,MATCH(LARGE(IF('DONNÉES BRUTES'!C$3:C$42="Industrials",'DONNÉES BRUTES'!AB$3:AB$42+(ROW('DONNÉES BRUTES'!A$3:A$42)-ROW('DONNÉES BRUTES'!A$3))/1000,0),7),IF('DONNÉES BRUTES'!C$3:C$42="Industrials",'DONNÉES BRUTES'!AB$3:AB$42+(ROW('DONNÉES BRUTES'!A$3:A$42)-ROW('DONNÉES BRUTES'!A$3))/1000,0),0))),"—")</f>
        <v/>
      </c>
      <c r="P17" s="194">
        <f t="array" ref="P17">IFERROR(IF(7&gt;COUNTIF('DONNÉES BRUTES'!C$3:C$42,"Industrials"),"",INDEX('DONNÉES BRUTES'!U$3:U$42,MATCH(LARGE(IF('DONNÉES BRUTES'!C$3:C$42="Industrials",'DONNÉES BRUTES'!AB$3:AB$42+(ROW('DONNÉES BRUTES'!A$3:A$42)-ROW('DONNÉES BRUTES'!A$3))/1000,0),7),IF('DONNÉES BRUTES'!C$3:C$42="Industrials",'DONNÉES BRUTES'!AB$3:AB$42+(ROW('DONNÉES BRUTES'!A$3:A$42)-ROW('DONNÉES BRUTES'!A$3))/1000,0),0))),"—")</f>
        <v/>
      </c>
      <c r="Q17">
        <f t="array" ref="Q17">IFERROR(IF(7&gt;COUNTIF('DONNÉES BRUTES'!C$3:C$42,"Industrials"),"",INDEX('DONNÉES BRUTES'!AD$3:AD$42,MATCH(LARGE(IF('DONNÉES BRUTES'!C$3:C$42="Industrials",'DONNÉES BRUTES'!AB$3:AB$42+(ROW('DONNÉES BRUTES'!A$3:A$42)-ROW('DONNÉES BRUTES'!A$3))/1000,0),7),IF('DONNÉES BRUTES'!C$3:C$42="Industrials",'DONNÉES BRUTES'!AB$3:AB$42+(ROW('DONNÉES BRUTES'!A$3:A$42)-ROW('DONNÉES BRUTES'!A$3))/1000,0),0))),"—")</f>
        <v/>
      </c>
    </row>
    <row r="18" ht="15.95" customHeight="1">
      <c r="A18" s="202" t="n"/>
      <c r="B18" s="203">
        <f>IF(8&gt;COUNTIF('DONNÉES BRUTES'!C$3:C$42,"Industrials"),"",8)</f>
        <v/>
      </c>
      <c r="C18" s="204">
        <f t="array" ref="C18">IFERROR(IF(8&gt;COUNTIF('DONNÉES BRUTES'!C$3:C$42,"Industrials"),"",INDEX('DONNÉES BRUTES'!A$3:A$42,MATCH(LARGE(IF('DONNÉES BRUTES'!C$3:C$42="Industrials",'DONNÉES BRUTES'!AB$3:AB$42+(ROW('DONNÉES BRUTES'!A$3:A$42)-ROW('DONNÉES BRUTES'!A$3))/1000,0),8),IF('DONNÉES BRUTES'!C$3:C$42="Industrials",'DONNÉES BRUTES'!AB$3:AB$42+(ROW('DONNÉES BRUTES'!A$3:A$42)-ROW('DONNÉES BRUTES'!A$3))/1000,0),0))),"—")</f>
        <v/>
      </c>
      <c r="D18" s="204">
        <f t="array" ref="D18">IFERROR(IF(8&gt;COUNTIF('DONNÉES BRUTES'!C$3:C$42,"Industrials"),"",INDEX('DONNÉES BRUTES'!B$3:B$42,MATCH(LARGE(IF('DONNÉES BRUTES'!C$3:C$42="Industrials",'DONNÉES BRUTES'!AB$3:AB$42+(ROW('DONNÉES BRUTES'!A$3:A$42)-ROW('DONNÉES BRUTES'!A$3))/1000,0),8),IF('DONNÉES BRUTES'!C$3:C$42="Industrials",'DONNÉES BRUTES'!AB$3:AB$42+(ROW('DONNÉES BRUTES'!A$3:A$42)-ROW('DONNÉES BRUTES'!A$3))/1000,0),0))),"—")</f>
        <v/>
      </c>
      <c r="E18" s="201">
        <f t="array" ref="E18">IFERROR(IF(8&gt;COUNTIF('DONNÉES BRUTES'!C$3:C$42,"Industrials"),"",INT(LARGE(IF('DONNÉES BRUTES'!C$3:C$42="Industrials",'DONNÉES BRUTES'!AB$3:AB$42+(ROW('DONNÉES BRUTES'!A$3:A$42)-ROW('DONNÉES BRUTES'!A$3))/1000,0),8))&amp;"/100"),"—")</f>
        <v/>
      </c>
      <c r="F18" s="201">
        <f t="array" ref="F18">IFERROR(IF(8&gt;COUNTIF('DONNÉES BRUTES'!C$3:C$42,"Industrials"),"",INDEX('DONNÉES BRUTES'!Y$3:Y$42,MATCH(LARGE(IF('DONNÉES BRUTES'!C$3:C$42="Industrials",'DONNÉES BRUTES'!AB$3:AB$42+(ROW('DONNÉES BRUTES'!A$3:A$42)-ROW('DONNÉES BRUTES'!A$3))/1000,0),8),IF('DONNÉES BRUTES'!C$3:C$42="Industrials",'DONNÉES BRUTES'!AB$3:AB$42+(ROW('DONNÉES BRUTES'!A$3:A$42)-ROW('DONNÉES BRUTES'!A$3))/1000,0),0))),"—")</f>
        <v/>
      </c>
      <c r="G18" s="201">
        <f t="array" ref="G18">IFERROR(IF(8&gt;COUNTIF('DONNÉES BRUTES'!C$3:C$42,"Industrials"),"",INDEX('DONNÉES BRUTES'!Z$3:Z$42,MATCH(LARGE(IF('DONNÉES BRUTES'!C$3:C$42="Industrials",'DONNÉES BRUTES'!AB$3:AB$42+(ROW('DONNÉES BRUTES'!A$3:A$42)-ROW('DONNÉES BRUTES'!A$3))/1000,0),8),IF('DONNÉES BRUTES'!C$3:C$42="Industrials",'DONNÉES BRUTES'!AB$3:AB$42+(ROW('DONNÉES BRUTES'!A$3:A$42)-ROW('DONNÉES BRUTES'!A$3))/1000,0),0))),"—")</f>
        <v/>
      </c>
      <c r="H18" s="201">
        <f t="array" ref="H18">IFERROR(IF(8&gt;COUNTIF('DONNÉES BRUTES'!C$3:C$42,"Industrials"),"",INDEX('DONNÉES BRUTES'!AA$3:AA$42,MATCH(LARGE(IF('DONNÉES BRUTES'!C$3:C$42="Industrials",'DONNÉES BRUTES'!AB$3:AB$42+(ROW('DONNÉES BRUTES'!A$3:A$42)-ROW('DONNÉES BRUTES'!A$3))/1000,0),8),IF('DONNÉES BRUTES'!C$3:C$42="Industrials",'DONNÉES BRUTES'!AB$3:AB$42+(ROW('DONNÉES BRUTES'!A$3:A$42)-ROW('DONNÉES BRUTES'!A$3))/1000,0),0))),"—")</f>
        <v/>
      </c>
      <c r="I18" s="201">
        <f t="array" ref="I18">IFERROR(IF(8&gt;COUNTIF('DONNÉES BRUTES'!C$3:C$42,"Industrials"),"",INDEX('DONNÉES BRUTES'!M$3:M$42,MATCH(LARGE(IF('DONNÉES BRUTES'!C$3:C$42="Industrials",'DONNÉES BRUTES'!AB$3:AB$42+(ROW('DONNÉES BRUTES'!A$3:A$42)-ROW('DONNÉES BRUTES'!A$3))/1000,0),8),IF('DONNÉES BRUTES'!C$3:C$42="Industrials",'DONNÉES BRUTES'!AB$3:AB$42+(ROW('DONNÉES BRUTES'!A$3:A$42)-ROW('DONNÉES BRUTES'!A$3))/1000,0),0))),"—")</f>
        <v/>
      </c>
      <c r="J18" s="201">
        <f t="array" ref="J18">IFERROR(IF(8&gt;COUNTIF('DONNÉES BRUTES'!C$3:C$42,"Industrials"),"",INDEX('DONNÉES BRUTES'!N$3:N$42,MATCH(LARGE(IF('DONNÉES BRUTES'!C$3:C$42="Industrials",'DONNÉES BRUTES'!AB$3:AB$42+(ROW('DONNÉES BRUTES'!A$3:A$42)-ROW('DONNÉES BRUTES'!A$3))/1000,0),8),IF('DONNÉES BRUTES'!C$3:C$42="Industrials",'DONNÉES BRUTES'!AB$3:AB$42+(ROW('DONNÉES BRUTES'!A$3:A$42)-ROW('DONNÉES BRUTES'!A$3))/1000,0),0))),"—")</f>
        <v/>
      </c>
      <c r="K18" s="201">
        <f t="array" ref="K18">IFERROR(IF(8&gt;COUNTIF('DONNÉES BRUTES'!C$3:C$42,"Industrials"),"",INDEX('DONNÉES BRUTES'!O$3:O$42,MATCH(LARGE(IF('DONNÉES BRUTES'!C$3:C$42="Industrials",'DONNÉES BRUTES'!AB$3:AB$42+(ROW('DONNÉES BRUTES'!A$3:A$42)-ROW('DONNÉES BRUTES'!A$3))/1000,0),8),IF('DONNÉES BRUTES'!C$3:C$42="Industrials",'DONNÉES BRUTES'!AB$3:AB$42+(ROW('DONNÉES BRUTES'!A$3:A$42)-ROW('DONNÉES BRUTES'!A$3))/1000,0),0))),"—")</f>
        <v/>
      </c>
      <c r="L18" s="201">
        <f t="array" ref="L18">IFERROR(IF(8&gt;COUNTIF('DONNÉES BRUTES'!C$3:C$42,"Industrials"),"",INDEX('DONNÉES BRUTES'!P$3:P$42,MATCH(LARGE(IF('DONNÉES BRUTES'!C$3:C$42="Industrials",'DONNÉES BRUTES'!AB$3:AB$42+(ROW('DONNÉES BRUTES'!A$3:A$42)-ROW('DONNÉES BRUTES'!A$3))/1000,0),8),IF('DONNÉES BRUTES'!C$3:C$42="Industrials",'DONNÉES BRUTES'!AB$3:AB$42+(ROW('DONNÉES BRUTES'!A$3:A$42)-ROW('DONNÉES BRUTES'!A$3))/1000,0),0))),"—")</f>
        <v/>
      </c>
      <c r="M18" s="201">
        <f t="array" ref="M18">IFERROR(IF(8&gt;COUNTIF('DONNÉES BRUTES'!C$3:C$42,"Industrials"),"",INDEX('DONNÉES BRUTES'!Q$3:Q$42,MATCH(LARGE(IF('DONNÉES BRUTES'!C$3:C$42="Industrials",'DONNÉES BRUTES'!AB$3:AB$42+(ROW('DONNÉES BRUTES'!A$3:A$42)-ROW('DONNÉES BRUTES'!A$3))/1000,0),8),IF('DONNÉES BRUTES'!C$3:C$42="Industrials",'DONNÉES BRUTES'!AB$3:AB$42+(ROW('DONNÉES BRUTES'!A$3:A$42)-ROW('DONNÉES BRUTES'!A$3))/1000,0),0))),"—")</f>
        <v/>
      </c>
      <c r="N18" s="201">
        <f t="array" ref="N18">IFERROR(IF(8&gt;COUNTIF('DONNÉES BRUTES'!C$3:C$42,"Industrials"),"",INDEX('DONNÉES BRUTES'!S$3:S$42,MATCH(LARGE(IF('DONNÉES BRUTES'!C$3:C$42="Industrials",'DONNÉES BRUTES'!AB$3:AB$42+(ROW('DONNÉES BRUTES'!A$3:A$42)-ROW('DONNÉES BRUTES'!A$3))/1000,0),8),IF('DONNÉES BRUTES'!C$3:C$42="Industrials",'DONNÉES BRUTES'!AB$3:AB$42+(ROW('DONNÉES BRUTES'!A$3:A$42)-ROW('DONNÉES BRUTES'!A$3))/1000,0),0))),"—")</f>
        <v/>
      </c>
      <c r="O18" s="222">
        <f t="array" ref="O18">IFERROR(IF(8&gt;COUNTIF('DONNÉES BRUTES'!C$3:C$42,"Industrials"),"",INDEX('DONNÉES BRUTES'!T$3:T$42,MATCH(LARGE(IF('DONNÉES BRUTES'!C$3:C$42="Industrials",'DONNÉES BRUTES'!AB$3:AB$42+(ROW('DONNÉES BRUTES'!A$3:A$42)-ROW('DONNÉES BRUTES'!A$3))/1000,0),8),IF('DONNÉES BRUTES'!C$3:C$42="Industrials",'DONNÉES BRUTES'!AB$3:AB$42+(ROW('DONNÉES BRUTES'!A$3:A$42)-ROW('DONNÉES BRUTES'!A$3))/1000,0),0))),"—")</f>
        <v/>
      </c>
      <c r="P18" s="221">
        <f t="array" ref="P18">IFERROR(IF(8&gt;COUNTIF('DONNÉES BRUTES'!C$3:C$42,"Industrials"),"",INDEX('DONNÉES BRUTES'!U$3:U$42,MATCH(LARGE(IF('DONNÉES BRUTES'!C$3:C$42="Industrials",'DONNÉES BRUTES'!AB$3:AB$42+(ROW('DONNÉES BRUTES'!A$3:A$42)-ROW('DONNÉES BRUTES'!A$3))/1000,0),8),IF('DONNÉES BRUTES'!C$3:C$42="Industrials",'DONNÉES BRUTES'!AB$3:AB$42+(ROW('DONNÉES BRUTES'!A$3:A$42)-ROW('DONNÉES BRUTES'!A$3))/1000,0),0))),"—")</f>
        <v/>
      </c>
      <c r="Q18">
        <f t="array" ref="Q18">IFERROR(IF(8&gt;COUNTIF('DONNÉES BRUTES'!C$3:C$42,"Industrials"),"",INDEX('DONNÉES BRUTES'!AD$3:AD$42,MATCH(LARGE(IF('DONNÉES BRUTES'!C$3:C$42="Industrials",'DONNÉES BRUTES'!AB$3:AB$42+(ROW('DONNÉES BRUTES'!A$3:A$42)-ROW('DONNÉES BRUTES'!A$3))/1000,0),8),IF('DONNÉES BRUTES'!C$3:C$42="Industrials",'DONNÉES BRUTES'!AB$3:AB$42+(ROW('DONNÉES BRUTES'!A$3:A$42)-ROW('DONNÉES BRUTES'!A$3))/1000,0),0))),"—")</f>
        <v/>
      </c>
    </row>
    <row r="19" ht="15.95" customHeight="1">
      <c r="A19" s="200" t="n"/>
      <c r="B19" s="197">
        <f>IF(9&gt;COUNTIF('DONNÉES BRUTES'!C$3:C$42,"Industrials"),"",9)</f>
        <v/>
      </c>
      <c r="C19" s="192">
        <f t="array" ref="C19">IFERROR(IF(9&gt;COUNTIF('DONNÉES BRUTES'!C$3:C$42,"Industrials"),"",INDEX('DONNÉES BRUTES'!A$3:A$42,MATCH(LARGE(IF('DONNÉES BRUTES'!C$3:C$42="Industrials",'DONNÉES BRUTES'!AB$3:AB$42+(ROW('DONNÉES BRUTES'!A$3:A$42)-ROW('DONNÉES BRUTES'!A$3))/1000,0),9),IF('DONNÉES BRUTES'!C$3:C$42="Industrials",'DONNÉES BRUTES'!AB$3:AB$42+(ROW('DONNÉES BRUTES'!A$3:A$42)-ROW('DONNÉES BRUTES'!A$3))/1000,0),0))),"—")</f>
        <v/>
      </c>
      <c r="D19" s="192">
        <f t="array" ref="D19">IFERROR(IF(9&gt;COUNTIF('DONNÉES BRUTES'!C$3:C$42,"Industrials"),"",INDEX('DONNÉES BRUTES'!B$3:B$42,MATCH(LARGE(IF('DONNÉES BRUTES'!C$3:C$42="Industrials",'DONNÉES BRUTES'!AB$3:AB$42+(ROW('DONNÉES BRUTES'!A$3:A$42)-ROW('DONNÉES BRUTES'!A$3))/1000,0),9),IF('DONNÉES BRUTES'!C$3:C$42="Industrials",'DONNÉES BRUTES'!AB$3:AB$42+(ROW('DONNÉES BRUTES'!A$3:A$42)-ROW('DONNÉES BRUTES'!A$3))/1000,0),0))),"—")</f>
        <v/>
      </c>
      <c r="E19" s="193">
        <f t="array" ref="E19">IFERROR(IF(9&gt;COUNTIF('DONNÉES BRUTES'!C$3:C$42,"Industrials"),"",INT(LARGE(IF('DONNÉES BRUTES'!C$3:C$42="Industrials",'DONNÉES BRUTES'!AB$3:AB$42+(ROW('DONNÉES BRUTES'!A$3:A$42)-ROW('DONNÉES BRUTES'!A$3))/1000,0),9))&amp;"/100"),"—")</f>
        <v/>
      </c>
      <c r="F19" s="191">
        <f t="array" ref="F19">IFERROR(IF(9&gt;COUNTIF('DONNÉES BRUTES'!C$3:C$42,"Industrials"),"",INDEX('DONNÉES BRUTES'!Y$3:Y$42,MATCH(LARGE(IF('DONNÉES BRUTES'!C$3:C$42="Industrials",'DONNÉES BRUTES'!AB$3:AB$42+(ROW('DONNÉES BRUTES'!A$3:A$42)-ROW('DONNÉES BRUTES'!A$3))/1000,0),9),IF('DONNÉES BRUTES'!C$3:C$42="Industrials",'DONNÉES BRUTES'!AB$3:AB$42+(ROW('DONNÉES BRUTES'!A$3:A$42)-ROW('DONNÉES BRUTES'!A$3))/1000,0),0))),"—")</f>
        <v/>
      </c>
      <c r="G19" s="191">
        <f t="array" ref="G19">IFERROR(IF(9&gt;COUNTIF('DONNÉES BRUTES'!C$3:C$42,"Industrials"),"",INDEX('DONNÉES BRUTES'!Z$3:Z$42,MATCH(LARGE(IF('DONNÉES BRUTES'!C$3:C$42="Industrials",'DONNÉES BRUTES'!AB$3:AB$42+(ROW('DONNÉES BRUTES'!A$3:A$42)-ROW('DONNÉES BRUTES'!A$3))/1000,0),9),IF('DONNÉES BRUTES'!C$3:C$42="Industrials",'DONNÉES BRUTES'!AB$3:AB$42+(ROW('DONNÉES BRUTES'!A$3:A$42)-ROW('DONNÉES BRUTES'!A$3))/1000,0),0))),"—")</f>
        <v/>
      </c>
      <c r="H19" s="191">
        <f t="array" ref="H19">IFERROR(IF(9&gt;COUNTIF('DONNÉES BRUTES'!C$3:C$42,"Industrials"),"",INDEX('DONNÉES BRUTES'!AA$3:AA$42,MATCH(LARGE(IF('DONNÉES BRUTES'!C$3:C$42="Industrials",'DONNÉES BRUTES'!AB$3:AB$42+(ROW('DONNÉES BRUTES'!A$3:A$42)-ROW('DONNÉES BRUTES'!A$3))/1000,0),9),IF('DONNÉES BRUTES'!C$3:C$42="Industrials",'DONNÉES BRUTES'!AB$3:AB$42+(ROW('DONNÉES BRUTES'!A$3:A$42)-ROW('DONNÉES BRUTES'!A$3))/1000,0),0))),"—")</f>
        <v/>
      </c>
      <c r="I19" s="191">
        <f t="array" ref="I19">IFERROR(IF(9&gt;COUNTIF('DONNÉES BRUTES'!C$3:C$42,"Industrials"),"",INDEX('DONNÉES BRUTES'!M$3:M$42,MATCH(LARGE(IF('DONNÉES BRUTES'!C$3:C$42="Industrials",'DONNÉES BRUTES'!AB$3:AB$42+(ROW('DONNÉES BRUTES'!A$3:A$42)-ROW('DONNÉES BRUTES'!A$3))/1000,0),9),IF('DONNÉES BRUTES'!C$3:C$42="Industrials",'DONNÉES BRUTES'!AB$3:AB$42+(ROW('DONNÉES BRUTES'!A$3:A$42)-ROW('DONNÉES BRUTES'!A$3))/1000,0),0))),"—")</f>
        <v/>
      </c>
      <c r="J19" s="191">
        <f t="array" ref="J19">IFERROR(IF(9&gt;COUNTIF('DONNÉES BRUTES'!C$3:C$42,"Industrials"),"",INDEX('DONNÉES BRUTES'!N$3:N$42,MATCH(LARGE(IF('DONNÉES BRUTES'!C$3:C$42="Industrials",'DONNÉES BRUTES'!AB$3:AB$42+(ROW('DONNÉES BRUTES'!A$3:A$42)-ROW('DONNÉES BRUTES'!A$3))/1000,0),9),IF('DONNÉES BRUTES'!C$3:C$42="Industrials",'DONNÉES BRUTES'!AB$3:AB$42+(ROW('DONNÉES BRUTES'!A$3:A$42)-ROW('DONNÉES BRUTES'!A$3))/1000,0),0))),"—")</f>
        <v/>
      </c>
      <c r="K19" s="191">
        <f t="array" ref="K19">IFERROR(IF(9&gt;COUNTIF('DONNÉES BRUTES'!C$3:C$42,"Industrials"),"",INDEX('DONNÉES BRUTES'!O$3:O$42,MATCH(LARGE(IF('DONNÉES BRUTES'!C$3:C$42="Industrials",'DONNÉES BRUTES'!AB$3:AB$42+(ROW('DONNÉES BRUTES'!A$3:A$42)-ROW('DONNÉES BRUTES'!A$3))/1000,0),9),IF('DONNÉES BRUTES'!C$3:C$42="Industrials",'DONNÉES BRUTES'!AB$3:AB$42+(ROW('DONNÉES BRUTES'!A$3:A$42)-ROW('DONNÉES BRUTES'!A$3))/1000,0),0))),"—")</f>
        <v/>
      </c>
      <c r="L19" s="191">
        <f t="array" ref="L19">IFERROR(IF(9&gt;COUNTIF('DONNÉES BRUTES'!C$3:C$42,"Industrials"),"",INDEX('DONNÉES BRUTES'!P$3:P$42,MATCH(LARGE(IF('DONNÉES BRUTES'!C$3:C$42="Industrials",'DONNÉES BRUTES'!AB$3:AB$42+(ROW('DONNÉES BRUTES'!A$3:A$42)-ROW('DONNÉES BRUTES'!A$3))/1000,0),9),IF('DONNÉES BRUTES'!C$3:C$42="Industrials",'DONNÉES BRUTES'!AB$3:AB$42+(ROW('DONNÉES BRUTES'!A$3:A$42)-ROW('DONNÉES BRUTES'!A$3))/1000,0),0))),"—")</f>
        <v/>
      </c>
      <c r="M19" s="191">
        <f t="array" ref="M19">IFERROR(IF(9&gt;COUNTIF('DONNÉES BRUTES'!C$3:C$42,"Industrials"),"",INDEX('DONNÉES BRUTES'!Q$3:Q$42,MATCH(LARGE(IF('DONNÉES BRUTES'!C$3:C$42="Industrials",'DONNÉES BRUTES'!AB$3:AB$42+(ROW('DONNÉES BRUTES'!A$3:A$42)-ROW('DONNÉES BRUTES'!A$3))/1000,0),9),IF('DONNÉES BRUTES'!C$3:C$42="Industrials",'DONNÉES BRUTES'!AB$3:AB$42+(ROW('DONNÉES BRUTES'!A$3:A$42)-ROW('DONNÉES BRUTES'!A$3))/1000,0),0))),"—")</f>
        <v/>
      </c>
      <c r="N19" s="191">
        <f t="array" ref="N19">IFERROR(IF(9&gt;COUNTIF('DONNÉES BRUTES'!C$3:C$42,"Industrials"),"",INDEX('DONNÉES BRUTES'!S$3:S$42,MATCH(LARGE(IF('DONNÉES BRUTES'!C$3:C$42="Industrials",'DONNÉES BRUTES'!AB$3:AB$42+(ROW('DONNÉES BRUTES'!A$3:A$42)-ROW('DONNÉES BRUTES'!A$3))/1000,0),9),IF('DONNÉES BRUTES'!C$3:C$42="Industrials",'DONNÉES BRUTES'!AB$3:AB$42+(ROW('DONNÉES BRUTES'!A$3:A$42)-ROW('DONNÉES BRUTES'!A$3))/1000,0),0))),"—")</f>
        <v/>
      </c>
      <c r="O19" s="210">
        <f t="array" ref="O19">IFERROR(IF(9&gt;COUNTIF('DONNÉES BRUTES'!C$3:C$42,"Industrials"),"",INDEX('DONNÉES BRUTES'!T$3:T$42,MATCH(LARGE(IF('DONNÉES BRUTES'!C$3:C$42="Industrials",'DONNÉES BRUTES'!AB$3:AB$42+(ROW('DONNÉES BRUTES'!A$3:A$42)-ROW('DONNÉES BRUTES'!A$3))/1000,0),9),IF('DONNÉES BRUTES'!C$3:C$42="Industrials",'DONNÉES BRUTES'!AB$3:AB$42+(ROW('DONNÉES BRUTES'!A$3:A$42)-ROW('DONNÉES BRUTES'!A$3))/1000,0),0))),"—")</f>
        <v/>
      </c>
      <c r="P19" s="209">
        <f t="array" ref="P19">IFERROR(IF(9&gt;COUNTIF('DONNÉES BRUTES'!C$3:C$42,"Industrials"),"",INDEX('DONNÉES BRUTES'!U$3:U$42,MATCH(LARGE(IF('DONNÉES BRUTES'!C$3:C$42="Industrials",'DONNÉES BRUTES'!AB$3:AB$42+(ROW('DONNÉES BRUTES'!A$3:A$42)-ROW('DONNÉES BRUTES'!A$3))/1000,0),9),IF('DONNÉES BRUTES'!C$3:C$42="Industrials",'DONNÉES BRUTES'!AB$3:AB$42+(ROW('DONNÉES BRUTES'!A$3:A$42)-ROW('DONNÉES BRUTES'!A$3))/1000,0),0))),"—")</f>
        <v/>
      </c>
      <c r="Q19">
        <f t="array" ref="Q19">IFERROR(IF(9&gt;COUNTIF('DONNÉES BRUTES'!C$3:C$42,"Industrials"),"",INDEX('DONNÉES BRUTES'!AD$3:AD$42,MATCH(LARGE(IF('DONNÉES BRUTES'!C$3:C$42="Industrials",'DONNÉES BRUTES'!AB$3:AB$42+(ROW('DONNÉES BRUTES'!A$3:A$42)-ROW('DONNÉES BRUTES'!A$3))/1000,0),9),IF('DONNÉES BRUTES'!C$3:C$42="Industrials",'DONNÉES BRUTES'!AB$3:AB$42+(ROW('DONNÉES BRUTES'!A$3:A$42)-ROW('DONNÉES BRUTES'!A$3))/1000,0),0))),"—")</f>
        <v/>
      </c>
    </row>
    <row r="20" ht="15.95" customHeight="1">
      <c r="A20" s="199" t="n"/>
      <c r="B20" s="196">
        <f>IF(10&gt;COUNTIF('DONNÉES BRUTES'!C$3:C$42,"Industrials"),"",10)</f>
        <v/>
      </c>
      <c r="C20" s="188">
        <f t="array" ref="C20">IFERROR(IF(10&gt;COUNTIF('DONNÉES BRUTES'!C$3:C$42,"Industrials"),"",INDEX('DONNÉES BRUTES'!A$3:A$42,MATCH(LARGE(IF('DONNÉES BRUTES'!C$3:C$42="Industrials",'DONNÉES BRUTES'!AB$3:AB$42+(ROW('DONNÉES BRUTES'!A$3:A$42)-ROW('DONNÉES BRUTES'!A$3))/1000,0),10),IF('DONNÉES BRUTES'!C$3:C$42="Industrials",'DONNÉES BRUTES'!AB$3:AB$42+(ROW('DONNÉES BRUTES'!A$3:A$42)-ROW('DONNÉES BRUTES'!A$3))/1000,0),0))),"—")</f>
        <v/>
      </c>
      <c r="D20" s="188">
        <f t="array" ref="D20">IFERROR(IF(10&gt;COUNTIF('DONNÉES BRUTES'!C$3:C$42,"Industrials"),"",INDEX('DONNÉES BRUTES'!B$3:B$42,MATCH(LARGE(IF('DONNÉES BRUTES'!C$3:C$42="Industrials",'DONNÉES BRUTES'!AB$3:AB$42+(ROW('DONNÉES BRUTES'!A$3:A$42)-ROW('DONNÉES BRUTES'!A$3))/1000,0),10),IF('DONNÉES BRUTES'!C$3:C$42="Industrials",'DONNÉES BRUTES'!AB$3:AB$42+(ROW('DONNÉES BRUTES'!A$3:A$42)-ROW('DONNÉES BRUTES'!A$3))/1000,0),0))),"—")</f>
        <v/>
      </c>
      <c r="E20" s="189">
        <f t="array" ref="E20">IFERROR(IF(10&gt;COUNTIF('DONNÉES BRUTES'!C$3:C$42,"Industrials"),"",INT(LARGE(IF('DONNÉES BRUTES'!C$3:C$42="Industrials",'DONNÉES BRUTES'!AB$3:AB$42+(ROW('DONNÉES BRUTES'!A$3:A$42)-ROW('DONNÉES BRUTES'!A$3))/1000,0),10))&amp;"/100"),"—")</f>
        <v/>
      </c>
      <c r="F20" s="187">
        <f t="array" ref="F20">IFERROR(IF(10&gt;COUNTIF('DONNÉES BRUTES'!C$3:C$42,"Industrials"),"",INDEX('DONNÉES BRUTES'!Y$3:Y$42,MATCH(LARGE(IF('DONNÉES BRUTES'!C$3:C$42="Industrials",'DONNÉES BRUTES'!AB$3:AB$42+(ROW('DONNÉES BRUTES'!A$3:A$42)-ROW('DONNÉES BRUTES'!A$3))/1000,0),10),IF('DONNÉES BRUTES'!C$3:C$42="Industrials",'DONNÉES BRUTES'!AB$3:AB$42+(ROW('DONNÉES BRUTES'!A$3:A$42)-ROW('DONNÉES BRUTES'!A$3))/1000,0),0))),"—")</f>
        <v/>
      </c>
      <c r="G20" s="187">
        <f t="array" ref="G20">IFERROR(IF(10&gt;COUNTIF('DONNÉES BRUTES'!C$3:C$42,"Industrials"),"",INDEX('DONNÉES BRUTES'!Z$3:Z$42,MATCH(LARGE(IF('DONNÉES BRUTES'!C$3:C$42="Industrials",'DONNÉES BRUTES'!AB$3:AB$42+(ROW('DONNÉES BRUTES'!A$3:A$42)-ROW('DONNÉES BRUTES'!A$3))/1000,0),10),IF('DONNÉES BRUTES'!C$3:C$42="Industrials",'DONNÉES BRUTES'!AB$3:AB$42+(ROW('DONNÉES BRUTES'!A$3:A$42)-ROW('DONNÉES BRUTES'!A$3))/1000,0),0))),"—")</f>
        <v/>
      </c>
      <c r="H20" s="187">
        <f t="array" ref="H20">IFERROR(IF(10&gt;COUNTIF('DONNÉES BRUTES'!C$3:C$42,"Industrials"),"",INDEX('DONNÉES BRUTES'!AA$3:AA$42,MATCH(LARGE(IF('DONNÉES BRUTES'!C$3:C$42="Industrials",'DONNÉES BRUTES'!AB$3:AB$42+(ROW('DONNÉES BRUTES'!A$3:A$42)-ROW('DONNÉES BRUTES'!A$3))/1000,0),10),IF('DONNÉES BRUTES'!C$3:C$42="Industrials",'DONNÉES BRUTES'!AB$3:AB$42+(ROW('DONNÉES BRUTES'!A$3:A$42)-ROW('DONNÉES BRUTES'!A$3))/1000,0),0))),"—")</f>
        <v/>
      </c>
      <c r="I20" s="187">
        <f t="array" ref="I20">IFERROR(IF(10&gt;COUNTIF('DONNÉES BRUTES'!C$3:C$42,"Industrials"),"",INDEX('DONNÉES BRUTES'!M$3:M$42,MATCH(LARGE(IF('DONNÉES BRUTES'!C$3:C$42="Industrials",'DONNÉES BRUTES'!AB$3:AB$42+(ROW('DONNÉES BRUTES'!A$3:A$42)-ROW('DONNÉES BRUTES'!A$3))/1000,0),10),IF('DONNÉES BRUTES'!C$3:C$42="Industrials",'DONNÉES BRUTES'!AB$3:AB$42+(ROW('DONNÉES BRUTES'!A$3:A$42)-ROW('DONNÉES BRUTES'!A$3))/1000,0),0))),"—")</f>
        <v/>
      </c>
      <c r="J20" s="187">
        <f t="array" ref="J20">IFERROR(IF(10&gt;COUNTIF('DONNÉES BRUTES'!C$3:C$42,"Industrials"),"",INDEX('DONNÉES BRUTES'!N$3:N$42,MATCH(LARGE(IF('DONNÉES BRUTES'!C$3:C$42="Industrials",'DONNÉES BRUTES'!AB$3:AB$42+(ROW('DONNÉES BRUTES'!A$3:A$42)-ROW('DONNÉES BRUTES'!A$3))/1000,0),10),IF('DONNÉES BRUTES'!C$3:C$42="Industrials",'DONNÉES BRUTES'!AB$3:AB$42+(ROW('DONNÉES BRUTES'!A$3:A$42)-ROW('DONNÉES BRUTES'!A$3))/1000,0),0))),"—")</f>
        <v/>
      </c>
      <c r="K20" s="187">
        <f t="array" ref="K20">IFERROR(IF(10&gt;COUNTIF('DONNÉES BRUTES'!C$3:C$42,"Industrials"),"",INDEX('DONNÉES BRUTES'!O$3:O$42,MATCH(LARGE(IF('DONNÉES BRUTES'!C$3:C$42="Industrials",'DONNÉES BRUTES'!AB$3:AB$42+(ROW('DONNÉES BRUTES'!A$3:A$42)-ROW('DONNÉES BRUTES'!A$3))/1000,0),10),IF('DONNÉES BRUTES'!C$3:C$42="Industrials",'DONNÉES BRUTES'!AB$3:AB$42+(ROW('DONNÉES BRUTES'!A$3:A$42)-ROW('DONNÉES BRUTES'!A$3))/1000,0),0))),"—")</f>
        <v/>
      </c>
      <c r="L20" s="187">
        <f t="array" ref="L20">IFERROR(IF(10&gt;COUNTIF('DONNÉES BRUTES'!C$3:C$42,"Industrials"),"",INDEX('DONNÉES BRUTES'!P$3:P$42,MATCH(LARGE(IF('DONNÉES BRUTES'!C$3:C$42="Industrials",'DONNÉES BRUTES'!AB$3:AB$42+(ROW('DONNÉES BRUTES'!A$3:A$42)-ROW('DONNÉES BRUTES'!A$3))/1000,0),10),IF('DONNÉES BRUTES'!C$3:C$42="Industrials",'DONNÉES BRUTES'!AB$3:AB$42+(ROW('DONNÉES BRUTES'!A$3:A$42)-ROW('DONNÉES BRUTES'!A$3))/1000,0),0))),"—")</f>
        <v/>
      </c>
      <c r="M20" s="187">
        <f t="array" ref="M20">IFERROR(IF(10&gt;COUNTIF('DONNÉES BRUTES'!C$3:C$42,"Industrials"),"",INDEX('DONNÉES BRUTES'!Q$3:Q$42,MATCH(LARGE(IF('DONNÉES BRUTES'!C$3:C$42="Industrials",'DONNÉES BRUTES'!AB$3:AB$42+(ROW('DONNÉES BRUTES'!A$3:A$42)-ROW('DONNÉES BRUTES'!A$3))/1000,0),10),IF('DONNÉES BRUTES'!C$3:C$42="Industrials",'DONNÉES BRUTES'!AB$3:AB$42+(ROW('DONNÉES BRUTES'!A$3:A$42)-ROW('DONNÉES BRUTES'!A$3))/1000,0),0))),"—")</f>
        <v/>
      </c>
      <c r="N20" s="187">
        <f t="array" ref="N20">IFERROR(IF(10&gt;COUNTIF('DONNÉES BRUTES'!C$3:C$42,"Industrials"),"",INDEX('DONNÉES BRUTES'!S$3:S$42,MATCH(LARGE(IF('DONNÉES BRUTES'!C$3:C$42="Industrials",'DONNÉES BRUTES'!AB$3:AB$42+(ROW('DONNÉES BRUTES'!A$3:A$42)-ROW('DONNÉES BRUTES'!A$3))/1000,0),10),IF('DONNÉES BRUTES'!C$3:C$42="Industrials",'DONNÉES BRUTES'!AB$3:AB$42+(ROW('DONNÉES BRUTES'!A$3:A$42)-ROW('DONNÉES BRUTES'!A$3))/1000,0),0))),"—")</f>
        <v/>
      </c>
      <c r="O20" s="187">
        <f t="array" ref="O20">IFERROR(IF(10&gt;COUNTIF('DONNÉES BRUTES'!C$3:C$42,"Industrials"),"",INDEX('DONNÉES BRUTES'!T$3:T$42,MATCH(LARGE(IF('DONNÉES BRUTES'!C$3:C$42="Industrials",'DONNÉES BRUTES'!AB$3:AB$42+(ROW('DONNÉES BRUTES'!A$3:A$42)-ROW('DONNÉES BRUTES'!A$3))/1000,0),10),IF('DONNÉES BRUTES'!C$3:C$42="Industrials",'DONNÉES BRUTES'!AB$3:AB$42+(ROW('DONNÉES BRUTES'!A$3:A$42)-ROW('DONNÉES BRUTES'!A$3))/1000,0),0))),"—")</f>
        <v/>
      </c>
      <c r="P20" s="190">
        <f t="array" ref="P20">IFERROR(IF(10&gt;COUNTIF('DONNÉES BRUTES'!C$3:C$42,"Industrials"),"",INDEX('DONNÉES BRUTES'!U$3:U$42,MATCH(LARGE(IF('DONNÉES BRUTES'!C$3:C$42="Industrials",'DONNÉES BRUTES'!AB$3:AB$42+(ROW('DONNÉES BRUTES'!A$3:A$42)-ROW('DONNÉES BRUTES'!A$3))/1000,0),10),IF('DONNÉES BRUTES'!C$3:C$42="Industrials",'DONNÉES BRUTES'!AB$3:AB$42+(ROW('DONNÉES BRUTES'!A$3:A$42)-ROW('DONNÉES BRUTES'!A$3))/1000,0),0))),"—")</f>
        <v/>
      </c>
      <c r="Q20">
        <f t="array" ref="Q20">IFERROR(IF(10&gt;COUNTIF('DONNÉES BRUTES'!C$3:C$42,"Industrials"),"",INDEX('DONNÉES BRUTES'!AD$3:AD$42,MATCH(LARGE(IF('DONNÉES BRUTES'!C$3:C$42="Industrials",'DONNÉES BRUTES'!AB$3:AB$42+(ROW('DONNÉES BRUTES'!A$3:A$42)-ROW('DONNÉES BRUTES'!A$3))/1000,0),10),IF('DONNÉES BRUTES'!C$3:C$42="Industrials",'DONNÉES BRUTES'!AB$3:AB$42+(ROW('DONNÉES BRUTES'!A$3:A$42)-ROW('DONNÉES BRUTES'!A$3))/1000,0),0))),"—")</f>
        <v/>
      </c>
    </row>
    <row r="21" ht="15.95" customHeight="1">
      <c r="A21" s="200" t="n"/>
      <c r="B21" s="197">
        <f>IF(11&gt;COUNTIF('DONNÉES BRUTES'!C$3:C$42,"Industrials"),"",11)</f>
        <v/>
      </c>
      <c r="C21" s="192">
        <f t="array" ref="C21">IFERROR(IF(11&gt;COUNTIF('DONNÉES BRUTES'!C$3:C$42,"Industrials"),"",INDEX('DONNÉES BRUTES'!A$3:A$42,MATCH(LARGE(IF('DONNÉES BRUTES'!C$3:C$42="Industrials",'DONNÉES BRUTES'!AB$3:AB$42+(ROW('DONNÉES BRUTES'!A$3:A$42)-ROW('DONNÉES BRUTES'!A$3))/1000,0),11),IF('DONNÉES BRUTES'!C$3:C$42="Industrials",'DONNÉES BRUTES'!AB$3:AB$42+(ROW('DONNÉES BRUTES'!A$3:A$42)-ROW('DONNÉES BRUTES'!A$3))/1000,0),0))),"—")</f>
        <v/>
      </c>
      <c r="D21" s="192">
        <f t="array" ref="D21">IFERROR(IF(11&gt;COUNTIF('DONNÉES BRUTES'!C$3:C$42,"Industrials"),"",INDEX('DONNÉES BRUTES'!B$3:B$42,MATCH(LARGE(IF('DONNÉES BRUTES'!C$3:C$42="Industrials",'DONNÉES BRUTES'!AB$3:AB$42+(ROW('DONNÉES BRUTES'!A$3:A$42)-ROW('DONNÉES BRUTES'!A$3))/1000,0),11),IF('DONNÉES BRUTES'!C$3:C$42="Industrials",'DONNÉES BRUTES'!AB$3:AB$42+(ROW('DONNÉES BRUTES'!A$3:A$42)-ROW('DONNÉES BRUTES'!A$3))/1000,0),0))),"—")</f>
        <v/>
      </c>
      <c r="E21" s="193">
        <f t="array" ref="E21">IFERROR(IF(11&gt;COUNTIF('DONNÉES BRUTES'!C$3:C$42,"Industrials"),"",INT(LARGE(IF('DONNÉES BRUTES'!C$3:C$42="Industrials",'DONNÉES BRUTES'!AB$3:AB$42+(ROW('DONNÉES BRUTES'!A$3:A$42)-ROW('DONNÉES BRUTES'!A$3))/1000,0),11))&amp;"/100"),"—")</f>
        <v/>
      </c>
      <c r="F21" s="191">
        <f t="array" ref="F21">IFERROR(IF(11&gt;COUNTIF('DONNÉES BRUTES'!C$3:C$42,"Industrials"),"",INDEX('DONNÉES BRUTES'!Y$3:Y$42,MATCH(LARGE(IF('DONNÉES BRUTES'!C$3:C$42="Industrials",'DONNÉES BRUTES'!AB$3:AB$42+(ROW('DONNÉES BRUTES'!A$3:A$42)-ROW('DONNÉES BRUTES'!A$3))/1000,0),11),IF('DONNÉES BRUTES'!C$3:C$42="Industrials",'DONNÉES BRUTES'!AB$3:AB$42+(ROW('DONNÉES BRUTES'!A$3:A$42)-ROW('DONNÉES BRUTES'!A$3))/1000,0),0))),"—")</f>
        <v/>
      </c>
      <c r="G21" s="191">
        <f t="array" ref="G21">IFERROR(IF(11&gt;COUNTIF('DONNÉES BRUTES'!C$3:C$42,"Industrials"),"",INDEX('DONNÉES BRUTES'!Z$3:Z$42,MATCH(LARGE(IF('DONNÉES BRUTES'!C$3:C$42="Industrials",'DONNÉES BRUTES'!AB$3:AB$42+(ROW('DONNÉES BRUTES'!A$3:A$42)-ROW('DONNÉES BRUTES'!A$3))/1000,0),11),IF('DONNÉES BRUTES'!C$3:C$42="Industrials",'DONNÉES BRUTES'!AB$3:AB$42+(ROW('DONNÉES BRUTES'!A$3:A$42)-ROW('DONNÉES BRUTES'!A$3))/1000,0),0))),"—")</f>
        <v/>
      </c>
      <c r="H21" s="191">
        <f t="array" ref="H21">IFERROR(IF(11&gt;COUNTIF('DONNÉES BRUTES'!C$3:C$42,"Industrials"),"",INDEX('DONNÉES BRUTES'!AA$3:AA$42,MATCH(LARGE(IF('DONNÉES BRUTES'!C$3:C$42="Industrials",'DONNÉES BRUTES'!AB$3:AB$42+(ROW('DONNÉES BRUTES'!A$3:A$42)-ROW('DONNÉES BRUTES'!A$3))/1000,0),11),IF('DONNÉES BRUTES'!C$3:C$42="Industrials",'DONNÉES BRUTES'!AB$3:AB$42+(ROW('DONNÉES BRUTES'!A$3:A$42)-ROW('DONNÉES BRUTES'!A$3))/1000,0),0))),"—")</f>
        <v/>
      </c>
      <c r="I21" s="191">
        <f t="array" ref="I21">IFERROR(IF(11&gt;COUNTIF('DONNÉES BRUTES'!C$3:C$42,"Industrials"),"",INDEX('DONNÉES BRUTES'!M$3:M$42,MATCH(LARGE(IF('DONNÉES BRUTES'!C$3:C$42="Industrials",'DONNÉES BRUTES'!AB$3:AB$42+(ROW('DONNÉES BRUTES'!A$3:A$42)-ROW('DONNÉES BRUTES'!A$3))/1000,0),11),IF('DONNÉES BRUTES'!C$3:C$42="Industrials",'DONNÉES BRUTES'!AB$3:AB$42+(ROW('DONNÉES BRUTES'!A$3:A$42)-ROW('DONNÉES BRUTES'!A$3))/1000,0),0))),"—")</f>
        <v/>
      </c>
      <c r="J21" s="191">
        <f t="array" ref="J21">IFERROR(IF(11&gt;COUNTIF('DONNÉES BRUTES'!C$3:C$42,"Industrials"),"",INDEX('DONNÉES BRUTES'!N$3:N$42,MATCH(LARGE(IF('DONNÉES BRUTES'!C$3:C$42="Industrials",'DONNÉES BRUTES'!AB$3:AB$42+(ROW('DONNÉES BRUTES'!A$3:A$42)-ROW('DONNÉES BRUTES'!A$3))/1000,0),11),IF('DONNÉES BRUTES'!C$3:C$42="Industrials",'DONNÉES BRUTES'!AB$3:AB$42+(ROW('DONNÉES BRUTES'!A$3:A$42)-ROW('DONNÉES BRUTES'!A$3))/1000,0),0))),"—")</f>
        <v/>
      </c>
      <c r="K21" s="191">
        <f t="array" ref="K21">IFERROR(IF(11&gt;COUNTIF('DONNÉES BRUTES'!C$3:C$42,"Industrials"),"",INDEX('DONNÉES BRUTES'!O$3:O$42,MATCH(LARGE(IF('DONNÉES BRUTES'!C$3:C$42="Industrials",'DONNÉES BRUTES'!AB$3:AB$42+(ROW('DONNÉES BRUTES'!A$3:A$42)-ROW('DONNÉES BRUTES'!A$3))/1000,0),11),IF('DONNÉES BRUTES'!C$3:C$42="Industrials",'DONNÉES BRUTES'!AB$3:AB$42+(ROW('DONNÉES BRUTES'!A$3:A$42)-ROW('DONNÉES BRUTES'!A$3))/1000,0),0))),"—")</f>
        <v/>
      </c>
      <c r="L21" s="191">
        <f t="array" ref="L21">IFERROR(IF(11&gt;COUNTIF('DONNÉES BRUTES'!C$3:C$42,"Industrials"),"",INDEX('DONNÉES BRUTES'!P$3:P$42,MATCH(LARGE(IF('DONNÉES BRUTES'!C$3:C$42="Industrials",'DONNÉES BRUTES'!AB$3:AB$42+(ROW('DONNÉES BRUTES'!A$3:A$42)-ROW('DONNÉES BRUTES'!A$3))/1000,0),11),IF('DONNÉES BRUTES'!C$3:C$42="Industrials",'DONNÉES BRUTES'!AB$3:AB$42+(ROW('DONNÉES BRUTES'!A$3:A$42)-ROW('DONNÉES BRUTES'!A$3))/1000,0),0))),"—")</f>
        <v/>
      </c>
      <c r="M21" s="191">
        <f t="array" ref="M21">IFERROR(IF(11&gt;COUNTIF('DONNÉES BRUTES'!C$3:C$42,"Industrials"),"",INDEX('DONNÉES BRUTES'!Q$3:Q$42,MATCH(LARGE(IF('DONNÉES BRUTES'!C$3:C$42="Industrials",'DONNÉES BRUTES'!AB$3:AB$42+(ROW('DONNÉES BRUTES'!A$3:A$42)-ROW('DONNÉES BRUTES'!A$3))/1000,0),11),IF('DONNÉES BRUTES'!C$3:C$42="Industrials",'DONNÉES BRUTES'!AB$3:AB$42+(ROW('DONNÉES BRUTES'!A$3:A$42)-ROW('DONNÉES BRUTES'!A$3))/1000,0),0))),"—")</f>
        <v/>
      </c>
      <c r="N21" s="191">
        <f t="array" ref="N21">IFERROR(IF(11&gt;COUNTIF('DONNÉES BRUTES'!C$3:C$42,"Industrials"),"",INDEX('DONNÉES BRUTES'!S$3:S$42,MATCH(LARGE(IF('DONNÉES BRUTES'!C$3:C$42="Industrials",'DONNÉES BRUTES'!AB$3:AB$42+(ROW('DONNÉES BRUTES'!A$3:A$42)-ROW('DONNÉES BRUTES'!A$3))/1000,0),11),IF('DONNÉES BRUTES'!C$3:C$42="Industrials",'DONNÉES BRUTES'!AB$3:AB$42+(ROW('DONNÉES BRUTES'!A$3:A$42)-ROW('DONNÉES BRUTES'!A$3))/1000,0),0))),"—")</f>
        <v/>
      </c>
      <c r="O21" s="191">
        <f t="array" ref="O21">IFERROR(IF(11&gt;COUNTIF('DONNÉES BRUTES'!C$3:C$42,"Industrials"),"",INDEX('DONNÉES BRUTES'!T$3:T$42,MATCH(LARGE(IF('DONNÉES BRUTES'!C$3:C$42="Industrials",'DONNÉES BRUTES'!AB$3:AB$42+(ROW('DONNÉES BRUTES'!A$3:A$42)-ROW('DONNÉES BRUTES'!A$3))/1000,0),11),IF('DONNÉES BRUTES'!C$3:C$42="Industrials",'DONNÉES BRUTES'!AB$3:AB$42+(ROW('DONNÉES BRUTES'!A$3:A$42)-ROW('DONNÉES BRUTES'!A$3))/1000,0),0))),"—")</f>
        <v/>
      </c>
      <c r="P21" s="194">
        <f t="array" ref="P21">IFERROR(IF(11&gt;COUNTIF('DONNÉES BRUTES'!C$3:C$42,"Industrials"),"",INDEX('DONNÉES BRUTES'!U$3:U$42,MATCH(LARGE(IF('DONNÉES BRUTES'!C$3:C$42="Industrials",'DONNÉES BRUTES'!AB$3:AB$42+(ROW('DONNÉES BRUTES'!A$3:A$42)-ROW('DONNÉES BRUTES'!A$3))/1000,0),11),IF('DONNÉES BRUTES'!C$3:C$42="Industrials",'DONNÉES BRUTES'!AB$3:AB$42+(ROW('DONNÉES BRUTES'!A$3:A$42)-ROW('DONNÉES BRUTES'!A$3))/1000,0),0))),"—")</f>
        <v/>
      </c>
      <c r="Q21">
        <f t="array" ref="Q21">IFERROR(IF(11&gt;COUNTIF('DONNÉES BRUTES'!C$3:C$42,"Industrials"),"",INDEX('DONNÉES BRUTES'!AD$3:AD$42,MATCH(LARGE(IF('DONNÉES BRUTES'!C$3:C$42="Industrials",'DONNÉES BRUTES'!AB$3:AB$42+(ROW('DONNÉES BRUTES'!A$3:A$42)-ROW('DONNÉES BRUTES'!A$3))/1000,0),11),IF('DONNÉES BRUTES'!C$3:C$42="Industrials",'DONNÉES BRUTES'!AB$3:AB$42+(ROW('DONNÉES BRUTES'!A$3:A$42)-ROW('DONNÉES BRUTES'!A$3))/1000,0),0))),"—")</f>
        <v/>
      </c>
    </row>
    <row r="22" ht="15.95" customHeight="1">
      <c r="A22" s="199" t="n"/>
      <c r="B22" s="196">
        <f>IF(12&gt;COUNTIF('DONNÉES BRUTES'!C$3:C$42,"Industrials"),"",12)</f>
        <v/>
      </c>
      <c r="C22" s="188">
        <f t="array" ref="C22">IFERROR(IF(12&gt;COUNTIF('DONNÉES BRUTES'!C$3:C$42,"Industrials"),"",INDEX('DONNÉES BRUTES'!A$3:A$42,MATCH(LARGE(IF('DONNÉES BRUTES'!C$3:C$42="Industrials",'DONNÉES BRUTES'!AB$3:AB$42+(ROW('DONNÉES BRUTES'!A$3:A$42)-ROW('DONNÉES BRUTES'!A$3))/1000,0),12),IF('DONNÉES BRUTES'!C$3:C$42="Industrials",'DONNÉES BRUTES'!AB$3:AB$42+(ROW('DONNÉES BRUTES'!A$3:A$42)-ROW('DONNÉES BRUTES'!A$3))/1000,0),0))),"—")</f>
        <v/>
      </c>
      <c r="D22" s="188">
        <f t="array" ref="D22">IFERROR(IF(12&gt;COUNTIF('DONNÉES BRUTES'!C$3:C$42,"Industrials"),"",INDEX('DONNÉES BRUTES'!B$3:B$42,MATCH(LARGE(IF('DONNÉES BRUTES'!C$3:C$42="Industrials",'DONNÉES BRUTES'!AB$3:AB$42+(ROW('DONNÉES BRUTES'!A$3:A$42)-ROW('DONNÉES BRUTES'!A$3))/1000,0),12),IF('DONNÉES BRUTES'!C$3:C$42="Industrials",'DONNÉES BRUTES'!AB$3:AB$42+(ROW('DONNÉES BRUTES'!A$3:A$42)-ROW('DONNÉES BRUTES'!A$3))/1000,0),0))),"—")</f>
        <v/>
      </c>
      <c r="E22" s="189">
        <f t="array" ref="E22">IFERROR(IF(12&gt;COUNTIF('DONNÉES BRUTES'!C$3:C$42,"Industrials"),"",INT(LARGE(IF('DONNÉES BRUTES'!C$3:C$42="Industrials",'DONNÉES BRUTES'!AB$3:AB$42+(ROW('DONNÉES BRUTES'!A$3:A$42)-ROW('DONNÉES BRUTES'!A$3))/1000,0),12))&amp;"/100"),"—")</f>
        <v/>
      </c>
      <c r="F22" s="187">
        <f t="array" ref="F22">IFERROR(IF(12&gt;COUNTIF('DONNÉES BRUTES'!C$3:C$42,"Industrials"),"",INDEX('DONNÉES BRUTES'!Y$3:Y$42,MATCH(LARGE(IF('DONNÉES BRUTES'!C$3:C$42="Industrials",'DONNÉES BRUTES'!AB$3:AB$42+(ROW('DONNÉES BRUTES'!A$3:A$42)-ROW('DONNÉES BRUTES'!A$3))/1000,0),12),IF('DONNÉES BRUTES'!C$3:C$42="Industrials",'DONNÉES BRUTES'!AB$3:AB$42+(ROW('DONNÉES BRUTES'!A$3:A$42)-ROW('DONNÉES BRUTES'!A$3))/1000,0),0))),"—")</f>
        <v/>
      </c>
      <c r="G22" s="187">
        <f t="array" ref="G22">IFERROR(IF(12&gt;COUNTIF('DONNÉES BRUTES'!C$3:C$42,"Industrials"),"",INDEX('DONNÉES BRUTES'!Z$3:Z$42,MATCH(LARGE(IF('DONNÉES BRUTES'!C$3:C$42="Industrials",'DONNÉES BRUTES'!AB$3:AB$42+(ROW('DONNÉES BRUTES'!A$3:A$42)-ROW('DONNÉES BRUTES'!A$3))/1000,0),12),IF('DONNÉES BRUTES'!C$3:C$42="Industrials",'DONNÉES BRUTES'!AB$3:AB$42+(ROW('DONNÉES BRUTES'!A$3:A$42)-ROW('DONNÉES BRUTES'!A$3))/1000,0),0))),"—")</f>
        <v/>
      </c>
      <c r="H22" s="187">
        <f t="array" ref="H22">IFERROR(IF(12&gt;COUNTIF('DONNÉES BRUTES'!C$3:C$42,"Industrials"),"",INDEX('DONNÉES BRUTES'!AA$3:AA$42,MATCH(LARGE(IF('DONNÉES BRUTES'!C$3:C$42="Industrials",'DONNÉES BRUTES'!AB$3:AB$42+(ROW('DONNÉES BRUTES'!A$3:A$42)-ROW('DONNÉES BRUTES'!A$3))/1000,0),12),IF('DONNÉES BRUTES'!C$3:C$42="Industrials",'DONNÉES BRUTES'!AB$3:AB$42+(ROW('DONNÉES BRUTES'!A$3:A$42)-ROW('DONNÉES BRUTES'!A$3))/1000,0),0))),"—")</f>
        <v/>
      </c>
      <c r="I22" s="187">
        <f t="array" ref="I22">IFERROR(IF(12&gt;COUNTIF('DONNÉES BRUTES'!C$3:C$42,"Industrials"),"",INDEX('DONNÉES BRUTES'!M$3:M$42,MATCH(LARGE(IF('DONNÉES BRUTES'!C$3:C$42="Industrials",'DONNÉES BRUTES'!AB$3:AB$42+(ROW('DONNÉES BRUTES'!A$3:A$42)-ROW('DONNÉES BRUTES'!A$3))/1000,0),12),IF('DONNÉES BRUTES'!C$3:C$42="Industrials",'DONNÉES BRUTES'!AB$3:AB$42+(ROW('DONNÉES BRUTES'!A$3:A$42)-ROW('DONNÉES BRUTES'!A$3))/1000,0),0))),"—")</f>
        <v/>
      </c>
      <c r="J22" s="187">
        <f t="array" ref="J22">IFERROR(IF(12&gt;COUNTIF('DONNÉES BRUTES'!C$3:C$42,"Industrials"),"",INDEX('DONNÉES BRUTES'!N$3:N$42,MATCH(LARGE(IF('DONNÉES BRUTES'!C$3:C$42="Industrials",'DONNÉES BRUTES'!AB$3:AB$42+(ROW('DONNÉES BRUTES'!A$3:A$42)-ROW('DONNÉES BRUTES'!A$3))/1000,0),12),IF('DONNÉES BRUTES'!C$3:C$42="Industrials",'DONNÉES BRUTES'!AB$3:AB$42+(ROW('DONNÉES BRUTES'!A$3:A$42)-ROW('DONNÉES BRUTES'!A$3))/1000,0),0))),"—")</f>
        <v/>
      </c>
      <c r="K22" s="187">
        <f t="array" ref="K22">IFERROR(IF(12&gt;COUNTIF('DONNÉES BRUTES'!C$3:C$42,"Industrials"),"",INDEX('DONNÉES BRUTES'!O$3:O$42,MATCH(LARGE(IF('DONNÉES BRUTES'!C$3:C$42="Industrials",'DONNÉES BRUTES'!AB$3:AB$42+(ROW('DONNÉES BRUTES'!A$3:A$42)-ROW('DONNÉES BRUTES'!A$3))/1000,0),12),IF('DONNÉES BRUTES'!C$3:C$42="Industrials",'DONNÉES BRUTES'!AB$3:AB$42+(ROW('DONNÉES BRUTES'!A$3:A$42)-ROW('DONNÉES BRUTES'!A$3))/1000,0),0))),"—")</f>
        <v/>
      </c>
      <c r="L22" s="187">
        <f t="array" ref="L22">IFERROR(IF(12&gt;COUNTIF('DONNÉES BRUTES'!C$3:C$42,"Industrials"),"",INDEX('DONNÉES BRUTES'!P$3:P$42,MATCH(LARGE(IF('DONNÉES BRUTES'!C$3:C$42="Industrials",'DONNÉES BRUTES'!AB$3:AB$42+(ROW('DONNÉES BRUTES'!A$3:A$42)-ROW('DONNÉES BRUTES'!A$3))/1000,0),12),IF('DONNÉES BRUTES'!C$3:C$42="Industrials",'DONNÉES BRUTES'!AB$3:AB$42+(ROW('DONNÉES BRUTES'!A$3:A$42)-ROW('DONNÉES BRUTES'!A$3))/1000,0),0))),"—")</f>
        <v/>
      </c>
      <c r="M22" s="187">
        <f t="array" ref="M22">IFERROR(IF(12&gt;COUNTIF('DONNÉES BRUTES'!C$3:C$42,"Industrials"),"",INDEX('DONNÉES BRUTES'!Q$3:Q$42,MATCH(LARGE(IF('DONNÉES BRUTES'!C$3:C$42="Industrials",'DONNÉES BRUTES'!AB$3:AB$42+(ROW('DONNÉES BRUTES'!A$3:A$42)-ROW('DONNÉES BRUTES'!A$3))/1000,0),12),IF('DONNÉES BRUTES'!C$3:C$42="Industrials",'DONNÉES BRUTES'!AB$3:AB$42+(ROW('DONNÉES BRUTES'!A$3:A$42)-ROW('DONNÉES BRUTES'!A$3))/1000,0),0))),"—")</f>
        <v/>
      </c>
      <c r="N22" s="187">
        <f t="array" ref="N22">IFERROR(IF(12&gt;COUNTIF('DONNÉES BRUTES'!C$3:C$42,"Industrials"),"",INDEX('DONNÉES BRUTES'!S$3:S$42,MATCH(LARGE(IF('DONNÉES BRUTES'!C$3:C$42="Industrials",'DONNÉES BRUTES'!AB$3:AB$42+(ROW('DONNÉES BRUTES'!A$3:A$42)-ROW('DONNÉES BRUTES'!A$3))/1000,0),12),IF('DONNÉES BRUTES'!C$3:C$42="Industrials",'DONNÉES BRUTES'!AB$3:AB$42+(ROW('DONNÉES BRUTES'!A$3:A$42)-ROW('DONNÉES BRUTES'!A$3))/1000,0),0))),"—")</f>
        <v/>
      </c>
      <c r="O22" s="187">
        <f t="array" ref="O22">IFERROR(IF(12&gt;COUNTIF('DONNÉES BRUTES'!C$3:C$42,"Industrials"),"",INDEX('DONNÉES BRUTES'!T$3:T$42,MATCH(LARGE(IF('DONNÉES BRUTES'!C$3:C$42="Industrials",'DONNÉES BRUTES'!AB$3:AB$42+(ROW('DONNÉES BRUTES'!A$3:A$42)-ROW('DONNÉES BRUTES'!A$3))/1000,0),12),IF('DONNÉES BRUTES'!C$3:C$42="Industrials",'DONNÉES BRUTES'!AB$3:AB$42+(ROW('DONNÉES BRUTES'!A$3:A$42)-ROW('DONNÉES BRUTES'!A$3))/1000,0),0))),"—")</f>
        <v/>
      </c>
      <c r="P22" s="190">
        <f t="array" ref="P22">IFERROR(IF(12&gt;COUNTIF('DONNÉES BRUTES'!C$3:C$42,"Industrials"),"",INDEX('DONNÉES BRUTES'!U$3:U$42,MATCH(LARGE(IF('DONNÉES BRUTES'!C$3:C$42="Industrials",'DONNÉES BRUTES'!AB$3:AB$42+(ROW('DONNÉES BRUTES'!A$3:A$42)-ROW('DONNÉES BRUTES'!A$3))/1000,0),12),IF('DONNÉES BRUTES'!C$3:C$42="Industrials",'DONNÉES BRUTES'!AB$3:AB$42+(ROW('DONNÉES BRUTES'!A$3:A$42)-ROW('DONNÉES BRUTES'!A$3))/1000,0),0))),"—")</f>
        <v/>
      </c>
      <c r="Q22">
        <f t="array" ref="Q22">IFERROR(IF(12&gt;COUNTIF('DONNÉES BRUTES'!C$3:C$42,"Industrials"),"",INDEX('DONNÉES BRUTES'!AD$3:AD$42,MATCH(LARGE(IF('DONNÉES BRUTES'!C$3:C$42="Industrials",'DONNÉES BRUTES'!AB$3:AB$42+(ROW('DONNÉES BRUTES'!A$3:A$42)-ROW('DONNÉES BRUTES'!A$3))/1000,0),12),IF('DONNÉES BRUTES'!C$3:C$42="Industrials",'DONNÉES BRUTES'!AB$3:AB$42+(ROW('DONNÉES BRUTES'!A$3:A$42)-ROW('DONNÉES BRUTES'!A$3))/1000,0),0))),"—")</f>
        <v/>
      </c>
    </row>
    <row r="23" ht="15.95" customHeight="1">
      <c r="A23" s="200" t="n"/>
      <c r="B23" s="197">
        <f>IF(13&gt;COUNTIF('DONNÉES BRUTES'!C$3:C$42,"Industrials"),"",13)</f>
        <v/>
      </c>
      <c r="C23" s="192">
        <f t="array" ref="C23">IFERROR(IF(13&gt;COUNTIF('DONNÉES BRUTES'!C$3:C$42,"Industrials"),"",INDEX('DONNÉES BRUTES'!A$3:A$42,MATCH(LARGE(IF('DONNÉES BRUTES'!C$3:C$42="Industrials",'DONNÉES BRUTES'!AB$3:AB$42+(ROW('DONNÉES BRUTES'!A$3:A$42)-ROW('DONNÉES BRUTES'!A$3))/1000,0),13),IF('DONNÉES BRUTES'!C$3:C$42="Industrials",'DONNÉES BRUTES'!AB$3:AB$42+(ROW('DONNÉES BRUTES'!A$3:A$42)-ROW('DONNÉES BRUTES'!A$3))/1000,0),0))),"—")</f>
        <v/>
      </c>
      <c r="D23" s="192">
        <f t="array" ref="D23">IFERROR(IF(13&gt;COUNTIF('DONNÉES BRUTES'!C$3:C$42,"Industrials"),"",INDEX('DONNÉES BRUTES'!B$3:B$42,MATCH(LARGE(IF('DONNÉES BRUTES'!C$3:C$42="Industrials",'DONNÉES BRUTES'!AB$3:AB$42+(ROW('DONNÉES BRUTES'!A$3:A$42)-ROW('DONNÉES BRUTES'!A$3))/1000,0),13),IF('DONNÉES BRUTES'!C$3:C$42="Industrials",'DONNÉES BRUTES'!AB$3:AB$42+(ROW('DONNÉES BRUTES'!A$3:A$42)-ROW('DONNÉES BRUTES'!A$3))/1000,0),0))),"—")</f>
        <v/>
      </c>
      <c r="E23" s="193">
        <f t="array" ref="E23">IFERROR(IF(13&gt;COUNTIF('DONNÉES BRUTES'!C$3:C$42,"Industrials"),"",INT(LARGE(IF('DONNÉES BRUTES'!C$3:C$42="Industrials",'DONNÉES BRUTES'!AB$3:AB$42+(ROW('DONNÉES BRUTES'!A$3:A$42)-ROW('DONNÉES BRUTES'!A$3))/1000,0),13))&amp;"/100"),"—")</f>
        <v/>
      </c>
      <c r="F23" s="191">
        <f t="array" ref="F23">IFERROR(IF(13&gt;COUNTIF('DONNÉES BRUTES'!C$3:C$42,"Industrials"),"",INDEX('DONNÉES BRUTES'!Y$3:Y$42,MATCH(LARGE(IF('DONNÉES BRUTES'!C$3:C$42="Industrials",'DONNÉES BRUTES'!AB$3:AB$42+(ROW('DONNÉES BRUTES'!A$3:A$42)-ROW('DONNÉES BRUTES'!A$3))/1000,0),13),IF('DONNÉES BRUTES'!C$3:C$42="Industrials",'DONNÉES BRUTES'!AB$3:AB$42+(ROW('DONNÉES BRUTES'!A$3:A$42)-ROW('DONNÉES BRUTES'!A$3))/1000,0),0))),"—")</f>
        <v/>
      </c>
      <c r="G23" s="191">
        <f t="array" ref="G23">IFERROR(IF(13&gt;COUNTIF('DONNÉES BRUTES'!C$3:C$42,"Industrials"),"",INDEX('DONNÉES BRUTES'!Z$3:Z$42,MATCH(LARGE(IF('DONNÉES BRUTES'!C$3:C$42="Industrials",'DONNÉES BRUTES'!AB$3:AB$42+(ROW('DONNÉES BRUTES'!A$3:A$42)-ROW('DONNÉES BRUTES'!A$3))/1000,0),13),IF('DONNÉES BRUTES'!C$3:C$42="Industrials",'DONNÉES BRUTES'!AB$3:AB$42+(ROW('DONNÉES BRUTES'!A$3:A$42)-ROW('DONNÉES BRUTES'!A$3))/1000,0),0))),"—")</f>
        <v/>
      </c>
      <c r="H23" s="191">
        <f t="array" ref="H23">IFERROR(IF(13&gt;COUNTIF('DONNÉES BRUTES'!C$3:C$42,"Industrials"),"",INDEX('DONNÉES BRUTES'!AA$3:AA$42,MATCH(LARGE(IF('DONNÉES BRUTES'!C$3:C$42="Industrials",'DONNÉES BRUTES'!AB$3:AB$42+(ROW('DONNÉES BRUTES'!A$3:A$42)-ROW('DONNÉES BRUTES'!A$3))/1000,0),13),IF('DONNÉES BRUTES'!C$3:C$42="Industrials",'DONNÉES BRUTES'!AB$3:AB$42+(ROW('DONNÉES BRUTES'!A$3:A$42)-ROW('DONNÉES BRUTES'!A$3))/1000,0),0))),"—")</f>
        <v/>
      </c>
      <c r="I23" s="191">
        <f t="array" ref="I23">IFERROR(IF(13&gt;COUNTIF('DONNÉES BRUTES'!C$3:C$42,"Industrials"),"",INDEX('DONNÉES BRUTES'!M$3:M$42,MATCH(LARGE(IF('DONNÉES BRUTES'!C$3:C$42="Industrials",'DONNÉES BRUTES'!AB$3:AB$42+(ROW('DONNÉES BRUTES'!A$3:A$42)-ROW('DONNÉES BRUTES'!A$3))/1000,0),13),IF('DONNÉES BRUTES'!C$3:C$42="Industrials",'DONNÉES BRUTES'!AB$3:AB$42+(ROW('DONNÉES BRUTES'!A$3:A$42)-ROW('DONNÉES BRUTES'!A$3))/1000,0),0))),"—")</f>
        <v/>
      </c>
      <c r="J23" s="191">
        <f t="array" ref="J23">IFERROR(IF(13&gt;COUNTIF('DONNÉES BRUTES'!C$3:C$42,"Industrials"),"",INDEX('DONNÉES BRUTES'!N$3:N$42,MATCH(LARGE(IF('DONNÉES BRUTES'!C$3:C$42="Industrials",'DONNÉES BRUTES'!AB$3:AB$42+(ROW('DONNÉES BRUTES'!A$3:A$42)-ROW('DONNÉES BRUTES'!A$3))/1000,0),13),IF('DONNÉES BRUTES'!C$3:C$42="Industrials",'DONNÉES BRUTES'!AB$3:AB$42+(ROW('DONNÉES BRUTES'!A$3:A$42)-ROW('DONNÉES BRUTES'!A$3))/1000,0),0))),"—")</f>
        <v/>
      </c>
      <c r="K23" s="191">
        <f t="array" ref="K23">IFERROR(IF(13&gt;COUNTIF('DONNÉES BRUTES'!C$3:C$42,"Industrials"),"",INDEX('DONNÉES BRUTES'!O$3:O$42,MATCH(LARGE(IF('DONNÉES BRUTES'!C$3:C$42="Industrials",'DONNÉES BRUTES'!AB$3:AB$42+(ROW('DONNÉES BRUTES'!A$3:A$42)-ROW('DONNÉES BRUTES'!A$3))/1000,0),13),IF('DONNÉES BRUTES'!C$3:C$42="Industrials",'DONNÉES BRUTES'!AB$3:AB$42+(ROW('DONNÉES BRUTES'!A$3:A$42)-ROW('DONNÉES BRUTES'!A$3))/1000,0),0))),"—")</f>
        <v/>
      </c>
      <c r="L23" s="191">
        <f t="array" ref="L23">IFERROR(IF(13&gt;COUNTIF('DONNÉES BRUTES'!C$3:C$42,"Industrials"),"",INDEX('DONNÉES BRUTES'!P$3:P$42,MATCH(LARGE(IF('DONNÉES BRUTES'!C$3:C$42="Industrials",'DONNÉES BRUTES'!AB$3:AB$42+(ROW('DONNÉES BRUTES'!A$3:A$42)-ROW('DONNÉES BRUTES'!A$3))/1000,0),13),IF('DONNÉES BRUTES'!C$3:C$42="Industrials",'DONNÉES BRUTES'!AB$3:AB$42+(ROW('DONNÉES BRUTES'!A$3:A$42)-ROW('DONNÉES BRUTES'!A$3))/1000,0),0))),"—")</f>
        <v/>
      </c>
      <c r="M23" s="191">
        <f t="array" ref="M23">IFERROR(IF(13&gt;COUNTIF('DONNÉES BRUTES'!C$3:C$42,"Industrials"),"",INDEX('DONNÉES BRUTES'!Q$3:Q$42,MATCH(LARGE(IF('DONNÉES BRUTES'!C$3:C$42="Industrials",'DONNÉES BRUTES'!AB$3:AB$42+(ROW('DONNÉES BRUTES'!A$3:A$42)-ROW('DONNÉES BRUTES'!A$3))/1000,0),13),IF('DONNÉES BRUTES'!C$3:C$42="Industrials",'DONNÉES BRUTES'!AB$3:AB$42+(ROW('DONNÉES BRUTES'!A$3:A$42)-ROW('DONNÉES BRUTES'!A$3))/1000,0),0))),"—")</f>
        <v/>
      </c>
      <c r="N23" s="191">
        <f t="array" ref="N23">IFERROR(IF(13&gt;COUNTIF('DONNÉES BRUTES'!C$3:C$42,"Industrials"),"",INDEX('DONNÉES BRUTES'!S$3:S$42,MATCH(LARGE(IF('DONNÉES BRUTES'!C$3:C$42="Industrials",'DONNÉES BRUTES'!AB$3:AB$42+(ROW('DONNÉES BRUTES'!A$3:A$42)-ROW('DONNÉES BRUTES'!A$3))/1000,0),13),IF('DONNÉES BRUTES'!C$3:C$42="Industrials",'DONNÉES BRUTES'!AB$3:AB$42+(ROW('DONNÉES BRUTES'!A$3:A$42)-ROW('DONNÉES BRUTES'!A$3))/1000,0),0))),"—")</f>
        <v/>
      </c>
      <c r="O23" s="191">
        <f t="array" ref="O23">IFERROR(IF(13&gt;COUNTIF('DONNÉES BRUTES'!C$3:C$42,"Industrials"),"",INDEX('DONNÉES BRUTES'!T$3:T$42,MATCH(LARGE(IF('DONNÉES BRUTES'!C$3:C$42="Industrials",'DONNÉES BRUTES'!AB$3:AB$42+(ROW('DONNÉES BRUTES'!A$3:A$42)-ROW('DONNÉES BRUTES'!A$3))/1000,0),13),IF('DONNÉES BRUTES'!C$3:C$42="Industrials",'DONNÉES BRUTES'!AB$3:AB$42+(ROW('DONNÉES BRUTES'!A$3:A$42)-ROW('DONNÉES BRUTES'!A$3))/1000,0),0))),"—")</f>
        <v/>
      </c>
      <c r="P23" s="194">
        <f t="array" ref="P23">IFERROR(IF(13&gt;COUNTIF('DONNÉES BRUTES'!C$3:C$42,"Industrials"),"",INDEX('DONNÉES BRUTES'!U$3:U$42,MATCH(LARGE(IF('DONNÉES BRUTES'!C$3:C$42="Industrials",'DONNÉES BRUTES'!AB$3:AB$42+(ROW('DONNÉES BRUTES'!A$3:A$42)-ROW('DONNÉES BRUTES'!A$3))/1000,0),13),IF('DONNÉES BRUTES'!C$3:C$42="Industrials",'DONNÉES BRUTES'!AB$3:AB$42+(ROW('DONNÉES BRUTES'!A$3:A$42)-ROW('DONNÉES BRUTES'!A$3))/1000,0),0))),"—")</f>
        <v/>
      </c>
      <c r="Q23">
        <f t="array" ref="Q23">IFERROR(IF(13&gt;COUNTIF('DONNÉES BRUTES'!C$3:C$42,"Industrials"),"",INDEX('DONNÉES BRUTES'!AD$3:AD$42,MATCH(LARGE(IF('DONNÉES BRUTES'!C$3:C$42="Industrials",'DONNÉES BRUTES'!AB$3:AB$42+(ROW('DONNÉES BRUTES'!A$3:A$42)-ROW('DONNÉES BRUTES'!A$3))/1000,0),13),IF('DONNÉES BRUTES'!C$3:C$42="Industrials",'DONNÉES BRUTES'!AB$3:AB$42+(ROW('DONNÉES BRUTES'!A$3:A$42)-ROW('DONNÉES BRUTES'!A$3))/1000,0),0))),"—")</f>
        <v/>
      </c>
    </row>
    <row r="24" ht="15.95" customHeight="1">
      <c r="A24" s="199" t="n"/>
      <c r="B24" s="196">
        <f>IF(14&gt;COUNTIF('DONNÉES BRUTES'!C$3:C$42,"Industrials"),"",14)</f>
        <v/>
      </c>
      <c r="C24" s="188">
        <f t="array" ref="C24">IFERROR(IF(14&gt;COUNTIF('DONNÉES BRUTES'!C$3:C$42,"Industrials"),"",INDEX('DONNÉES BRUTES'!A$3:A$42,MATCH(LARGE(IF('DONNÉES BRUTES'!C$3:C$42="Industrials",'DONNÉES BRUTES'!AB$3:AB$42+(ROW('DONNÉES BRUTES'!A$3:A$42)-ROW('DONNÉES BRUTES'!A$3))/1000,0),14),IF('DONNÉES BRUTES'!C$3:C$42="Industrials",'DONNÉES BRUTES'!AB$3:AB$42+(ROW('DONNÉES BRUTES'!A$3:A$42)-ROW('DONNÉES BRUTES'!A$3))/1000,0),0))),"—")</f>
        <v/>
      </c>
      <c r="D24" s="188">
        <f t="array" ref="D24">IFERROR(IF(14&gt;COUNTIF('DONNÉES BRUTES'!C$3:C$42,"Industrials"),"",INDEX('DONNÉES BRUTES'!B$3:B$42,MATCH(LARGE(IF('DONNÉES BRUTES'!C$3:C$42="Industrials",'DONNÉES BRUTES'!AB$3:AB$42+(ROW('DONNÉES BRUTES'!A$3:A$42)-ROW('DONNÉES BRUTES'!A$3))/1000,0),14),IF('DONNÉES BRUTES'!C$3:C$42="Industrials",'DONNÉES BRUTES'!AB$3:AB$42+(ROW('DONNÉES BRUTES'!A$3:A$42)-ROW('DONNÉES BRUTES'!A$3))/1000,0),0))),"—")</f>
        <v/>
      </c>
      <c r="E24" s="219">
        <f t="array" ref="E24">IFERROR(IF(14&gt;COUNTIF('DONNÉES BRUTES'!C$3:C$42,"Industrials"),"",INT(LARGE(IF('DONNÉES BRUTES'!C$3:C$42="Industrials",'DONNÉES BRUTES'!AB$3:AB$42+(ROW('DONNÉES BRUTES'!A$3:A$42)-ROW('DONNÉES BRUTES'!A$3))/1000,0),14))&amp;"/100"),"—")</f>
        <v/>
      </c>
      <c r="F24" s="208">
        <f t="array" ref="F24">IFERROR(IF(14&gt;COUNTIF('DONNÉES BRUTES'!C$3:C$42,"Industrials"),"",INDEX('DONNÉES BRUTES'!Y$3:Y$42,MATCH(LARGE(IF('DONNÉES BRUTES'!C$3:C$42="Industrials",'DONNÉES BRUTES'!AB$3:AB$42+(ROW('DONNÉES BRUTES'!A$3:A$42)-ROW('DONNÉES BRUTES'!A$3))/1000,0),14),IF('DONNÉES BRUTES'!C$3:C$42="Industrials",'DONNÉES BRUTES'!AB$3:AB$42+(ROW('DONNÉES BRUTES'!A$3:A$42)-ROW('DONNÉES BRUTES'!A$3))/1000,0),0))),"—")</f>
        <v/>
      </c>
      <c r="G24" s="208">
        <f t="array" ref="G24">IFERROR(IF(14&gt;COUNTIF('DONNÉES BRUTES'!C$3:C$42,"Industrials"),"",INDEX('DONNÉES BRUTES'!Z$3:Z$42,MATCH(LARGE(IF('DONNÉES BRUTES'!C$3:C$42="Industrials",'DONNÉES BRUTES'!AB$3:AB$42+(ROW('DONNÉES BRUTES'!A$3:A$42)-ROW('DONNÉES BRUTES'!A$3))/1000,0),14),IF('DONNÉES BRUTES'!C$3:C$42="Industrials",'DONNÉES BRUTES'!AB$3:AB$42+(ROW('DONNÉES BRUTES'!A$3:A$42)-ROW('DONNÉES BRUTES'!A$3))/1000,0),0))),"—")</f>
        <v/>
      </c>
      <c r="H24" s="208">
        <f t="array" ref="H24">IFERROR(IF(14&gt;COUNTIF('DONNÉES BRUTES'!C$3:C$42,"Industrials"),"",INDEX('DONNÉES BRUTES'!AA$3:AA$42,MATCH(LARGE(IF('DONNÉES BRUTES'!C$3:C$42="Industrials",'DONNÉES BRUTES'!AB$3:AB$42+(ROW('DONNÉES BRUTES'!A$3:A$42)-ROW('DONNÉES BRUTES'!A$3))/1000,0),14),IF('DONNÉES BRUTES'!C$3:C$42="Industrials",'DONNÉES BRUTES'!AB$3:AB$42+(ROW('DONNÉES BRUTES'!A$3:A$42)-ROW('DONNÉES BRUTES'!A$3))/1000,0),0))),"—")</f>
        <v/>
      </c>
      <c r="I24" s="208">
        <f t="array" ref="I24">IFERROR(IF(14&gt;COUNTIF('DONNÉES BRUTES'!C$3:C$42,"Industrials"),"",INDEX('DONNÉES BRUTES'!M$3:M$42,MATCH(LARGE(IF('DONNÉES BRUTES'!C$3:C$42="Industrials",'DONNÉES BRUTES'!AB$3:AB$42+(ROW('DONNÉES BRUTES'!A$3:A$42)-ROW('DONNÉES BRUTES'!A$3))/1000,0),14),IF('DONNÉES BRUTES'!C$3:C$42="Industrials",'DONNÉES BRUTES'!AB$3:AB$42+(ROW('DONNÉES BRUTES'!A$3:A$42)-ROW('DONNÉES BRUTES'!A$3))/1000,0),0))),"—")</f>
        <v/>
      </c>
      <c r="J24" s="208">
        <f t="array" ref="J24">IFERROR(IF(14&gt;COUNTIF('DONNÉES BRUTES'!C$3:C$42,"Industrials"),"",INDEX('DONNÉES BRUTES'!N$3:N$42,MATCH(LARGE(IF('DONNÉES BRUTES'!C$3:C$42="Industrials",'DONNÉES BRUTES'!AB$3:AB$42+(ROW('DONNÉES BRUTES'!A$3:A$42)-ROW('DONNÉES BRUTES'!A$3))/1000,0),14),IF('DONNÉES BRUTES'!C$3:C$42="Industrials",'DONNÉES BRUTES'!AB$3:AB$42+(ROW('DONNÉES BRUTES'!A$3:A$42)-ROW('DONNÉES BRUTES'!A$3))/1000,0),0))),"—")</f>
        <v/>
      </c>
      <c r="K24" s="211">
        <f t="array" ref="K24">IFERROR(IF(14&gt;COUNTIF('DONNÉES BRUTES'!C$3:C$42,"Industrials"),"",INDEX('DONNÉES BRUTES'!O$3:O$42,MATCH(LARGE(IF('DONNÉES BRUTES'!C$3:C$42="Industrials",'DONNÉES BRUTES'!AB$3:AB$42+(ROW('DONNÉES BRUTES'!A$3:A$42)-ROW('DONNÉES BRUTES'!A$3))/1000,0),14),IF('DONNÉES BRUTES'!C$3:C$42="Industrials",'DONNÉES BRUTES'!AB$3:AB$42+(ROW('DONNÉES BRUTES'!A$3:A$42)-ROW('DONNÉES BRUTES'!A$3))/1000,0),0))),"—")</f>
        <v/>
      </c>
      <c r="L24" s="211">
        <f t="array" ref="L24">IFERROR(IF(14&gt;COUNTIF('DONNÉES BRUTES'!C$3:C$42,"Industrials"),"",INDEX('DONNÉES BRUTES'!P$3:P$42,MATCH(LARGE(IF('DONNÉES BRUTES'!C$3:C$42="Industrials",'DONNÉES BRUTES'!AB$3:AB$42+(ROW('DONNÉES BRUTES'!A$3:A$42)-ROW('DONNÉES BRUTES'!A$3))/1000,0),14),IF('DONNÉES BRUTES'!C$3:C$42="Industrials",'DONNÉES BRUTES'!AB$3:AB$42+(ROW('DONNÉES BRUTES'!A$3:A$42)-ROW('DONNÉES BRUTES'!A$3))/1000,0),0))),"—")</f>
        <v/>
      </c>
      <c r="M24" s="208">
        <f t="array" ref="M24">IFERROR(IF(14&gt;COUNTIF('DONNÉES BRUTES'!C$3:C$42,"Industrials"),"",INDEX('DONNÉES BRUTES'!Q$3:Q$42,MATCH(LARGE(IF('DONNÉES BRUTES'!C$3:C$42="Industrials",'DONNÉES BRUTES'!AB$3:AB$42+(ROW('DONNÉES BRUTES'!A$3:A$42)-ROW('DONNÉES BRUTES'!A$3))/1000,0),14),IF('DONNÉES BRUTES'!C$3:C$42="Industrials",'DONNÉES BRUTES'!AB$3:AB$42+(ROW('DONNÉES BRUTES'!A$3:A$42)-ROW('DONNÉES BRUTES'!A$3))/1000,0),0))),"—")</f>
        <v/>
      </c>
      <c r="N24" s="187">
        <f t="array" ref="N24">IFERROR(IF(14&gt;COUNTIF('DONNÉES BRUTES'!C$3:C$42,"Industrials"),"",INDEX('DONNÉES BRUTES'!S$3:S$42,MATCH(LARGE(IF('DONNÉES BRUTES'!C$3:C$42="Industrials",'DONNÉES BRUTES'!AB$3:AB$42+(ROW('DONNÉES BRUTES'!A$3:A$42)-ROW('DONNÉES BRUTES'!A$3))/1000,0),14),IF('DONNÉES BRUTES'!C$3:C$42="Industrials",'DONNÉES BRUTES'!AB$3:AB$42+(ROW('DONNÉES BRUTES'!A$3:A$42)-ROW('DONNÉES BRUTES'!A$3))/1000,0),0))),"—")</f>
        <v/>
      </c>
      <c r="O24" s="187">
        <f t="array" ref="O24">IFERROR(IF(14&gt;COUNTIF('DONNÉES BRUTES'!C$3:C$42,"Industrials"),"",INDEX('DONNÉES BRUTES'!T$3:T$42,MATCH(LARGE(IF('DONNÉES BRUTES'!C$3:C$42="Industrials",'DONNÉES BRUTES'!AB$3:AB$42+(ROW('DONNÉES BRUTES'!A$3:A$42)-ROW('DONNÉES BRUTES'!A$3))/1000,0),14),IF('DONNÉES BRUTES'!C$3:C$42="Industrials",'DONNÉES BRUTES'!AB$3:AB$42+(ROW('DONNÉES BRUTES'!A$3:A$42)-ROW('DONNÉES BRUTES'!A$3))/1000,0),0))),"—")</f>
        <v/>
      </c>
      <c r="P24" s="190">
        <f t="array" ref="P24">IFERROR(IF(14&gt;COUNTIF('DONNÉES BRUTES'!C$3:C$42,"Industrials"),"",INDEX('DONNÉES BRUTES'!U$3:U$42,MATCH(LARGE(IF('DONNÉES BRUTES'!C$3:C$42="Industrials",'DONNÉES BRUTES'!AB$3:AB$42+(ROW('DONNÉES BRUTES'!A$3:A$42)-ROW('DONNÉES BRUTES'!A$3))/1000,0),14),IF('DONNÉES BRUTES'!C$3:C$42="Industrials",'DONNÉES BRUTES'!AB$3:AB$42+(ROW('DONNÉES BRUTES'!A$3:A$42)-ROW('DONNÉES BRUTES'!A$3))/1000,0),0))),"—")</f>
        <v/>
      </c>
      <c r="Q24">
        <f t="array" ref="Q24">IFERROR(IF(14&gt;COUNTIF('DONNÉES BRUTES'!C$3:C$42,"Industrials"),"",INDEX('DONNÉES BRUTES'!AD$3:AD$42,MATCH(LARGE(IF('DONNÉES BRUTES'!C$3:C$42="Industrials",'DONNÉES BRUTES'!AB$3:AB$42+(ROW('DONNÉES BRUTES'!A$3:A$42)-ROW('DONNÉES BRUTES'!A$3))/1000,0),14),IF('DONNÉES BRUTES'!C$3:C$42="Industrials",'DONNÉES BRUTES'!AB$3:AB$42+(ROW('DONNÉES BRUTES'!A$3:A$42)-ROW('DONNÉES BRUTES'!A$3))/1000,0),0))),"—")</f>
        <v/>
      </c>
    </row>
    <row r="25" ht="15.95" customHeight="1">
      <c r="A25" s="200" t="n"/>
      <c r="B25" s="197">
        <f>IF(15&gt;COUNTIF('DONNÉES BRUTES'!C$3:C$42,"Industrials"),"",15)</f>
        <v/>
      </c>
      <c r="C25" s="192">
        <f t="array" ref="C25">IFERROR(IF(15&gt;COUNTIF('DONNÉES BRUTES'!C$3:C$42,"Industrials"),"",INDEX('DONNÉES BRUTES'!A$3:A$42,MATCH(LARGE(IF('DONNÉES BRUTES'!C$3:C$42="Industrials",'DONNÉES BRUTES'!AB$3:AB$42+(ROW('DONNÉES BRUTES'!A$3:A$42)-ROW('DONNÉES BRUTES'!A$3))/1000,0),15),IF('DONNÉES BRUTES'!C$3:C$42="Industrials",'DONNÉES BRUTES'!AB$3:AB$42+(ROW('DONNÉES BRUTES'!A$3:A$42)-ROW('DONNÉES BRUTES'!A$3))/1000,0),0))),"—")</f>
        <v/>
      </c>
      <c r="D25" s="192">
        <f t="array" ref="D25">IFERROR(IF(15&gt;COUNTIF('DONNÉES BRUTES'!C$3:C$42,"Industrials"),"",INDEX('DONNÉES BRUTES'!B$3:B$42,MATCH(LARGE(IF('DONNÉES BRUTES'!C$3:C$42="Industrials",'DONNÉES BRUTES'!AB$3:AB$42+(ROW('DONNÉES BRUTES'!A$3:A$42)-ROW('DONNÉES BRUTES'!A$3))/1000,0),15),IF('DONNÉES BRUTES'!C$3:C$42="Industrials",'DONNÉES BRUTES'!AB$3:AB$42+(ROW('DONNÉES BRUTES'!A$3:A$42)-ROW('DONNÉES BRUTES'!A$3))/1000,0),0))),"—")</f>
        <v/>
      </c>
      <c r="E25" s="220">
        <f t="array" ref="E25">IFERROR(IF(15&gt;COUNTIF('DONNÉES BRUTES'!C$3:C$42,"Industrials"),"",INT(LARGE(IF('DONNÉES BRUTES'!C$3:C$42="Industrials",'DONNÉES BRUTES'!AB$3:AB$42+(ROW('DONNÉES BRUTES'!A$3:A$42)-ROW('DONNÉES BRUTES'!A$3))/1000,0),15))&amp;"/100"),"—")</f>
        <v/>
      </c>
      <c r="F25" s="206">
        <f t="array" ref="F25">IFERROR(IF(15&gt;COUNTIF('DONNÉES BRUTES'!C$3:C$42,"Industrials"),"",INDEX('DONNÉES BRUTES'!Y$3:Y$42,MATCH(LARGE(IF('DONNÉES BRUTES'!C$3:C$42="Industrials",'DONNÉES BRUTES'!AB$3:AB$42+(ROW('DONNÉES BRUTES'!A$3:A$42)-ROW('DONNÉES BRUTES'!A$3))/1000,0),15),IF('DONNÉES BRUTES'!C$3:C$42="Industrials",'DONNÉES BRUTES'!AB$3:AB$42+(ROW('DONNÉES BRUTES'!A$3:A$42)-ROW('DONNÉES BRUTES'!A$3))/1000,0),0))),"—")</f>
        <v/>
      </c>
      <c r="G25" s="206">
        <f t="array" ref="G25">IFERROR(IF(15&gt;COUNTIF('DONNÉES BRUTES'!C$3:C$42,"Industrials"),"",INDEX('DONNÉES BRUTES'!Z$3:Z$42,MATCH(LARGE(IF('DONNÉES BRUTES'!C$3:C$42="Industrials",'DONNÉES BRUTES'!AB$3:AB$42+(ROW('DONNÉES BRUTES'!A$3:A$42)-ROW('DONNÉES BRUTES'!A$3))/1000,0),15),IF('DONNÉES BRUTES'!C$3:C$42="Industrials",'DONNÉES BRUTES'!AB$3:AB$42+(ROW('DONNÉES BRUTES'!A$3:A$42)-ROW('DONNÉES BRUTES'!A$3))/1000,0),0))),"—")</f>
        <v/>
      </c>
      <c r="H25" s="206">
        <f t="array" ref="H25">IFERROR(IF(15&gt;COUNTIF('DONNÉES BRUTES'!C$3:C$42,"Industrials"),"",INDEX('DONNÉES BRUTES'!AA$3:AA$42,MATCH(LARGE(IF('DONNÉES BRUTES'!C$3:C$42="Industrials",'DONNÉES BRUTES'!AB$3:AB$42+(ROW('DONNÉES BRUTES'!A$3:A$42)-ROW('DONNÉES BRUTES'!A$3))/1000,0),15),IF('DONNÉES BRUTES'!C$3:C$42="Industrials",'DONNÉES BRUTES'!AB$3:AB$42+(ROW('DONNÉES BRUTES'!A$3:A$42)-ROW('DONNÉES BRUTES'!A$3))/1000,0),0))),"—")</f>
        <v/>
      </c>
      <c r="I25" s="206">
        <f t="array" ref="I25">IFERROR(IF(15&gt;COUNTIF('DONNÉES BRUTES'!C$3:C$42,"Industrials"),"",INDEX('DONNÉES BRUTES'!M$3:M$42,MATCH(LARGE(IF('DONNÉES BRUTES'!C$3:C$42="Industrials",'DONNÉES BRUTES'!AB$3:AB$42+(ROW('DONNÉES BRUTES'!A$3:A$42)-ROW('DONNÉES BRUTES'!A$3))/1000,0),15),IF('DONNÉES BRUTES'!C$3:C$42="Industrials",'DONNÉES BRUTES'!AB$3:AB$42+(ROW('DONNÉES BRUTES'!A$3:A$42)-ROW('DONNÉES BRUTES'!A$3))/1000,0),0))),"—")</f>
        <v/>
      </c>
      <c r="J25" s="206">
        <f t="array" ref="J25">IFERROR(IF(15&gt;COUNTIF('DONNÉES BRUTES'!C$3:C$42,"Industrials"),"",INDEX('DONNÉES BRUTES'!N$3:N$42,MATCH(LARGE(IF('DONNÉES BRUTES'!C$3:C$42="Industrials",'DONNÉES BRUTES'!AB$3:AB$42+(ROW('DONNÉES BRUTES'!A$3:A$42)-ROW('DONNÉES BRUTES'!A$3))/1000,0),15),IF('DONNÉES BRUTES'!C$3:C$42="Industrials",'DONNÉES BRUTES'!AB$3:AB$42+(ROW('DONNÉES BRUTES'!A$3:A$42)-ROW('DONNÉES BRUTES'!A$3))/1000,0),0))),"—")</f>
        <v/>
      </c>
      <c r="K25" s="206">
        <f t="array" ref="K25">IFERROR(IF(15&gt;COUNTIF('DONNÉES BRUTES'!C$3:C$42,"Industrials"),"",INDEX('DONNÉES BRUTES'!O$3:O$42,MATCH(LARGE(IF('DONNÉES BRUTES'!C$3:C$42="Industrials",'DONNÉES BRUTES'!AB$3:AB$42+(ROW('DONNÉES BRUTES'!A$3:A$42)-ROW('DONNÉES BRUTES'!A$3))/1000,0),15),IF('DONNÉES BRUTES'!C$3:C$42="Industrials",'DONNÉES BRUTES'!AB$3:AB$42+(ROW('DONNÉES BRUTES'!A$3:A$42)-ROW('DONNÉES BRUTES'!A$3))/1000,0),0))),"—")</f>
        <v/>
      </c>
      <c r="L25" s="206">
        <f t="array" ref="L25">IFERROR(IF(15&gt;COUNTIF('DONNÉES BRUTES'!C$3:C$42,"Industrials"),"",INDEX('DONNÉES BRUTES'!P$3:P$42,MATCH(LARGE(IF('DONNÉES BRUTES'!C$3:C$42="Industrials",'DONNÉES BRUTES'!AB$3:AB$42+(ROW('DONNÉES BRUTES'!A$3:A$42)-ROW('DONNÉES BRUTES'!A$3))/1000,0),15),IF('DONNÉES BRUTES'!C$3:C$42="Industrials",'DONNÉES BRUTES'!AB$3:AB$42+(ROW('DONNÉES BRUTES'!A$3:A$42)-ROW('DONNÉES BRUTES'!A$3))/1000,0),0))),"—")</f>
        <v/>
      </c>
      <c r="M25" s="206">
        <f t="array" ref="M25">IFERROR(IF(15&gt;COUNTIF('DONNÉES BRUTES'!C$3:C$42,"Industrials"),"",INDEX('DONNÉES BRUTES'!Q$3:Q$42,MATCH(LARGE(IF('DONNÉES BRUTES'!C$3:C$42="Industrials",'DONNÉES BRUTES'!AB$3:AB$42+(ROW('DONNÉES BRUTES'!A$3:A$42)-ROW('DONNÉES BRUTES'!A$3))/1000,0),15),IF('DONNÉES BRUTES'!C$3:C$42="Industrials",'DONNÉES BRUTES'!AB$3:AB$42+(ROW('DONNÉES BRUTES'!A$3:A$42)-ROW('DONNÉES BRUTES'!A$3))/1000,0),0))),"—")</f>
        <v/>
      </c>
      <c r="N25" s="191">
        <f t="array" ref="N25">IFERROR(IF(15&gt;COUNTIF('DONNÉES BRUTES'!C$3:C$42,"Industrials"),"",INDEX('DONNÉES BRUTES'!S$3:S$42,MATCH(LARGE(IF('DONNÉES BRUTES'!C$3:C$42="Industrials",'DONNÉES BRUTES'!AB$3:AB$42+(ROW('DONNÉES BRUTES'!A$3:A$42)-ROW('DONNÉES BRUTES'!A$3))/1000,0),15),IF('DONNÉES BRUTES'!C$3:C$42="Industrials",'DONNÉES BRUTES'!AB$3:AB$42+(ROW('DONNÉES BRUTES'!A$3:A$42)-ROW('DONNÉES BRUTES'!A$3))/1000,0),0))),"—")</f>
        <v/>
      </c>
      <c r="O25" s="191">
        <f t="array" ref="O25">IFERROR(IF(15&gt;COUNTIF('DONNÉES BRUTES'!C$3:C$42,"Industrials"),"",INDEX('DONNÉES BRUTES'!T$3:T$42,MATCH(LARGE(IF('DONNÉES BRUTES'!C$3:C$42="Industrials",'DONNÉES BRUTES'!AB$3:AB$42+(ROW('DONNÉES BRUTES'!A$3:A$42)-ROW('DONNÉES BRUTES'!A$3))/1000,0),15),IF('DONNÉES BRUTES'!C$3:C$42="Industrials",'DONNÉES BRUTES'!AB$3:AB$42+(ROW('DONNÉES BRUTES'!A$3:A$42)-ROW('DONNÉES BRUTES'!A$3))/1000,0),0))),"—")</f>
        <v/>
      </c>
      <c r="P25" s="194">
        <f t="array" ref="P25">IFERROR(IF(15&gt;COUNTIF('DONNÉES BRUTES'!C$3:C$42,"Industrials"),"",INDEX('DONNÉES BRUTES'!U$3:U$42,MATCH(LARGE(IF('DONNÉES BRUTES'!C$3:C$42="Industrials",'DONNÉES BRUTES'!AB$3:AB$42+(ROW('DONNÉES BRUTES'!A$3:A$42)-ROW('DONNÉES BRUTES'!A$3))/1000,0),15),IF('DONNÉES BRUTES'!C$3:C$42="Industrials",'DONNÉES BRUTES'!AB$3:AB$42+(ROW('DONNÉES BRUTES'!A$3:A$42)-ROW('DONNÉES BRUTES'!A$3))/1000,0),0))),"—")</f>
        <v/>
      </c>
      <c r="Q25">
        <f t="array" ref="Q25">IFERROR(IF(15&gt;COUNTIF('DONNÉES BRUTES'!C$3:C$42,"Industrials"),"",INDEX('DONNÉES BRUTES'!AD$3:AD$42,MATCH(LARGE(IF('DONNÉES BRUTES'!C$3:C$42="Industrials",'DONNÉES BRUTES'!AB$3:AB$42+(ROW('DONNÉES BRUTES'!A$3:A$42)-ROW('DONNÉES BRUTES'!A$3))/1000,0),15),IF('DONNÉES BRUTES'!C$3:C$42="Industrials",'DONNÉES BRUTES'!AB$3:AB$42+(ROW('DONNÉES BRUTES'!A$3:A$42)-ROW('DONNÉES BRUTES'!A$3))/1000,0),0))),"—")</f>
        <v/>
      </c>
    </row>
    <row r="26" ht="15.95" customHeight="1">
      <c r="A26" s="199" t="n"/>
      <c r="B26" s="196">
        <f>IF(16&gt;COUNTIF('DONNÉES BRUTES'!C$3:C$42,"Industrials"),"",16)</f>
        <v/>
      </c>
      <c r="C26" s="188">
        <f t="array" ref="C26">IFERROR(IF(16&gt;COUNTIF('DONNÉES BRUTES'!C$3:C$42,"Industrials"),"",INDEX('DONNÉES BRUTES'!A$3:A$42,MATCH(LARGE(IF('DONNÉES BRUTES'!C$3:C$42="Industrials",'DONNÉES BRUTES'!AB$3:AB$42+(ROW('DONNÉES BRUTES'!A$3:A$42)-ROW('DONNÉES BRUTES'!A$3))/1000,0),16),IF('DONNÉES BRUTES'!C$3:C$42="Industrials",'DONNÉES BRUTES'!AB$3:AB$42+(ROW('DONNÉES BRUTES'!A$3:A$42)-ROW('DONNÉES BRUTES'!A$3))/1000,0),0))),"—")</f>
        <v/>
      </c>
      <c r="D26" s="188">
        <f t="array" ref="D26">IFERROR(IF(16&gt;COUNTIF('DONNÉES BRUTES'!C$3:C$42,"Industrials"),"",INDEX('DONNÉES BRUTES'!B$3:B$42,MATCH(LARGE(IF('DONNÉES BRUTES'!C$3:C$42="Industrials",'DONNÉES BRUTES'!AB$3:AB$42+(ROW('DONNÉES BRUTES'!A$3:A$42)-ROW('DONNÉES BRUTES'!A$3))/1000,0),16),IF('DONNÉES BRUTES'!C$3:C$42="Industrials",'DONNÉES BRUTES'!AB$3:AB$42+(ROW('DONNÉES BRUTES'!A$3:A$42)-ROW('DONNÉES BRUTES'!A$3))/1000,0),0))),"—")</f>
        <v/>
      </c>
      <c r="E26" s="189">
        <f t="array" ref="E26">IFERROR(IF(16&gt;COUNTIF('DONNÉES BRUTES'!C$3:C$42,"Industrials"),"",INT(LARGE(IF('DONNÉES BRUTES'!C$3:C$42="Industrials",'DONNÉES BRUTES'!AB$3:AB$42+(ROW('DONNÉES BRUTES'!A$3:A$42)-ROW('DONNÉES BRUTES'!A$3))/1000,0),16))&amp;"/100"),"—")</f>
        <v/>
      </c>
      <c r="F26" s="187">
        <f t="array" ref="F26">IFERROR(IF(16&gt;COUNTIF('DONNÉES BRUTES'!C$3:C$42,"Industrials"),"",INDEX('DONNÉES BRUTES'!Y$3:Y$42,MATCH(LARGE(IF('DONNÉES BRUTES'!C$3:C$42="Industrials",'DONNÉES BRUTES'!AB$3:AB$42+(ROW('DONNÉES BRUTES'!A$3:A$42)-ROW('DONNÉES BRUTES'!A$3))/1000,0),16),IF('DONNÉES BRUTES'!C$3:C$42="Industrials",'DONNÉES BRUTES'!AB$3:AB$42+(ROW('DONNÉES BRUTES'!A$3:A$42)-ROW('DONNÉES BRUTES'!A$3))/1000,0),0))),"—")</f>
        <v/>
      </c>
      <c r="G26" s="187">
        <f t="array" ref="G26">IFERROR(IF(16&gt;COUNTIF('DONNÉES BRUTES'!C$3:C$42,"Industrials"),"",INDEX('DONNÉES BRUTES'!Z$3:Z$42,MATCH(LARGE(IF('DONNÉES BRUTES'!C$3:C$42="Industrials",'DONNÉES BRUTES'!AB$3:AB$42+(ROW('DONNÉES BRUTES'!A$3:A$42)-ROW('DONNÉES BRUTES'!A$3))/1000,0),16),IF('DONNÉES BRUTES'!C$3:C$42="Industrials",'DONNÉES BRUTES'!AB$3:AB$42+(ROW('DONNÉES BRUTES'!A$3:A$42)-ROW('DONNÉES BRUTES'!A$3))/1000,0),0))),"—")</f>
        <v/>
      </c>
      <c r="H26" s="187">
        <f t="array" ref="H26">IFERROR(IF(16&gt;COUNTIF('DONNÉES BRUTES'!C$3:C$42,"Industrials"),"",INDEX('DONNÉES BRUTES'!AA$3:AA$42,MATCH(LARGE(IF('DONNÉES BRUTES'!C$3:C$42="Industrials",'DONNÉES BRUTES'!AB$3:AB$42+(ROW('DONNÉES BRUTES'!A$3:A$42)-ROW('DONNÉES BRUTES'!A$3))/1000,0),16),IF('DONNÉES BRUTES'!C$3:C$42="Industrials",'DONNÉES BRUTES'!AB$3:AB$42+(ROW('DONNÉES BRUTES'!A$3:A$42)-ROW('DONNÉES BRUTES'!A$3))/1000,0),0))),"—")</f>
        <v/>
      </c>
      <c r="I26" s="187">
        <f t="array" ref="I26">IFERROR(IF(16&gt;COUNTIF('DONNÉES BRUTES'!C$3:C$42,"Industrials"),"",INDEX('DONNÉES BRUTES'!M$3:M$42,MATCH(LARGE(IF('DONNÉES BRUTES'!C$3:C$42="Industrials",'DONNÉES BRUTES'!AB$3:AB$42+(ROW('DONNÉES BRUTES'!A$3:A$42)-ROW('DONNÉES BRUTES'!A$3))/1000,0),16),IF('DONNÉES BRUTES'!C$3:C$42="Industrials",'DONNÉES BRUTES'!AB$3:AB$42+(ROW('DONNÉES BRUTES'!A$3:A$42)-ROW('DONNÉES BRUTES'!A$3))/1000,0),0))),"—")</f>
        <v/>
      </c>
      <c r="J26" s="187">
        <f t="array" ref="J26">IFERROR(IF(16&gt;COUNTIF('DONNÉES BRUTES'!C$3:C$42,"Industrials"),"",INDEX('DONNÉES BRUTES'!N$3:N$42,MATCH(LARGE(IF('DONNÉES BRUTES'!C$3:C$42="Industrials",'DONNÉES BRUTES'!AB$3:AB$42+(ROW('DONNÉES BRUTES'!A$3:A$42)-ROW('DONNÉES BRUTES'!A$3))/1000,0),16),IF('DONNÉES BRUTES'!C$3:C$42="Industrials",'DONNÉES BRUTES'!AB$3:AB$42+(ROW('DONNÉES BRUTES'!A$3:A$42)-ROW('DONNÉES BRUTES'!A$3))/1000,0),0))),"—")</f>
        <v/>
      </c>
      <c r="K26" s="187">
        <f t="array" ref="K26">IFERROR(IF(16&gt;COUNTIF('DONNÉES BRUTES'!C$3:C$42,"Industrials"),"",INDEX('DONNÉES BRUTES'!O$3:O$42,MATCH(LARGE(IF('DONNÉES BRUTES'!C$3:C$42="Industrials",'DONNÉES BRUTES'!AB$3:AB$42+(ROW('DONNÉES BRUTES'!A$3:A$42)-ROW('DONNÉES BRUTES'!A$3))/1000,0),16),IF('DONNÉES BRUTES'!C$3:C$42="Industrials",'DONNÉES BRUTES'!AB$3:AB$42+(ROW('DONNÉES BRUTES'!A$3:A$42)-ROW('DONNÉES BRUTES'!A$3))/1000,0),0))),"—")</f>
        <v/>
      </c>
      <c r="L26" s="187">
        <f t="array" ref="L26">IFERROR(IF(16&gt;COUNTIF('DONNÉES BRUTES'!C$3:C$42,"Industrials"),"",INDEX('DONNÉES BRUTES'!P$3:P$42,MATCH(LARGE(IF('DONNÉES BRUTES'!C$3:C$42="Industrials",'DONNÉES BRUTES'!AB$3:AB$42+(ROW('DONNÉES BRUTES'!A$3:A$42)-ROW('DONNÉES BRUTES'!A$3))/1000,0),16),IF('DONNÉES BRUTES'!C$3:C$42="Industrials",'DONNÉES BRUTES'!AB$3:AB$42+(ROW('DONNÉES BRUTES'!A$3:A$42)-ROW('DONNÉES BRUTES'!A$3))/1000,0),0))),"—")</f>
        <v/>
      </c>
      <c r="M26" s="187">
        <f t="array" ref="M26">IFERROR(IF(16&gt;COUNTIF('DONNÉES BRUTES'!C$3:C$42,"Industrials"),"",INDEX('DONNÉES BRUTES'!Q$3:Q$42,MATCH(LARGE(IF('DONNÉES BRUTES'!C$3:C$42="Industrials",'DONNÉES BRUTES'!AB$3:AB$42+(ROW('DONNÉES BRUTES'!A$3:A$42)-ROW('DONNÉES BRUTES'!A$3))/1000,0),16),IF('DONNÉES BRUTES'!C$3:C$42="Industrials",'DONNÉES BRUTES'!AB$3:AB$42+(ROW('DONNÉES BRUTES'!A$3:A$42)-ROW('DONNÉES BRUTES'!A$3))/1000,0),0))),"—")</f>
        <v/>
      </c>
      <c r="N26" s="187">
        <f t="array" ref="N26">IFERROR(IF(16&gt;COUNTIF('DONNÉES BRUTES'!C$3:C$42,"Industrials"),"",INDEX('DONNÉES BRUTES'!S$3:S$42,MATCH(LARGE(IF('DONNÉES BRUTES'!C$3:C$42="Industrials",'DONNÉES BRUTES'!AB$3:AB$42+(ROW('DONNÉES BRUTES'!A$3:A$42)-ROW('DONNÉES BRUTES'!A$3))/1000,0),16),IF('DONNÉES BRUTES'!C$3:C$42="Industrials",'DONNÉES BRUTES'!AB$3:AB$42+(ROW('DONNÉES BRUTES'!A$3:A$42)-ROW('DONNÉES BRUTES'!A$3))/1000,0),0))),"—")</f>
        <v/>
      </c>
      <c r="O26" s="187">
        <f t="array" ref="O26">IFERROR(IF(16&gt;COUNTIF('DONNÉES BRUTES'!C$3:C$42,"Industrials"),"",INDEX('DONNÉES BRUTES'!T$3:T$42,MATCH(LARGE(IF('DONNÉES BRUTES'!C$3:C$42="Industrials",'DONNÉES BRUTES'!AB$3:AB$42+(ROW('DONNÉES BRUTES'!A$3:A$42)-ROW('DONNÉES BRUTES'!A$3))/1000,0),16),IF('DONNÉES BRUTES'!C$3:C$42="Industrials",'DONNÉES BRUTES'!AB$3:AB$42+(ROW('DONNÉES BRUTES'!A$3:A$42)-ROW('DONNÉES BRUTES'!A$3))/1000,0),0))),"—")</f>
        <v/>
      </c>
      <c r="P26" s="190">
        <f t="array" ref="P26">IFERROR(IF(16&gt;COUNTIF('DONNÉES BRUTES'!C$3:C$42,"Industrials"),"",INDEX('DONNÉES BRUTES'!U$3:U$42,MATCH(LARGE(IF('DONNÉES BRUTES'!C$3:C$42="Industrials",'DONNÉES BRUTES'!AB$3:AB$42+(ROW('DONNÉES BRUTES'!A$3:A$42)-ROW('DONNÉES BRUTES'!A$3))/1000,0),16),IF('DONNÉES BRUTES'!C$3:C$42="Industrials",'DONNÉES BRUTES'!AB$3:AB$42+(ROW('DONNÉES BRUTES'!A$3:A$42)-ROW('DONNÉES BRUTES'!A$3))/1000,0),0))),"—")</f>
        <v/>
      </c>
      <c r="Q26">
        <f t="array" ref="Q26">IFERROR(IF(16&gt;COUNTIF('DONNÉES BRUTES'!C$3:C$42,"Industrials"),"",INDEX('DONNÉES BRUTES'!AD$3:AD$42,MATCH(LARGE(IF('DONNÉES BRUTES'!C$3:C$42="Industrials",'DONNÉES BRUTES'!AB$3:AB$42+(ROW('DONNÉES BRUTES'!A$3:A$42)-ROW('DONNÉES BRUTES'!A$3))/1000,0),16),IF('DONNÉES BRUTES'!C$3:C$42="Industrials",'DONNÉES BRUTES'!AB$3:AB$42+(ROW('DONNÉES BRUTES'!A$3:A$42)-ROW('DONNÉES BRUTES'!A$3))/1000,0),0))),"—")</f>
        <v/>
      </c>
    </row>
    <row r="27" ht="15.95" customHeight="1">
      <c r="A27" s="200" t="n"/>
      <c r="B27" s="197">
        <f>IF(17&gt;COUNTIF('DONNÉES BRUTES'!C$3:C$42,"Industrials"),"",17)</f>
        <v/>
      </c>
      <c r="C27" s="192">
        <f t="array" ref="C27">IFERROR(IF(17&gt;COUNTIF('DONNÉES BRUTES'!C$3:C$42,"Industrials"),"",INDEX('DONNÉES BRUTES'!A$3:A$42,MATCH(LARGE(IF('DONNÉES BRUTES'!C$3:C$42="Industrials",'DONNÉES BRUTES'!AB$3:AB$42+(ROW('DONNÉES BRUTES'!A$3:A$42)-ROW('DONNÉES BRUTES'!A$3))/1000,0),17),IF('DONNÉES BRUTES'!C$3:C$42="Industrials",'DONNÉES BRUTES'!AB$3:AB$42+(ROW('DONNÉES BRUTES'!A$3:A$42)-ROW('DONNÉES BRUTES'!A$3))/1000,0),0))),"—")</f>
        <v/>
      </c>
      <c r="D27" s="192">
        <f t="array" ref="D27">IFERROR(IF(17&gt;COUNTIF('DONNÉES BRUTES'!C$3:C$42,"Industrials"),"",INDEX('DONNÉES BRUTES'!B$3:B$42,MATCH(LARGE(IF('DONNÉES BRUTES'!C$3:C$42="Industrials",'DONNÉES BRUTES'!AB$3:AB$42+(ROW('DONNÉES BRUTES'!A$3:A$42)-ROW('DONNÉES BRUTES'!A$3))/1000,0),17),IF('DONNÉES BRUTES'!C$3:C$42="Industrials",'DONNÉES BRUTES'!AB$3:AB$42+(ROW('DONNÉES BRUTES'!A$3:A$42)-ROW('DONNÉES BRUTES'!A$3))/1000,0),0))),"—")</f>
        <v/>
      </c>
      <c r="E27" s="193">
        <f t="array" ref="E27">IFERROR(IF(17&gt;COUNTIF('DONNÉES BRUTES'!C$3:C$42,"Industrials"),"",INT(LARGE(IF('DONNÉES BRUTES'!C$3:C$42="Industrials",'DONNÉES BRUTES'!AB$3:AB$42+(ROW('DONNÉES BRUTES'!A$3:A$42)-ROW('DONNÉES BRUTES'!A$3))/1000,0),17))&amp;"/100"),"—")</f>
        <v/>
      </c>
      <c r="F27" s="191">
        <f t="array" ref="F27">IFERROR(IF(17&gt;COUNTIF('DONNÉES BRUTES'!C$3:C$42,"Industrials"),"",INDEX('DONNÉES BRUTES'!Y$3:Y$42,MATCH(LARGE(IF('DONNÉES BRUTES'!C$3:C$42="Industrials",'DONNÉES BRUTES'!AB$3:AB$42+(ROW('DONNÉES BRUTES'!A$3:A$42)-ROW('DONNÉES BRUTES'!A$3))/1000,0),17),IF('DONNÉES BRUTES'!C$3:C$42="Industrials",'DONNÉES BRUTES'!AB$3:AB$42+(ROW('DONNÉES BRUTES'!A$3:A$42)-ROW('DONNÉES BRUTES'!A$3))/1000,0),0))),"—")</f>
        <v/>
      </c>
      <c r="G27" s="191">
        <f t="array" ref="G27">IFERROR(IF(17&gt;COUNTIF('DONNÉES BRUTES'!C$3:C$42,"Industrials"),"",INDEX('DONNÉES BRUTES'!Z$3:Z$42,MATCH(LARGE(IF('DONNÉES BRUTES'!C$3:C$42="Industrials",'DONNÉES BRUTES'!AB$3:AB$42+(ROW('DONNÉES BRUTES'!A$3:A$42)-ROW('DONNÉES BRUTES'!A$3))/1000,0),17),IF('DONNÉES BRUTES'!C$3:C$42="Industrials",'DONNÉES BRUTES'!AB$3:AB$42+(ROW('DONNÉES BRUTES'!A$3:A$42)-ROW('DONNÉES BRUTES'!A$3))/1000,0),0))),"—")</f>
        <v/>
      </c>
      <c r="H27" s="191">
        <f t="array" ref="H27">IFERROR(IF(17&gt;COUNTIF('DONNÉES BRUTES'!C$3:C$42,"Industrials"),"",INDEX('DONNÉES BRUTES'!AA$3:AA$42,MATCH(LARGE(IF('DONNÉES BRUTES'!C$3:C$42="Industrials",'DONNÉES BRUTES'!AB$3:AB$42+(ROW('DONNÉES BRUTES'!A$3:A$42)-ROW('DONNÉES BRUTES'!A$3))/1000,0),17),IF('DONNÉES BRUTES'!C$3:C$42="Industrials",'DONNÉES BRUTES'!AB$3:AB$42+(ROW('DONNÉES BRUTES'!A$3:A$42)-ROW('DONNÉES BRUTES'!A$3))/1000,0),0))),"—")</f>
        <v/>
      </c>
      <c r="I27" s="191">
        <f t="array" ref="I27">IFERROR(IF(17&gt;COUNTIF('DONNÉES BRUTES'!C$3:C$42,"Industrials"),"",INDEX('DONNÉES BRUTES'!M$3:M$42,MATCH(LARGE(IF('DONNÉES BRUTES'!C$3:C$42="Industrials",'DONNÉES BRUTES'!AB$3:AB$42+(ROW('DONNÉES BRUTES'!A$3:A$42)-ROW('DONNÉES BRUTES'!A$3))/1000,0),17),IF('DONNÉES BRUTES'!C$3:C$42="Industrials",'DONNÉES BRUTES'!AB$3:AB$42+(ROW('DONNÉES BRUTES'!A$3:A$42)-ROW('DONNÉES BRUTES'!A$3))/1000,0),0))),"—")</f>
        <v/>
      </c>
      <c r="J27" s="191">
        <f t="array" ref="J27">IFERROR(IF(17&gt;COUNTIF('DONNÉES BRUTES'!C$3:C$42,"Industrials"),"",INDEX('DONNÉES BRUTES'!N$3:N$42,MATCH(LARGE(IF('DONNÉES BRUTES'!C$3:C$42="Industrials",'DONNÉES BRUTES'!AB$3:AB$42+(ROW('DONNÉES BRUTES'!A$3:A$42)-ROW('DONNÉES BRUTES'!A$3))/1000,0),17),IF('DONNÉES BRUTES'!C$3:C$42="Industrials",'DONNÉES BRUTES'!AB$3:AB$42+(ROW('DONNÉES BRUTES'!A$3:A$42)-ROW('DONNÉES BRUTES'!A$3))/1000,0),0))),"—")</f>
        <v/>
      </c>
      <c r="K27" s="191">
        <f t="array" ref="K27">IFERROR(IF(17&gt;COUNTIF('DONNÉES BRUTES'!C$3:C$42,"Industrials"),"",INDEX('DONNÉES BRUTES'!O$3:O$42,MATCH(LARGE(IF('DONNÉES BRUTES'!C$3:C$42="Industrials",'DONNÉES BRUTES'!AB$3:AB$42+(ROW('DONNÉES BRUTES'!A$3:A$42)-ROW('DONNÉES BRUTES'!A$3))/1000,0),17),IF('DONNÉES BRUTES'!C$3:C$42="Industrials",'DONNÉES BRUTES'!AB$3:AB$42+(ROW('DONNÉES BRUTES'!A$3:A$42)-ROW('DONNÉES BRUTES'!A$3))/1000,0),0))),"—")</f>
        <v/>
      </c>
      <c r="L27" s="191">
        <f t="array" ref="L27">IFERROR(IF(17&gt;COUNTIF('DONNÉES BRUTES'!C$3:C$42,"Industrials"),"",INDEX('DONNÉES BRUTES'!P$3:P$42,MATCH(LARGE(IF('DONNÉES BRUTES'!C$3:C$42="Industrials",'DONNÉES BRUTES'!AB$3:AB$42+(ROW('DONNÉES BRUTES'!A$3:A$42)-ROW('DONNÉES BRUTES'!A$3))/1000,0),17),IF('DONNÉES BRUTES'!C$3:C$42="Industrials",'DONNÉES BRUTES'!AB$3:AB$42+(ROW('DONNÉES BRUTES'!A$3:A$42)-ROW('DONNÉES BRUTES'!A$3))/1000,0),0))),"—")</f>
        <v/>
      </c>
      <c r="M27" s="191">
        <f t="array" ref="M27">IFERROR(IF(17&gt;COUNTIF('DONNÉES BRUTES'!C$3:C$42,"Industrials"),"",INDEX('DONNÉES BRUTES'!Q$3:Q$42,MATCH(LARGE(IF('DONNÉES BRUTES'!C$3:C$42="Industrials",'DONNÉES BRUTES'!AB$3:AB$42+(ROW('DONNÉES BRUTES'!A$3:A$42)-ROW('DONNÉES BRUTES'!A$3))/1000,0),17),IF('DONNÉES BRUTES'!C$3:C$42="Industrials",'DONNÉES BRUTES'!AB$3:AB$42+(ROW('DONNÉES BRUTES'!A$3:A$42)-ROW('DONNÉES BRUTES'!A$3))/1000,0),0))),"—")</f>
        <v/>
      </c>
      <c r="N27" s="191">
        <f t="array" ref="N27">IFERROR(IF(17&gt;COUNTIF('DONNÉES BRUTES'!C$3:C$42,"Industrials"),"",INDEX('DONNÉES BRUTES'!S$3:S$42,MATCH(LARGE(IF('DONNÉES BRUTES'!C$3:C$42="Industrials",'DONNÉES BRUTES'!AB$3:AB$42+(ROW('DONNÉES BRUTES'!A$3:A$42)-ROW('DONNÉES BRUTES'!A$3))/1000,0),17),IF('DONNÉES BRUTES'!C$3:C$42="Industrials",'DONNÉES BRUTES'!AB$3:AB$42+(ROW('DONNÉES BRUTES'!A$3:A$42)-ROW('DONNÉES BRUTES'!A$3))/1000,0),0))),"—")</f>
        <v/>
      </c>
      <c r="O27" s="191">
        <f t="array" ref="O27">IFERROR(IF(17&gt;COUNTIF('DONNÉES BRUTES'!C$3:C$42,"Industrials"),"",INDEX('DONNÉES BRUTES'!T$3:T$42,MATCH(LARGE(IF('DONNÉES BRUTES'!C$3:C$42="Industrials",'DONNÉES BRUTES'!AB$3:AB$42+(ROW('DONNÉES BRUTES'!A$3:A$42)-ROW('DONNÉES BRUTES'!A$3))/1000,0),17),IF('DONNÉES BRUTES'!C$3:C$42="Industrials",'DONNÉES BRUTES'!AB$3:AB$42+(ROW('DONNÉES BRUTES'!A$3:A$42)-ROW('DONNÉES BRUTES'!A$3))/1000,0),0))),"—")</f>
        <v/>
      </c>
      <c r="P27" s="194">
        <f t="array" ref="P27">IFERROR(IF(17&gt;COUNTIF('DONNÉES BRUTES'!C$3:C$42,"Industrials"),"",INDEX('DONNÉES BRUTES'!U$3:U$42,MATCH(LARGE(IF('DONNÉES BRUTES'!C$3:C$42="Industrials",'DONNÉES BRUTES'!AB$3:AB$42+(ROW('DONNÉES BRUTES'!A$3:A$42)-ROW('DONNÉES BRUTES'!A$3))/1000,0),17),IF('DONNÉES BRUTES'!C$3:C$42="Industrials",'DONNÉES BRUTES'!AB$3:AB$42+(ROW('DONNÉES BRUTES'!A$3:A$42)-ROW('DONNÉES BRUTES'!A$3))/1000,0),0))),"—")</f>
        <v/>
      </c>
      <c r="Q27">
        <f t="array" ref="Q27">IFERROR(IF(17&gt;COUNTIF('DONNÉES BRUTES'!C$3:C$42,"Industrials"),"",INDEX('DONNÉES BRUTES'!AD$3:AD$42,MATCH(LARGE(IF('DONNÉES BRUTES'!C$3:C$42="Industrials",'DONNÉES BRUTES'!AB$3:AB$42+(ROW('DONNÉES BRUTES'!A$3:A$42)-ROW('DONNÉES BRUTES'!A$3))/1000,0),17),IF('DONNÉES BRUTES'!C$3:C$42="Industrials",'DONNÉES BRUTES'!AB$3:AB$42+(ROW('DONNÉES BRUTES'!A$3:A$42)-ROW('DONNÉES BRUTES'!A$3))/1000,0),0))),"—")</f>
        <v/>
      </c>
    </row>
    <row r="28" ht="15.95" customHeight="1">
      <c r="A28" s="199" t="n"/>
      <c r="B28" s="196">
        <f>IF(18&gt;COUNTIF('DONNÉES BRUTES'!C$3:C$42,"Industrials"),"",18)</f>
        <v/>
      </c>
      <c r="C28" s="188">
        <f t="array" ref="C28">IFERROR(IF(18&gt;COUNTIF('DONNÉES BRUTES'!C$3:C$42,"Industrials"),"",INDEX('DONNÉES BRUTES'!A$3:A$42,MATCH(LARGE(IF('DONNÉES BRUTES'!C$3:C$42="Industrials",'DONNÉES BRUTES'!AB$3:AB$42+(ROW('DONNÉES BRUTES'!A$3:A$42)-ROW('DONNÉES BRUTES'!A$3))/1000,0),18),IF('DONNÉES BRUTES'!C$3:C$42="Industrials",'DONNÉES BRUTES'!AB$3:AB$42+(ROW('DONNÉES BRUTES'!A$3:A$42)-ROW('DONNÉES BRUTES'!A$3))/1000,0),0))),"—")</f>
        <v/>
      </c>
      <c r="D28" s="188">
        <f t="array" ref="D28">IFERROR(IF(18&gt;COUNTIF('DONNÉES BRUTES'!C$3:C$42,"Industrials"),"",INDEX('DONNÉES BRUTES'!B$3:B$42,MATCH(LARGE(IF('DONNÉES BRUTES'!C$3:C$42="Industrials",'DONNÉES BRUTES'!AB$3:AB$42+(ROW('DONNÉES BRUTES'!A$3:A$42)-ROW('DONNÉES BRUTES'!A$3))/1000,0),18),IF('DONNÉES BRUTES'!C$3:C$42="Industrials",'DONNÉES BRUTES'!AB$3:AB$42+(ROW('DONNÉES BRUTES'!A$3:A$42)-ROW('DONNÉES BRUTES'!A$3))/1000,0),0))),"—")</f>
        <v/>
      </c>
      <c r="E28" s="189">
        <f t="array" ref="E28">IFERROR(IF(18&gt;COUNTIF('DONNÉES BRUTES'!C$3:C$42,"Industrials"),"",INT(LARGE(IF('DONNÉES BRUTES'!C$3:C$42="Industrials",'DONNÉES BRUTES'!AB$3:AB$42+(ROW('DONNÉES BRUTES'!A$3:A$42)-ROW('DONNÉES BRUTES'!A$3))/1000,0),18))&amp;"/100"),"—")</f>
        <v/>
      </c>
      <c r="F28" s="187">
        <f t="array" ref="F28">IFERROR(IF(18&gt;COUNTIF('DONNÉES BRUTES'!C$3:C$42,"Industrials"),"",INDEX('DONNÉES BRUTES'!Y$3:Y$42,MATCH(LARGE(IF('DONNÉES BRUTES'!C$3:C$42="Industrials",'DONNÉES BRUTES'!AB$3:AB$42+(ROW('DONNÉES BRUTES'!A$3:A$42)-ROW('DONNÉES BRUTES'!A$3))/1000,0),18),IF('DONNÉES BRUTES'!C$3:C$42="Industrials",'DONNÉES BRUTES'!AB$3:AB$42+(ROW('DONNÉES BRUTES'!A$3:A$42)-ROW('DONNÉES BRUTES'!A$3))/1000,0),0))),"—")</f>
        <v/>
      </c>
      <c r="G28" s="187">
        <f t="array" ref="G28">IFERROR(IF(18&gt;COUNTIF('DONNÉES BRUTES'!C$3:C$42,"Industrials"),"",INDEX('DONNÉES BRUTES'!Z$3:Z$42,MATCH(LARGE(IF('DONNÉES BRUTES'!C$3:C$42="Industrials",'DONNÉES BRUTES'!AB$3:AB$42+(ROW('DONNÉES BRUTES'!A$3:A$42)-ROW('DONNÉES BRUTES'!A$3))/1000,0),18),IF('DONNÉES BRUTES'!C$3:C$42="Industrials",'DONNÉES BRUTES'!AB$3:AB$42+(ROW('DONNÉES BRUTES'!A$3:A$42)-ROW('DONNÉES BRUTES'!A$3))/1000,0),0))),"—")</f>
        <v/>
      </c>
      <c r="H28" s="187">
        <f t="array" ref="H28">IFERROR(IF(18&gt;COUNTIF('DONNÉES BRUTES'!C$3:C$42,"Industrials"),"",INDEX('DONNÉES BRUTES'!AA$3:AA$42,MATCH(LARGE(IF('DONNÉES BRUTES'!C$3:C$42="Industrials",'DONNÉES BRUTES'!AB$3:AB$42+(ROW('DONNÉES BRUTES'!A$3:A$42)-ROW('DONNÉES BRUTES'!A$3))/1000,0),18),IF('DONNÉES BRUTES'!C$3:C$42="Industrials",'DONNÉES BRUTES'!AB$3:AB$42+(ROW('DONNÉES BRUTES'!A$3:A$42)-ROW('DONNÉES BRUTES'!A$3))/1000,0),0))),"—")</f>
        <v/>
      </c>
      <c r="I28" s="187">
        <f t="array" ref="I28">IFERROR(IF(18&gt;COUNTIF('DONNÉES BRUTES'!C$3:C$42,"Industrials"),"",INDEX('DONNÉES BRUTES'!M$3:M$42,MATCH(LARGE(IF('DONNÉES BRUTES'!C$3:C$42="Industrials",'DONNÉES BRUTES'!AB$3:AB$42+(ROW('DONNÉES BRUTES'!A$3:A$42)-ROW('DONNÉES BRUTES'!A$3))/1000,0),18),IF('DONNÉES BRUTES'!C$3:C$42="Industrials",'DONNÉES BRUTES'!AB$3:AB$42+(ROW('DONNÉES BRUTES'!A$3:A$42)-ROW('DONNÉES BRUTES'!A$3))/1000,0),0))),"—")</f>
        <v/>
      </c>
      <c r="J28" s="187">
        <f t="array" ref="J28">IFERROR(IF(18&gt;COUNTIF('DONNÉES BRUTES'!C$3:C$42,"Industrials"),"",INDEX('DONNÉES BRUTES'!N$3:N$42,MATCH(LARGE(IF('DONNÉES BRUTES'!C$3:C$42="Industrials",'DONNÉES BRUTES'!AB$3:AB$42+(ROW('DONNÉES BRUTES'!A$3:A$42)-ROW('DONNÉES BRUTES'!A$3))/1000,0),18),IF('DONNÉES BRUTES'!C$3:C$42="Industrials",'DONNÉES BRUTES'!AB$3:AB$42+(ROW('DONNÉES BRUTES'!A$3:A$42)-ROW('DONNÉES BRUTES'!A$3))/1000,0),0))),"—")</f>
        <v/>
      </c>
      <c r="K28" s="187">
        <f t="array" ref="K28">IFERROR(IF(18&gt;COUNTIF('DONNÉES BRUTES'!C$3:C$42,"Industrials"),"",INDEX('DONNÉES BRUTES'!O$3:O$42,MATCH(LARGE(IF('DONNÉES BRUTES'!C$3:C$42="Industrials",'DONNÉES BRUTES'!AB$3:AB$42+(ROW('DONNÉES BRUTES'!A$3:A$42)-ROW('DONNÉES BRUTES'!A$3))/1000,0),18),IF('DONNÉES BRUTES'!C$3:C$42="Industrials",'DONNÉES BRUTES'!AB$3:AB$42+(ROW('DONNÉES BRUTES'!A$3:A$42)-ROW('DONNÉES BRUTES'!A$3))/1000,0),0))),"—")</f>
        <v/>
      </c>
      <c r="L28" s="187">
        <f t="array" ref="L28">IFERROR(IF(18&gt;COUNTIF('DONNÉES BRUTES'!C$3:C$42,"Industrials"),"",INDEX('DONNÉES BRUTES'!P$3:P$42,MATCH(LARGE(IF('DONNÉES BRUTES'!C$3:C$42="Industrials",'DONNÉES BRUTES'!AB$3:AB$42+(ROW('DONNÉES BRUTES'!A$3:A$42)-ROW('DONNÉES BRUTES'!A$3))/1000,0),18),IF('DONNÉES BRUTES'!C$3:C$42="Industrials",'DONNÉES BRUTES'!AB$3:AB$42+(ROW('DONNÉES BRUTES'!A$3:A$42)-ROW('DONNÉES BRUTES'!A$3))/1000,0),0))),"—")</f>
        <v/>
      </c>
      <c r="M28" s="187">
        <f t="array" ref="M28">IFERROR(IF(18&gt;COUNTIF('DONNÉES BRUTES'!C$3:C$42,"Industrials"),"",INDEX('DONNÉES BRUTES'!Q$3:Q$42,MATCH(LARGE(IF('DONNÉES BRUTES'!C$3:C$42="Industrials",'DONNÉES BRUTES'!AB$3:AB$42+(ROW('DONNÉES BRUTES'!A$3:A$42)-ROW('DONNÉES BRUTES'!A$3))/1000,0),18),IF('DONNÉES BRUTES'!C$3:C$42="Industrials",'DONNÉES BRUTES'!AB$3:AB$42+(ROW('DONNÉES BRUTES'!A$3:A$42)-ROW('DONNÉES BRUTES'!A$3))/1000,0),0))),"—")</f>
        <v/>
      </c>
      <c r="N28" s="187">
        <f t="array" ref="N28">IFERROR(IF(18&gt;COUNTIF('DONNÉES BRUTES'!C$3:C$42,"Industrials"),"",INDEX('DONNÉES BRUTES'!S$3:S$42,MATCH(LARGE(IF('DONNÉES BRUTES'!C$3:C$42="Industrials",'DONNÉES BRUTES'!AB$3:AB$42+(ROW('DONNÉES BRUTES'!A$3:A$42)-ROW('DONNÉES BRUTES'!A$3))/1000,0),18),IF('DONNÉES BRUTES'!C$3:C$42="Industrials",'DONNÉES BRUTES'!AB$3:AB$42+(ROW('DONNÉES BRUTES'!A$3:A$42)-ROW('DONNÉES BRUTES'!A$3))/1000,0),0))),"—")</f>
        <v/>
      </c>
      <c r="O28" s="187">
        <f t="array" ref="O28">IFERROR(IF(18&gt;COUNTIF('DONNÉES BRUTES'!C$3:C$42,"Industrials"),"",INDEX('DONNÉES BRUTES'!T$3:T$42,MATCH(LARGE(IF('DONNÉES BRUTES'!C$3:C$42="Industrials",'DONNÉES BRUTES'!AB$3:AB$42+(ROW('DONNÉES BRUTES'!A$3:A$42)-ROW('DONNÉES BRUTES'!A$3))/1000,0),18),IF('DONNÉES BRUTES'!C$3:C$42="Industrials",'DONNÉES BRUTES'!AB$3:AB$42+(ROW('DONNÉES BRUTES'!A$3:A$42)-ROW('DONNÉES BRUTES'!A$3))/1000,0),0))),"—")</f>
        <v/>
      </c>
      <c r="P28" s="190">
        <f t="array" ref="P28">IFERROR(IF(18&gt;COUNTIF('DONNÉES BRUTES'!C$3:C$42,"Industrials"),"",INDEX('DONNÉES BRUTES'!U$3:U$42,MATCH(LARGE(IF('DONNÉES BRUTES'!C$3:C$42="Industrials",'DONNÉES BRUTES'!AB$3:AB$42+(ROW('DONNÉES BRUTES'!A$3:A$42)-ROW('DONNÉES BRUTES'!A$3))/1000,0),18),IF('DONNÉES BRUTES'!C$3:C$42="Industrials",'DONNÉES BRUTES'!AB$3:AB$42+(ROW('DONNÉES BRUTES'!A$3:A$42)-ROW('DONNÉES BRUTES'!A$3))/1000,0),0))),"—")</f>
        <v/>
      </c>
      <c r="Q28">
        <f t="array" ref="Q28">IFERROR(IF(18&gt;COUNTIF('DONNÉES BRUTES'!C$3:C$42,"Industrials"),"",INDEX('DONNÉES BRUTES'!AD$3:AD$42,MATCH(LARGE(IF('DONNÉES BRUTES'!C$3:C$42="Industrials",'DONNÉES BRUTES'!AB$3:AB$42+(ROW('DONNÉES BRUTES'!A$3:A$42)-ROW('DONNÉES BRUTES'!A$3))/1000,0),18),IF('DONNÉES BRUTES'!C$3:C$42="Industrials",'DONNÉES BRUTES'!AB$3:AB$42+(ROW('DONNÉES BRUTES'!A$3:A$42)-ROW('DONNÉES BRUTES'!A$3))/1000,0),0))),"—")</f>
        <v/>
      </c>
      <c r="S28" t="inlineStr">
        <is>
          <t>Société</t>
        </is>
      </c>
      <c r="T28" t="inlineStr">
        <is>
          <t>Score</t>
        </is>
      </c>
      <c r="U28" t="inlineStr">
        <is>
          <t>Growth</t>
        </is>
      </c>
      <c r="V28" t="inlineStr">
        <is>
          <t>Quality</t>
        </is>
      </c>
      <c r="W28" t="inlineStr">
        <is>
          <t>Momentum</t>
        </is>
      </c>
      <c r="X28" t="inlineStr">
        <is>
          <t>Growth</t>
        </is>
      </c>
      <c r="Y28" t="inlineStr">
        <is>
          <t>Quality</t>
        </is>
      </c>
      <c r="Z28" t="inlineStr">
        <is>
          <t>Momentum</t>
        </is>
      </c>
    </row>
    <row r="29" ht="15.95" customHeight="1">
      <c r="A29" s="200" t="n"/>
      <c r="B29" s="197">
        <f>IF(19&gt;COUNTIF('DONNÉES BRUTES'!C$3:C$42,"Industrials"),"",19)</f>
        <v/>
      </c>
      <c r="C29" s="192">
        <f t="array" ref="C29">IFERROR(IF(19&gt;COUNTIF('DONNÉES BRUTES'!C$3:C$42,"Industrials"),"",INDEX('DONNÉES BRUTES'!A$3:A$42,MATCH(LARGE(IF('DONNÉES BRUTES'!C$3:C$42="Industrials",'DONNÉES BRUTES'!AB$3:AB$42+(ROW('DONNÉES BRUTES'!A$3:A$42)-ROW('DONNÉES BRUTES'!A$3))/1000,0),19),IF('DONNÉES BRUTES'!C$3:C$42="Industrials",'DONNÉES BRUTES'!AB$3:AB$42+(ROW('DONNÉES BRUTES'!A$3:A$42)-ROW('DONNÉES BRUTES'!A$3))/1000,0),0))),"—")</f>
        <v/>
      </c>
      <c r="D29" s="192">
        <f t="array" ref="D29">IFERROR(IF(19&gt;COUNTIF('DONNÉES BRUTES'!C$3:C$42,"Industrials"),"",INDEX('DONNÉES BRUTES'!B$3:B$42,MATCH(LARGE(IF('DONNÉES BRUTES'!C$3:C$42="Industrials",'DONNÉES BRUTES'!AB$3:AB$42+(ROW('DONNÉES BRUTES'!A$3:A$42)-ROW('DONNÉES BRUTES'!A$3))/1000,0),19),IF('DONNÉES BRUTES'!C$3:C$42="Industrials",'DONNÉES BRUTES'!AB$3:AB$42+(ROW('DONNÉES BRUTES'!A$3:A$42)-ROW('DONNÉES BRUTES'!A$3))/1000,0),0))),"—")</f>
        <v/>
      </c>
      <c r="E29" s="193">
        <f t="array" ref="E29">IFERROR(IF(19&gt;COUNTIF('DONNÉES BRUTES'!C$3:C$42,"Industrials"),"",INT(LARGE(IF('DONNÉES BRUTES'!C$3:C$42="Industrials",'DONNÉES BRUTES'!AB$3:AB$42+(ROW('DONNÉES BRUTES'!A$3:A$42)-ROW('DONNÉES BRUTES'!A$3))/1000,0),19))&amp;"/100"),"—")</f>
        <v/>
      </c>
      <c r="F29" s="191">
        <f t="array" ref="F29">IFERROR(IF(19&gt;COUNTIF('DONNÉES BRUTES'!C$3:C$42,"Industrials"),"",INDEX('DONNÉES BRUTES'!Y$3:Y$42,MATCH(LARGE(IF('DONNÉES BRUTES'!C$3:C$42="Industrials",'DONNÉES BRUTES'!AB$3:AB$42+(ROW('DONNÉES BRUTES'!A$3:A$42)-ROW('DONNÉES BRUTES'!A$3))/1000,0),19),IF('DONNÉES BRUTES'!C$3:C$42="Industrials",'DONNÉES BRUTES'!AB$3:AB$42+(ROW('DONNÉES BRUTES'!A$3:A$42)-ROW('DONNÉES BRUTES'!A$3))/1000,0),0))),"—")</f>
        <v/>
      </c>
      <c r="G29" s="191">
        <f t="array" ref="G29">IFERROR(IF(19&gt;COUNTIF('DONNÉES BRUTES'!C$3:C$42,"Industrials"),"",INDEX('DONNÉES BRUTES'!Z$3:Z$42,MATCH(LARGE(IF('DONNÉES BRUTES'!C$3:C$42="Industrials",'DONNÉES BRUTES'!AB$3:AB$42+(ROW('DONNÉES BRUTES'!A$3:A$42)-ROW('DONNÉES BRUTES'!A$3))/1000,0),19),IF('DONNÉES BRUTES'!C$3:C$42="Industrials",'DONNÉES BRUTES'!AB$3:AB$42+(ROW('DONNÉES BRUTES'!A$3:A$42)-ROW('DONNÉES BRUTES'!A$3))/1000,0),0))),"—")</f>
        <v/>
      </c>
      <c r="H29" s="191">
        <f t="array" ref="H29">IFERROR(IF(19&gt;COUNTIF('DONNÉES BRUTES'!C$3:C$42,"Industrials"),"",INDEX('DONNÉES BRUTES'!AA$3:AA$42,MATCH(LARGE(IF('DONNÉES BRUTES'!C$3:C$42="Industrials",'DONNÉES BRUTES'!AB$3:AB$42+(ROW('DONNÉES BRUTES'!A$3:A$42)-ROW('DONNÉES BRUTES'!A$3))/1000,0),19),IF('DONNÉES BRUTES'!C$3:C$42="Industrials",'DONNÉES BRUTES'!AB$3:AB$42+(ROW('DONNÉES BRUTES'!A$3:A$42)-ROW('DONNÉES BRUTES'!A$3))/1000,0),0))),"—")</f>
        <v/>
      </c>
      <c r="I29" s="191">
        <f t="array" ref="I29">IFERROR(IF(19&gt;COUNTIF('DONNÉES BRUTES'!C$3:C$42,"Industrials"),"",INDEX('DONNÉES BRUTES'!M$3:M$42,MATCH(LARGE(IF('DONNÉES BRUTES'!C$3:C$42="Industrials",'DONNÉES BRUTES'!AB$3:AB$42+(ROW('DONNÉES BRUTES'!A$3:A$42)-ROW('DONNÉES BRUTES'!A$3))/1000,0),19),IF('DONNÉES BRUTES'!C$3:C$42="Industrials",'DONNÉES BRUTES'!AB$3:AB$42+(ROW('DONNÉES BRUTES'!A$3:A$42)-ROW('DONNÉES BRUTES'!A$3))/1000,0),0))),"—")</f>
        <v/>
      </c>
      <c r="J29" s="191">
        <f t="array" ref="J29">IFERROR(IF(19&gt;COUNTIF('DONNÉES BRUTES'!C$3:C$42,"Industrials"),"",INDEX('DONNÉES BRUTES'!N$3:N$42,MATCH(LARGE(IF('DONNÉES BRUTES'!C$3:C$42="Industrials",'DONNÉES BRUTES'!AB$3:AB$42+(ROW('DONNÉES BRUTES'!A$3:A$42)-ROW('DONNÉES BRUTES'!A$3))/1000,0),19),IF('DONNÉES BRUTES'!C$3:C$42="Industrials",'DONNÉES BRUTES'!AB$3:AB$42+(ROW('DONNÉES BRUTES'!A$3:A$42)-ROW('DONNÉES BRUTES'!A$3))/1000,0),0))),"—")</f>
        <v/>
      </c>
      <c r="K29" s="191">
        <f t="array" ref="K29">IFERROR(IF(19&gt;COUNTIF('DONNÉES BRUTES'!C$3:C$42,"Industrials"),"",INDEX('DONNÉES BRUTES'!O$3:O$42,MATCH(LARGE(IF('DONNÉES BRUTES'!C$3:C$42="Industrials",'DONNÉES BRUTES'!AB$3:AB$42+(ROW('DONNÉES BRUTES'!A$3:A$42)-ROW('DONNÉES BRUTES'!A$3))/1000,0),19),IF('DONNÉES BRUTES'!C$3:C$42="Industrials",'DONNÉES BRUTES'!AB$3:AB$42+(ROW('DONNÉES BRUTES'!A$3:A$42)-ROW('DONNÉES BRUTES'!A$3))/1000,0),0))),"—")</f>
        <v/>
      </c>
      <c r="L29" s="191">
        <f t="array" ref="L29">IFERROR(IF(19&gt;COUNTIF('DONNÉES BRUTES'!C$3:C$42,"Industrials"),"",INDEX('DONNÉES BRUTES'!P$3:P$42,MATCH(LARGE(IF('DONNÉES BRUTES'!C$3:C$42="Industrials",'DONNÉES BRUTES'!AB$3:AB$42+(ROW('DONNÉES BRUTES'!A$3:A$42)-ROW('DONNÉES BRUTES'!A$3))/1000,0),19),IF('DONNÉES BRUTES'!C$3:C$42="Industrials",'DONNÉES BRUTES'!AB$3:AB$42+(ROW('DONNÉES BRUTES'!A$3:A$42)-ROW('DONNÉES BRUTES'!A$3))/1000,0),0))),"—")</f>
        <v/>
      </c>
      <c r="M29" s="191">
        <f t="array" ref="M29">IFERROR(IF(19&gt;COUNTIF('DONNÉES BRUTES'!C$3:C$42,"Industrials"),"",INDEX('DONNÉES BRUTES'!Q$3:Q$42,MATCH(LARGE(IF('DONNÉES BRUTES'!C$3:C$42="Industrials",'DONNÉES BRUTES'!AB$3:AB$42+(ROW('DONNÉES BRUTES'!A$3:A$42)-ROW('DONNÉES BRUTES'!A$3))/1000,0),19),IF('DONNÉES BRUTES'!C$3:C$42="Industrials",'DONNÉES BRUTES'!AB$3:AB$42+(ROW('DONNÉES BRUTES'!A$3:A$42)-ROW('DONNÉES BRUTES'!A$3))/1000,0),0))),"—")</f>
        <v/>
      </c>
      <c r="N29" s="191">
        <f t="array" ref="N29">IFERROR(IF(19&gt;COUNTIF('DONNÉES BRUTES'!C$3:C$42,"Industrials"),"",INDEX('DONNÉES BRUTES'!S$3:S$42,MATCH(LARGE(IF('DONNÉES BRUTES'!C$3:C$42="Industrials",'DONNÉES BRUTES'!AB$3:AB$42+(ROW('DONNÉES BRUTES'!A$3:A$42)-ROW('DONNÉES BRUTES'!A$3))/1000,0),19),IF('DONNÉES BRUTES'!C$3:C$42="Industrials",'DONNÉES BRUTES'!AB$3:AB$42+(ROW('DONNÉES BRUTES'!A$3:A$42)-ROW('DONNÉES BRUTES'!A$3))/1000,0),0))),"—")</f>
        <v/>
      </c>
      <c r="O29" s="191">
        <f t="array" ref="O29">IFERROR(IF(19&gt;COUNTIF('DONNÉES BRUTES'!C$3:C$42,"Industrials"),"",INDEX('DONNÉES BRUTES'!T$3:T$42,MATCH(LARGE(IF('DONNÉES BRUTES'!C$3:C$42="Industrials",'DONNÉES BRUTES'!AB$3:AB$42+(ROW('DONNÉES BRUTES'!A$3:A$42)-ROW('DONNÉES BRUTES'!A$3))/1000,0),19),IF('DONNÉES BRUTES'!C$3:C$42="Industrials",'DONNÉES BRUTES'!AB$3:AB$42+(ROW('DONNÉES BRUTES'!A$3:A$42)-ROW('DONNÉES BRUTES'!A$3))/1000,0),0))),"—")</f>
        <v/>
      </c>
      <c r="P29" s="194">
        <f t="array" ref="P29">IFERROR(IF(19&gt;COUNTIF('DONNÉES BRUTES'!C$3:C$42,"Industrials"),"",INDEX('DONNÉES BRUTES'!U$3:U$42,MATCH(LARGE(IF('DONNÉES BRUTES'!C$3:C$42="Industrials",'DONNÉES BRUTES'!AB$3:AB$42+(ROW('DONNÉES BRUTES'!A$3:A$42)-ROW('DONNÉES BRUTES'!A$3))/1000,0),19),IF('DONNÉES BRUTES'!C$3:C$42="Industrials",'DONNÉES BRUTES'!AB$3:AB$42+(ROW('DONNÉES BRUTES'!A$3:A$42)-ROW('DONNÉES BRUTES'!A$3))/1000,0),0))),"—")</f>
        <v/>
      </c>
      <c r="Q29">
        <f t="array" ref="Q29">IFERROR(IF(19&gt;COUNTIF('DONNÉES BRUTES'!C$3:C$42,"Industrials"),"",INDEX('DONNÉES BRUTES'!AD$3:AD$42,MATCH(LARGE(IF('DONNÉES BRUTES'!C$3:C$42="Industrials",'DONNÉES BRUTES'!AB$3:AB$42+(ROW('DONNÉES BRUTES'!A$3:A$42)-ROW('DONNÉES BRUTES'!A$3))/1000,0),19),IF('DONNÉES BRUTES'!C$3:C$42="Industrials",'DONNÉES BRUTES'!AB$3:AB$42+(ROW('DONNÉES BRUTES'!A$3:A$42)-ROW('DONNÉES BRUTES'!A$3))/1000,0),0))),"—")</f>
        <v/>
      </c>
      <c r="S29">
        <f>IF(D11="","",LEFT(D11,14))</f>
        <v/>
      </c>
      <c r="T29">
        <f>IF(E11="","",IFERROR(VALUE(LEFT(E11,FIND("/",E11)-1)),0))</f>
        <v/>
      </c>
      <c r="U29">
        <f>IF(ISNUMBER(F11),F11,0)</f>
        <v/>
      </c>
      <c r="V29">
        <f>IF(ISNUMBER(G11),G11,0)</f>
        <v/>
      </c>
      <c r="W29">
        <f>IF(ISNUMBER(H11),H11,0)</f>
        <v/>
      </c>
      <c r="X29">
        <f>IF(ISNUMBER(F11),F11,"")</f>
        <v/>
      </c>
      <c r="Y29">
        <f>IF(ISNUMBER(G11),G11,"")</f>
        <v/>
      </c>
      <c r="Z29">
        <f>IF(ISNUMBER(H11),H11,"")</f>
        <v/>
      </c>
    </row>
    <row r="30" ht="15.95" customHeight="1">
      <c r="A30" s="217" t="n"/>
      <c r="B30" s="216">
        <f>IF(20&gt;COUNTIF('DONNÉES BRUTES'!C$3:C$42,"Industrials"),"",20)</f>
        <v/>
      </c>
      <c r="C30" s="213">
        <f t="array" ref="C30">IFERROR(IF(20&gt;COUNTIF('DONNÉES BRUTES'!C$3:C$42,"Industrials"),"",INDEX('DONNÉES BRUTES'!A$3:A$42,MATCH(LARGE(IF('DONNÉES BRUTES'!C$3:C$42="Industrials",'DONNÉES BRUTES'!AB$3:AB$42+(ROW('DONNÉES BRUTES'!A$3:A$42)-ROW('DONNÉES BRUTES'!A$3))/1000,0),20),IF('DONNÉES BRUTES'!C$3:C$42="Industrials",'DONNÉES BRUTES'!AB$3:AB$42+(ROW('DONNÉES BRUTES'!A$3:A$42)-ROW('DONNÉES BRUTES'!A$3))/1000,0),0))),"—")</f>
        <v/>
      </c>
      <c r="D30" s="213">
        <f t="array" ref="D30">IFERROR(IF(20&gt;COUNTIF('DONNÉES BRUTES'!C$3:C$42,"Industrials"),"",INDEX('DONNÉES BRUTES'!B$3:B$42,MATCH(LARGE(IF('DONNÉES BRUTES'!C$3:C$42="Industrials",'DONNÉES BRUTES'!AB$3:AB$42+(ROW('DONNÉES BRUTES'!A$3:A$42)-ROW('DONNÉES BRUTES'!A$3))/1000,0),20),IF('DONNÉES BRUTES'!C$3:C$42="Industrials",'DONNÉES BRUTES'!AB$3:AB$42+(ROW('DONNÉES BRUTES'!A$3:A$42)-ROW('DONNÉES BRUTES'!A$3))/1000,0),0))),"—")</f>
        <v/>
      </c>
      <c r="E30" s="214">
        <f t="array" ref="E30">IFERROR(IF(20&gt;COUNTIF('DONNÉES BRUTES'!C$3:C$42,"Industrials"),"",INT(LARGE(IF('DONNÉES BRUTES'!C$3:C$42="Industrials",'DONNÉES BRUTES'!AB$3:AB$42+(ROW('DONNÉES BRUTES'!A$3:A$42)-ROW('DONNÉES BRUTES'!A$3))/1000,0),20))&amp;"/100"),"—")</f>
        <v/>
      </c>
      <c r="F30" s="212">
        <f t="array" ref="F30">IFERROR(IF(20&gt;COUNTIF('DONNÉES BRUTES'!C$3:C$42,"Industrials"),"",INDEX('DONNÉES BRUTES'!Y$3:Y$42,MATCH(LARGE(IF('DONNÉES BRUTES'!C$3:C$42="Industrials",'DONNÉES BRUTES'!AB$3:AB$42+(ROW('DONNÉES BRUTES'!A$3:A$42)-ROW('DONNÉES BRUTES'!A$3))/1000,0),20),IF('DONNÉES BRUTES'!C$3:C$42="Industrials",'DONNÉES BRUTES'!AB$3:AB$42+(ROW('DONNÉES BRUTES'!A$3:A$42)-ROW('DONNÉES BRUTES'!A$3))/1000,0),0))),"—")</f>
        <v/>
      </c>
      <c r="G30" s="212">
        <f t="array" ref="G30">IFERROR(IF(20&gt;COUNTIF('DONNÉES BRUTES'!C$3:C$42,"Industrials"),"",INDEX('DONNÉES BRUTES'!Z$3:Z$42,MATCH(LARGE(IF('DONNÉES BRUTES'!C$3:C$42="Industrials",'DONNÉES BRUTES'!AB$3:AB$42+(ROW('DONNÉES BRUTES'!A$3:A$42)-ROW('DONNÉES BRUTES'!A$3))/1000,0),20),IF('DONNÉES BRUTES'!C$3:C$42="Industrials",'DONNÉES BRUTES'!AB$3:AB$42+(ROW('DONNÉES BRUTES'!A$3:A$42)-ROW('DONNÉES BRUTES'!A$3))/1000,0),0))),"—")</f>
        <v/>
      </c>
      <c r="H30" s="212">
        <f t="array" ref="H30">IFERROR(IF(20&gt;COUNTIF('DONNÉES BRUTES'!C$3:C$42,"Industrials"),"",INDEX('DONNÉES BRUTES'!AA$3:AA$42,MATCH(LARGE(IF('DONNÉES BRUTES'!C$3:C$42="Industrials",'DONNÉES BRUTES'!AB$3:AB$42+(ROW('DONNÉES BRUTES'!A$3:A$42)-ROW('DONNÉES BRUTES'!A$3))/1000,0),20),IF('DONNÉES BRUTES'!C$3:C$42="Industrials",'DONNÉES BRUTES'!AB$3:AB$42+(ROW('DONNÉES BRUTES'!A$3:A$42)-ROW('DONNÉES BRUTES'!A$3))/1000,0),0))),"—")</f>
        <v/>
      </c>
      <c r="I30" s="212">
        <f t="array" ref="I30">IFERROR(IF(20&gt;COUNTIF('DONNÉES BRUTES'!C$3:C$42,"Industrials"),"",INDEX('DONNÉES BRUTES'!M$3:M$42,MATCH(LARGE(IF('DONNÉES BRUTES'!C$3:C$42="Industrials",'DONNÉES BRUTES'!AB$3:AB$42+(ROW('DONNÉES BRUTES'!A$3:A$42)-ROW('DONNÉES BRUTES'!A$3))/1000,0),20),IF('DONNÉES BRUTES'!C$3:C$42="Industrials",'DONNÉES BRUTES'!AB$3:AB$42+(ROW('DONNÉES BRUTES'!A$3:A$42)-ROW('DONNÉES BRUTES'!A$3))/1000,0),0))),"—")</f>
        <v/>
      </c>
      <c r="J30" s="212">
        <f t="array" ref="J30">IFERROR(IF(20&gt;COUNTIF('DONNÉES BRUTES'!C$3:C$42,"Industrials"),"",INDEX('DONNÉES BRUTES'!N$3:N$42,MATCH(LARGE(IF('DONNÉES BRUTES'!C$3:C$42="Industrials",'DONNÉES BRUTES'!AB$3:AB$42+(ROW('DONNÉES BRUTES'!A$3:A$42)-ROW('DONNÉES BRUTES'!A$3))/1000,0),20),IF('DONNÉES BRUTES'!C$3:C$42="Industrials",'DONNÉES BRUTES'!AB$3:AB$42+(ROW('DONNÉES BRUTES'!A$3:A$42)-ROW('DONNÉES BRUTES'!A$3))/1000,0),0))),"—")</f>
        <v/>
      </c>
      <c r="K30" s="212">
        <f t="array" ref="K30">IFERROR(IF(20&gt;COUNTIF('DONNÉES BRUTES'!C$3:C$42,"Industrials"),"",INDEX('DONNÉES BRUTES'!O$3:O$42,MATCH(LARGE(IF('DONNÉES BRUTES'!C$3:C$42="Industrials",'DONNÉES BRUTES'!AB$3:AB$42+(ROW('DONNÉES BRUTES'!A$3:A$42)-ROW('DONNÉES BRUTES'!A$3))/1000,0),20),IF('DONNÉES BRUTES'!C$3:C$42="Industrials",'DONNÉES BRUTES'!AB$3:AB$42+(ROW('DONNÉES BRUTES'!A$3:A$42)-ROW('DONNÉES BRUTES'!A$3))/1000,0),0))),"—")</f>
        <v/>
      </c>
      <c r="L30" s="212">
        <f t="array" ref="L30">IFERROR(IF(20&gt;COUNTIF('DONNÉES BRUTES'!C$3:C$42,"Industrials"),"",INDEX('DONNÉES BRUTES'!P$3:P$42,MATCH(LARGE(IF('DONNÉES BRUTES'!C$3:C$42="Industrials",'DONNÉES BRUTES'!AB$3:AB$42+(ROW('DONNÉES BRUTES'!A$3:A$42)-ROW('DONNÉES BRUTES'!A$3))/1000,0),20),IF('DONNÉES BRUTES'!C$3:C$42="Industrials",'DONNÉES BRUTES'!AB$3:AB$42+(ROW('DONNÉES BRUTES'!A$3:A$42)-ROW('DONNÉES BRUTES'!A$3))/1000,0),0))),"—")</f>
        <v/>
      </c>
      <c r="M30" s="212">
        <f t="array" ref="M30">IFERROR(IF(20&gt;COUNTIF('DONNÉES BRUTES'!C$3:C$42,"Industrials"),"",INDEX('DONNÉES BRUTES'!Q$3:Q$42,MATCH(LARGE(IF('DONNÉES BRUTES'!C$3:C$42="Industrials",'DONNÉES BRUTES'!AB$3:AB$42+(ROW('DONNÉES BRUTES'!A$3:A$42)-ROW('DONNÉES BRUTES'!A$3))/1000,0),20),IF('DONNÉES BRUTES'!C$3:C$42="Industrials",'DONNÉES BRUTES'!AB$3:AB$42+(ROW('DONNÉES BRUTES'!A$3:A$42)-ROW('DONNÉES BRUTES'!A$3))/1000,0),0))),"—")</f>
        <v/>
      </c>
      <c r="N30" s="212">
        <f t="array" ref="N30">IFERROR(IF(20&gt;COUNTIF('DONNÉES BRUTES'!C$3:C$42,"Industrials"),"",INDEX('DONNÉES BRUTES'!S$3:S$42,MATCH(LARGE(IF('DONNÉES BRUTES'!C$3:C$42="Industrials",'DONNÉES BRUTES'!AB$3:AB$42+(ROW('DONNÉES BRUTES'!A$3:A$42)-ROW('DONNÉES BRUTES'!A$3))/1000,0),20),IF('DONNÉES BRUTES'!C$3:C$42="Industrials",'DONNÉES BRUTES'!AB$3:AB$42+(ROW('DONNÉES BRUTES'!A$3:A$42)-ROW('DONNÉES BRUTES'!A$3))/1000,0),0))),"—")</f>
        <v/>
      </c>
      <c r="O30" s="212">
        <f t="array" ref="O30">IFERROR(IF(20&gt;COUNTIF('DONNÉES BRUTES'!C$3:C$42,"Industrials"),"",INDEX('DONNÉES BRUTES'!T$3:T$42,MATCH(LARGE(IF('DONNÉES BRUTES'!C$3:C$42="Industrials",'DONNÉES BRUTES'!AB$3:AB$42+(ROW('DONNÉES BRUTES'!A$3:A$42)-ROW('DONNÉES BRUTES'!A$3))/1000,0),20),IF('DONNÉES BRUTES'!C$3:C$42="Industrials",'DONNÉES BRUTES'!AB$3:AB$42+(ROW('DONNÉES BRUTES'!A$3:A$42)-ROW('DONNÉES BRUTES'!A$3))/1000,0),0))),"—")</f>
        <v/>
      </c>
      <c r="P30" s="215">
        <f t="array" ref="P30">IFERROR(IF(20&gt;COUNTIF('DONNÉES BRUTES'!C$3:C$42,"Industrials"),"",INDEX('DONNÉES BRUTES'!U$3:U$42,MATCH(LARGE(IF('DONNÉES BRUTES'!C$3:C$42="Industrials",'DONNÉES BRUTES'!AB$3:AB$42+(ROW('DONNÉES BRUTES'!A$3:A$42)-ROW('DONNÉES BRUTES'!A$3))/1000,0),20),IF('DONNÉES BRUTES'!C$3:C$42="Industrials",'DONNÉES BRUTES'!AB$3:AB$42+(ROW('DONNÉES BRUTES'!A$3:A$42)-ROW('DONNÉES BRUTES'!A$3))/1000,0),0))),"—")</f>
        <v/>
      </c>
      <c r="Q30">
        <f t="array" ref="Q30">IFERROR(IF(20&gt;COUNTIF('DONNÉES BRUTES'!C$3:C$42,"Industrials"),"",INDEX('DONNÉES BRUTES'!AD$3:AD$42,MATCH(LARGE(IF('DONNÉES BRUTES'!C$3:C$42="Industrials",'DONNÉES BRUTES'!AB$3:AB$42+(ROW('DONNÉES BRUTES'!A$3:A$42)-ROW('DONNÉES BRUTES'!A$3))/1000,0),20),IF('DONNÉES BRUTES'!C$3:C$42="Industrials",'DONNÉES BRUTES'!AB$3:AB$42+(ROW('DONNÉES BRUTES'!A$3:A$42)-ROW('DONNÉES BRUTES'!A$3))/1000,0),0))),"—")</f>
        <v/>
      </c>
      <c r="S30">
        <f>IF(D12="","",LEFT(D12,14))</f>
        <v/>
      </c>
      <c r="T30">
        <f>IF(E12="","",IFERROR(VALUE(LEFT(E12,FIND("/",E12)-1)),0))</f>
        <v/>
      </c>
      <c r="U30">
        <f>IF(ISNUMBER(F12),F12,0)</f>
        <v/>
      </c>
      <c r="V30">
        <f>IF(ISNUMBER(G12),G12,0)</f>
        <v/>
      </c>
      <c r="W30">
        <f>IF(ISNUMBER(H12),H12,0)</f>
        <v/>
      </c>
      <c r="X30">
        <f>IF(ISNUMBER(F12),F12,"")</f>
        <v/>
      </c>
      <c r="Y30">
        <f>IF(ISNUMBER(G12),G12,"")</f>
        <v/>
      </c>
      <c r="Z30">
        <f>IF(ISNUMBER(H12),H12,"")</f>
        <v/>
      </c>
    </row>
    <row r="31">
      <c r="S31">
        <f>IF(D13="","",LEFT(D13,14))</f>
        <v/>
      </c>
      <c r="T31">
        <f>IF(E13="","",IFERROR(VALUE(LEFT(E13,FIND("/",E13)-1)),0))</f>
        <v/>
      </c>
      <c r="U31">
        <f>IF(ISNUMBER(F13),F13,0)</f>
        <v/>
      </c>
      <c r="V31">
        <f>IF(ISNUMBER(G13),G13,0)</f>
        <v/>
      </c>
      <c r="W31">
        <f>IF(ISNUMBER(H13),H13,0)</f>
        <v/>
      </c>
      <c r="X31">
        <f>IF(ISNUMBER(F13),F13,"")</f>
        <v/>
      </c>
      <c r="Y31">
        <f>IF(ISNUMBER(G13),G13,"")</f>
        <v/>
      </c>
      <c r="Z31">
        <f>IF(ISNUMBER(H13),H13,"")</f>
        <v/>
      </c>
    </row>
    <row r="32">
      <c r="B32" t="inlineStr">
        <is>
          <t>MÉDIANE SECTEUR</t>
        </is>
      </c>
      <c r="E32">
        <f>ROUND(AVERAGEIF('DONNÉES BRUTES'!C$3:C$42,"Industrials",'DONNÉES BRUTES'!AB$3:AB$42),0)&amp;"/100"</f>
        <v/>
      </c>
      <c r="J32">
        <f t="array" ref="J32">IFERROR(TEXT(MEDIAN(IF('DONNÉES BRUTES'!C$3:C$42="Industrials",IF(ISNUMBER('DONNÉES BRUTES'!N$3:N$42),'DONNÉES BRUTES'!N$3:N$42))),"0.0%"),"—")</f>
        <v/>
      </c>
      <c r="P32">
        <f t="array" ref="P32">IFERROR(TEXT(MEDIAN(IF('DONNÉES BRUTES'!C$3:C$42="Industrials",IF(ISNUMBER('DONNÉES BRUTES'!U$3:U$42),'DONNÉES BRUTES'!U$3:U$42))),"0.00"),"—")</f>
        <v/>
      </c>
      <c r="S32">
        <f>IF(D14="","",LEFT(D14,14))</f>
        <v/>
      </c>
      <c r="T32">
        <f>IF(E14="","",IFERROR(VALUE(LEFT(E14,FIND("/",E14)-1)),0))</f>
        <v/>
      </c>
      <c r="U32">
        <f>IF(ISNUMBER(F14),F14,0)</f>
        <v/>
      </c>
      <c r="V32">
        <f>IF(ISNUMBER(G14),G14,0)</f>
        <v/>
      </c>
      <c r="W32">
        <f>IF(ISNUMBER(H14),H14,0)</f>
        <v/>
      </c>
      <c r="X32">
        <f>IF(ISNUMBER(F14),F14,"")</f>
        <v/>
      </c>
      <c r="Y32">
        <f>IF(ISNUMBER(G14),G14,"")</f>
        <v/>
      </c>
      <c r="Z32">
        <f>IF(ISNUMBER(H14),H14,"")</f>
        <v/>
      </c>
    </row>
    <row r="33">
      <c r="B33" t="inlineStr">
        <is>
          <t>FinSight IA  ·  Scores composites calculés sur métriques Value/Growth/Quality/Momentum  ·  Ne constitue pas un conseil en investissement  ·  Usage confidentiel</t>
        </is>
      </c>
      <c r="S33">
        <f>IF(D15="","",LEFT(D15,14))</f>
        <v/>
      </c>
      <c r="T33">
        <f>IF(E15="","",IFERROR(VALUE(LEFT(E15,FIND("/",E15)-1)),0))</f>
        <v/>
      </c>
      <c r="U33">
        <f>IF(ISNUMBER(F15),F15,0)</f>
        <v/>
      </c>
      <c r="V33">
        <f>IF(ISNUMBER(G15),G15,0)</f>
        <v/>
      </c>
      <c r="W33">
        <f>IF(ISNUMBER(H15),H15,0)</f>
        <v/>
      </c>
      <c r="X33">
        <f>IF(ISNUMBER(F15),F15,"")</f>
        <v/>
      </c>
      <c r="Y33">
        <f>IF(ISNUMBER(G15),G15,"")</f>
        <v/>
      </c>
      <c r="Z33">
        <f>IF(ISNUMBER(H15),H15,"")</f>
        <v/>
      </c>
    </row>
    <row r="34">
      <c r="S34">
        <f>IF(D16="","",LEFT(D16,12))</f>
        <v/>
      </c>
      <c r="T34">
        <f>IF(E16="","",IFERROR(VALUE(LEFT(E16,FIND("/",E16)-1)),""))</f>
        <v/>
      </c>
      <c r="W34">
        <f>IF(D16="","",LEFT(D16,12))</f>
        <v/>
      </c>
      <c r="X34">
        <f>IF(ISNUMBER(F16),F16,"")</f>
        <v/>
      </c>
      <c r="Y34">
        <f>IF(ISNUMBER(G16),G16,"")</f>
        <v/>
      </c>
      <c r="Z34">
        <f>IF(ISNUMBER(H16),H16,"")</f>
        <v/>
      </c>
    </row>
    <row r="35">
      <c r="S35">
        <f>IF(D17="","",LEFT(D17,12))</f>
        <v/>
      </c>
      <c r="T35">
        <f>IF(E17="","",IFERROR(VALUE(LEFT(E17,FIND("/",E17)-1)),""))</f>
        <v/>
      </c>
      <c r="W35">
        <f>IF(D17="","",LEFT(D17,12))</f>
        <v/>
      </c>
      <c r="X35">
        <f>IF(ISNUMBER(F17),F17,"")</f>
        <v/>
      </c>
      <c r="Y35">
        <f>IF(ISNUMBER(G17),G17,"")</f>
        <v/>
      </c>
      <c r="Z35">
        <f>IF(ISNUMBER(H17),H17,"")</f>
        <v/>
      </c>
    </row>
    <row r="36">
      <c r="S36">
        <f>IF(D18="","",LEFT(D18,12))</f>
        <v/>
      </c>
      <c r="T36">
        <f>IF(E18="","",IFERROR(VALUE(LEFT(E18,FIND("/",E18)-1)),""))</f>
        <v/>
      </c>
      <c r="W36">
        <f>IF(D18="","",LEFT(D18,12))</f>
        <v/>
      </c>
      <c r="X36">
        <f>IF(ISNUMBER(F18),F18,"")</f>
        <v/>
      </c>
      <c r="Y36">
        <f>IF(ISNUMBER(G18),G18,"")</f>
        <v/>
      </c>
      <c r="Z36">
        <f>IF(ISNUMBER(H18),H18,"")</f>
        <v/>
      </c>
    </row>
    <row r="37">
      <c r="S37">
        <f>IF(D19="","",LEFT(D19,12))</f>
        <v/>
      </c>
      <c r="T37">
        <f>IF(E19="","",IFERROR(VALUE(LEFT(E19,FIND("/",E19)-1)),""))</f>
        <v/>
      </c>
      <c r="W37">
        <f>IF(D19="","",LEFT(D19,12))</f>
        <v/>
      </c>
      <c r="X37">
        <f>IF(ISNUMBER(F19),F19,"")</f>
        <v/>
      </c>
      <c r="Y37">
        <f>IF(ISNUMBER(G19),G19,"")</f>
        <v/>
      </c>
      <c r="Z37">
        <f>IF(ISNUMBER(H19),H19,"")</f>
        <v/>
      </c>
    </row>
    <row r="38">
      <c r="S38">
        <f>IF(D20="","",LEFT(D20,12))</f>
        <v/>
      </c>
      <c r="T38">
        <f>IF(E20="","",IFERROR(VALUE(LEFT(E20,FIND("/",E20)-1)),""))</f>
        <v/>
      </c>
      <c r="W38">
        <f>IF(D20="","",LEFT(D20,12))</f>
        <v/>
      </c>
      <c r="X38">
        <f>IF(ISNUMBER(F20),F20,"")</f>
        <v/>
      </c>
      <c r="Y38">
        <f>IF(ISNUMBER(G20),G20,"")</f>
        <v/>
      </c>
      <c r="Z38">
        <f>IF(ISNUMBER(H20),H20,"")</f>
        <v/>
      </c>
    </row>
    <row r="39">
      <c r="S39">
        <f>IF(D21="","",LEFT(D21,12))</f>
        <v/>
      </c>
      <c r="T39">
        <f>IF(E21="","",IFERROR(VALUE(LEFT(E21,FIND("/",E21)-1)),""))</f>
        <v/>
      </c>
      <c r="W39">
        <f>IF(D21="","",LEFT(D21,12))</f>
        <v/>
      </c>
      <c r="X39">
        <f>IF(ISNUMBER(F21),F21,"")</f>
        <v/>
      </c>
      <c r="Y39">
        <f>IF(ISNUMBER(G21),G21,"")</f>
        <v/>
      </c>
      <c r="Z39">
        <f>IF(ISNUMBER(H21),H21,"")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AB31"/>
  <sheetViews>
    <sheetView showGridLines="0" zoomScaleNormal="100" workbookViewId="0">
      <selection activeCell="N5" sqref="N5"/>
    </sheetView>
  </sheetViews>
  <sheetFormatPr baseColWidth="10" defaultColWidth="8.85546875" defaultRowHeight="15"/>
  <cols>
    <col width="1.5703125" customWidth="1" min="1" max="1"/>
    <col width="5.28515625" customWidth="1" min="2" max="2"/>
    <col width="10.42578125" customWidth="1" min="3" max="3"/>
    <col width="21.85546875" customWidth="1" min="4" max="4"/>
    <col width="10.42578125" customWidth="1" min="5" max="5"/>
    <col width="5.28515625" customWidth="1" min="6" max="8"/>
    <col width="8" customWidth="1" min="9" max="10"/>
    <col width="7.28515625" customWidth="1" min="11" max="11"/>
    <col width="8" customWidth="1" min="12" max="13"/>
    <col width="6.42578125" customWidth="1" min="14" max="14"/>
    <col width="7.28515625" customWidth="1" min="15" max="15"/>
    <col width="6.42578125" customWidth="1" min="16" max="16"/>
    <col width="14" bestFit="1" customWidth="1" min="17" max="17"/>
  </cols>
  <sheetData>
    <row r="1" ht="30" customHeight="1">
      <c r="B1" s="273">
        <f>"FinSight IA  ·  Healthcare  ·  CAC 40  ·  "&amp;COUNTIF('DONNÉES BRUTES'!C$3:C$42,"Healthcare")&amp;" sociétés  ·  22/03/2026"</f>
        <v/>
      </c>
    </row>
    <row r="2" ht="18" customHeight="1">
      <c r="B2" s="277" t="inlineStr">
        <is>
          <t>Zoom sectoriel  ·  Ratios clés  ·  Score FinSight  ·  Usage confidentiel</t>
        </is>
      </c>
    </row>
    <row r="3" ht="8.1" customHeight="1"/>
    <row r="4" ht="8.1" customHeight="1"/>
    <row r="5" ht="39.95" customHeight="1">
      <c r="B5" s="259" t="n"/>
      <c r="C5" s="246">
        <f>COUNTIF('DONNÉES BRUTES'!C$3:C$42,"Healthcare")</f>
        <v/>
      </c>
      <c r="D5" s="259" t="n"/>
      <c r="E5" s="282">
        <f>ROUND(AVERAGEIF('DONNÉES BRUTES'!C$3:C$42,"Healthcare",'DONNÉES BRUTES'!AB$3:AB$42),0)&amp;"/100"</f>
        <v/>
      </c>
      <c r="F5" s="282" t="n"/>
      <c r="G5" s="282" t="n"/>
      <c r="H5" s="249">
        <f t="array" ref="H5">IFERROR(INDEX('DONNÉES BRUTES'!B$3:B$42,MATCH(LARGE(IF('DONNÉES BRUTES'!C$3:C$42="Healthcare",'DONNÉES BRUTES'!AB$3:AB$42+(ROW('DONNÉES BRUTES'!A$3:A$42)-ROW('DONNÉES BRUTES'!A$3))/1000,0),1),IF('DONNÉES BRUTES'!C$3:C$42="Healthcare",'DONNÉES BRUTES'!AB$3:AB$42+(ROW('DONNÉES BRUTES'!A$3:A$42)-ROW('DONNÉES BRUTES'!A$3))/1000,0),0)),"—")</f>
        <v/>
      </c>
      <c r="I5" s="282" t="n"/>
      <c r="J5" s="282" t="n"/>
      <c r="K5" s="282" t="n"/>
      <c r="L5" s="251">
        <f>IFERROR(VLOOKUP("Healthcare",'SECTOR OVERVIEW'!B$8:G$19,6,0),"—")</f>
        <v/>
      </c>
      <c r="M5" s="282" t="n"/>
      <c r="N5" s="252">
        <f t="array" ref="N5">IFERROR(ROUND(MEDIAN(IF('DONNÉES BRUTES'!C$3:C$42="Healthcare",IF(ISNUMBER('DONNÉES BRUTES'!Y$3:Y$42),'DONNÉES BRUTES'!Y$3:Y$42))),0),"—")</f>
        <v/>
      </c>
      <c r="O5" s="282" t="n"/>
      <c r="P5" s="253">
        <f>IF(COUNTIFS('DONNÉES BRUTES'!C$3:C$42,"Healthcare",'DONNÉES BRUTES'!AD$3:AD$42,"Surpondérer")&gt;0,"Surpondérer",IF(COUNTIFS('DONNÉES BRUTES'!C$3:C$42,"Healthcare",'DONNÉES BRUTES'!AD$3:AD$42,"Neutre")&gt;=COUNTIFS('DONNÉES BRUTES'!C$3:C$42,"Healthcare",'DONNÉES BRUTES'!AD$3:AD$42,"Sous-pondérer"),"Neutre","Sous-pondérer"))</f>
        <v/>
      </c>
      <c r="Q5" s="282" t="n"/>
    </row>
    <row r="6" ht="15.95" customHeight="1">
      <c r="B6" s="259" t="n"/>
      <c r="C6" s="248" t="inlineStr">
        <is>
          <t>Sociétés</t>
        </is>
      </c>
      <c r="D6" s="248" t="n"/>
      <c r="E6" s="247" t="inlineStr">
        <is>
          <t>Score moyen</t>
        </is>
      </c>
      <c r="F6" s="247" t="n"/>
      <c r="G6" s="247" t="n"/>
      <c r="H6" s="250" t="inlineStr">
        <is>
          <t>Meilleure société</t>
        </is>
      </c>
      <c r="I6" s="247" t="n"/>
      <c r="J6" s="247" t="n"/>
      <c r="K6" s="248" t="n"/>
      <c r="L6" s="247" t="inlineStr">
        <is>
          <t>Mg. EBITDA Méd.</t>
        </is>
      </c>
      <c r="M6" s="248" t="n"/>
      <c r="N6" s="247" t="inlineStr">
        <is>
          <t>Score Growth Méd.</t>
        </is>
      </c>
      <c r="O6" s="248" t="n"/>
      <c r="P6" s="247" t="inlineStr">
        <is>
          <t>Signal</t>
        </is>
      </c>
      <c r="Q6" s="247" t="n"/>
    </row>
    <row r="7" ht="8.1" customHeight="1"/>
    <row r="8" ht="21.95" customHeight="1">
      <c r="B8" s="275">
        <f>"ANALYSE DÉTAILLÉE  ·  "&amp;UPPER("Healthcare")&amp;"  ·  "&amp;COUNTIF('DONNÉES BRUTES'!C$3:C$42,"Healthcare")&amp;" sociétés  ·  Triée par Score Global"</f>
        <v/>
      </c>
    </row>
    <row r="9" ht="6" customHeight="1"/>
    <row r="10" ht="20.1" customHeight="1">
      <c r="B10" s="260" t="inlineStr">
        <is>
          <t>#</t>
        </is>
      </c>
      <c r="C10" s="261" t="inlineStr">
        <is>
          <t>Ticker</t>
        </is>
      </c>
      <c r="D10" s="261" t="inlineStr">
        <is>
          <t>Société</t>
        </is>
      </c>
      <c r="E10" s="260" t="inlineStr">
        <is>
          <t>Score</t>
        </is>
      </c>
      <c r="F10" s="260" t="inlineStr">
        <is>
          <t>Gr.</t>
        </is>
      </c>
      <c r="G10" s="260" t="inlineStr">
        <is>
          <t>Qual.</t>
        </is>
      </c>
      <c r="H10" s="260" t="inlineStr">
        <is>
          <t>Mom.</t>
        </is>
      </c>
      <c r="I10" s="260" t="inlineStr">
        <is>
          <t>Mg. Brute</t>
        </is>
      </c>
      <c r="J10" s="260" t="inlineStr">
        <is>
          <t>Mg. EBITDA</t>
        </is>
      </c>
      <c r="K10" s="260" t="inlineStr">
        <is>
          <t>Mg. Nette</t>
        </is>
      </c>
      <c r="L10" s="260" t="inlineStr">
        <is>
          <t>Croiss. Rev.</t>
        </is>
      </c>
      <c r="M10" s="260" t="inlineStr">
        <is>
          <t>ROE</t>
        </is>
      </c>
      <c r="N10" s="260" t="inlineStr">
        <is>
          <t>Curr. R.</t>
        </is>
      </c>
      <c r="O10" s="260" t="inlineStr">
        <is>
          <t>ND/EBITDA</t>
        </is>
      </c>
      <c r="P10" s="260" t="inlineStr">
        <is>
          <t>Altman Z</t>
        </is>
      </c>
      <c r="Q10" s="260" t="inlineStr">
        <is>
          <t>Signal</t>
        </is>
      </c>
    </row>
    <row r="11" ht="18" customHeight="1">
      <c r="B11">
        <f>IF(1&gt;COUNTIF('DONNÉES BRUTES'!C$3:C$42,"Healthcare"),"",1)</f>
        <v/>
      </c>
      <c r="C11">
        <f t="array" ref="C11">IFERROR(IF(1&gt;COUNTIF('DONNÉES BRUTES'!C$3:C$42,"Healthcare"),"",INDEX('DONNÉES BRUTES'!A$3:A$42,MATCH(LARGE(IF('DONNÉES BRUTES'!C$3:C$42="Healthcare",'DONNÉES BRUTES'!AB$3:AB$42+(ROW('DONNÉES BRUTES'!A$3:A$42)-ROW('DONNÉES BRUTES'!A$3))/1000,0),1),IF('DONNÉES BRUTES'!C$3:C$42="Healthcare",'DONNÉES BRUTES'!AB$3:AB$42+(ROW('DONNÉES BRUTES'!A$3:A$42)-ROW('DONNÉES BRUTES'!A$3))/1000,0),0))),"—")</f>
        <v/>
      </c>
      <c r="D11">
        <f t="array" ref="D11">IFERROR(IF(1&gt;COUNTIF('DONNÉES BRUTES'!C$3:C$42,"Healthcare"),"",INDEX('DONNÉES BRUTES'!B$3:B$42,MATCH(LARGE(IF('DONNÉES BRUTES'!C$3:C$42="Healthcare",'DONNÉES BRUTES'!AB$3:AB$42+(ROW('DONNÉES BRUTES'!A$3:A$42)-ROW('DONNÉES BRUTES'!A$3))/1000,0),1),IF('DONNÉES BRUTES'!C$3:C$42="Healthcare",'DONNÉES BRUTES'!AB$3:AB$42+(ROW('DONNÉES BRUTES'!A$3:A$42)-ROW('DONNÉES BRUTES'!A$3))/1000,0),0))),"—")</f>
        <v/>
      </c>
      <c r="E11">
        <f t="array" ref="E11">IFERROR(IF(1&gt;COUNTIF('DONNÉES BRUTES'!C$3:C$42,"Healthcare"),"",INT(LARGE(IF('DONNÉES BRUTES'!C$3:C$42="Healthcare",'DONNÉES BRUTES'!AB$3:AB$42+(ROW('DONNÉES BRUTES'!A$3:A$42)-ROW('DONNÉES BRUTES'!A$3))/1000,0),1))&amp;"/100"),"—")</f>
        <v/>
      </c>
      <c r="F11">
        <f t="array" ref="F11">IFERROR(IF(1&gt;COUNTIF('DONNÉES BRUTES'!C$3:C$42,"Healthcare"),"",INDEX('DONNÉES BRUTES'!Y$3:Y$42,MATCH(LARGE(IF('DONNÉES BRUTES'!C$3:C$42="Healthcare",'DONNÉES BRUTES'!AB$3:AB$42+(ROW('DONNÉES BRUTES'!A$3:A$42)-ROW('DONNÉES BRUTES'!A$3))/1000,0),1),IF('DONNÉES BRUTES'!C$3:C$42="Healthcare",'DONNÉES BRUTES'!AB$3:AB$42+(ROW('DONNÉES BRUTES'!A$3:A$42)-ROW('DONNÉES BRUTES'!A$3))/1000,0),0))),"—")</f>
        <v/>
      </c>
      <c r="G11">
        <f t="array" ref="G11">IFERROR(IF(1&gt;COUNTIF('DONNÉES BRUTES'!C$3:C$42,"Healthcare"),"",INDEX('DONNÉES BRUTES'!Z$3:Z$42,MATCH(LARGE(IF('DONNÉES BRUTES'!C$3:C$42="Healthcare",'DONNÉES BRUTES'!AB$3:AB$42+(ROW('DONNÉES BRUTES'!A$3:A$42)-ROW('DONNÉES BRUTES'!A$3))/1000,0),1),IF('DONNÉES BRUTES'!C$3:C$42="Healthcare",'DONNÉES BRUTES'!AB$3:AB$42+(ROW('DONNÉES BRUTES'!A$3:A$42)-ROW('DONNÉES BRUTES'!A$3))/1000,0),0))),"—")</f>
        <v/>
      </c>
      <c r="H11">
        <f t="array" ref="H11">IFERROR(IF(1&gt;COUNTIF('DONNÉES BRUTES'!C$3:C$42,"Healthcare"),"",INDEX('DONNÉES BRUTES'!AA$3:AA$42,MATCH(LARGE(IF('DONNÉES BRUTES'!C$3:C$42="Healthcare",'DONNÉES BRUTES'!AB$3:AB$42+(ROW('DONNÉES BRUTES'!A$3:A$42)-ROW('DONNÉES BRUTES'!A$3))/1000,0),1),IF('DONNÉES BRUTES'!C$3:C$42="Healthcare",'DONNÉES BRUTES'!AB$3:AB$42+(ROW('DONNÉES BRUTES'!A$3:A$42)-ROW('DONNÉES BRUTES'!A$3))/1000,0),0))),"—")</f>
        <v/>
      </c>
      <c r="I11">
        <f t="array" ref="I11">IFERROR(IF(1&gt;COUNTIF('DONNÉES BRUTES'!C$3:C$42,"Healthcare"),"",INDEX('DONNÉES BRUTES'!M$3:M$42,MATCH(LARGE(IF('DONNÉES BRUTES'!C$3:C$42="Healthcare",'DONNÉES BRUTES'!AB$3:AB$42+(ROW('DONNÉES BRUTES'!A$3:A$42)-ROW('DONNÉES BRUTES'!A$3))/1000,0),1),IF('DONNÉES BRUTES'!C$3:C$42="Healthcare",'DONNÉES BRUTES'!AB$3:AB$42+(ROW('DONNÉES BRUTES'!A$3:A$42)-ROW('DONNÉES BRUTES'!A$3))/1000,0),0))),"—")</f>
        <v/>
      </c>
      <c r="J11">
        <f t="array" ref="J11">IFERROR(IF(1&gt;COUNTIF('DONNÉES BRUTES'!C$3:C$42,"Healthcare"),"",INDEX('DONNÉES BRUTES'!N$3:N$42,MATCH(LARGE(IF('DONNÉES BRUTES'!C$3:C$42="Healthcare",'DONNÉES BRUTES'!AB$3:AB$42+(ROW('DONNÉES BRUTES'!A$3:A$42)-ROW('DONNÉES BRUTES'!A$3))/1000,0),1),IF('DONNÉES BRUTES'!C$3:C$42="Healthcare",'DONNÉES BRUTES'!AB$3:AB$42+(ROW('DONNÉES BRUTES'!A$3:A$42)-ROW('DONNÉES BRUTES'!A$3))/1000,0),0))),"—")</f>
        <v/>
      </c>
      <c r="K11">
        <f t="array" ref="K11">IFERROR(IF(1&gt;COUNTIF('DONNÉES BRUTES'!C$3:C$42,"Healthcare"),"",INDEX('DONNÉES BRUTES'!O$3:O$42,MATCH(LARGE(IF('DONNÉES BRUTES'!C$3:C$42="Healthcare",'DONNÉES BRUTES'!AB$3:AB$42+(ROW('DONNÉES BRUTES'!A$3:A$42)-ROW('DONNÉES BRUTES'!A$3))/1000,0),1),IF('DONNÉES BRUTES'!C$3:C$42="Healthcare",'DONNÉES BRUTES'!AB$3:AB$42+(ROW('DONNÉES BRUTES'!A$3:A$42)-ROW('DONNÉES BRUTES'!A$3))/1000,0),0))),"—")</f>
        <v/>
      </c>
      <c r="L11">
        <f t="array" ref="L11">IFERROR(IF(1&gt;COUNTIF('DONNÉES BRUTES'!C$3:C$42,"Healthcare"),"",INDEX('DONNÉES BRUTES'!P$3:P$42,MATCH(LARGE(IF('DONNÉES BRUTES'!C$3:C$42="Healthcare",'DONNÉES BRUTES'!AB$3:AB$42+(ROW('DONNÉES BRUTES'!A$3:A$42)-ROW('DONNÉES BRUTES'!A$3))/1000,0),1),IF('DONNÉES BRUTES'!C$3:C$42="Healthcare",'DONNÉES BRUTES'!AB$3:AB$42+(ROW('DONNÉES BRUTES'!A$3:A$42)-ROW('DONNÉES BRUTES'!A$3))/1000,0),0))),"—")</f>
        <v/>
      </c>
      <c r="M11">
        <f t="array" ref="M11">IFERROR(IF(1&gt;COUNTIF('DONNÉES BRUTES'!C$3:C$42,"Healthcare"),"",INDEX('DONNÉES BRUTES'!Q$3:Q$42,MATCH(LARGE(IF('DONNÉES BRUTES'!C$3:C$42="Healthcare",'DONNÉES BRUTES'!AB$3:AB$42+(ROW('DONNÉES BRUTES'!A$3:A$42)-ROW('DONNÉES BRUTES'!A$3))/1000,0),1),IF('DONNÉES BRUTES'!C$3:C$42="Healthcare",'DONNÉES BRUTES'!AB$3:AB$42+(ROW('DONNÉES BRUTES'!A$3:A$42)-ROW('DONNÉES BRUTES'!A$3))/1000,0),0))),"—")</f>
        <v/>
      </c>
      <c r="N11">
        <f t="array" ref="N11">IFERROR(IF(1&gt;COUNTIF('DONNÉES BRUTES'!C$3:C$42,"Healthcare"),"",INDEX('DONNÉES BRUTES'!S$3:S$42,MATCH(LARGE(IF('DONNÉES BRUTES'!C$3:C$42="Healthcare",'DONNÉES BRUTES'!AB$3:AB$42+(ROW('DONNÉES BRUTES'!A$3:A$42)-ROW('DONNÉES BRUTES'!A$3))/1000,0),1),IF('DONNÉES BRUTES'!C$3:C$42="Healthcare",'DONNÉES BRUTES'!AB$3:AB$42+(ROW('DONNÉES BRUTES'!A$3:A$42)-ROW('DONNÉES BRUTES'!A$3))/1000,0),0))),"—")</f>
        <v/>
      </c>
      <c r="O11">
        <f t="array" ref="O11">IFERROR(IF(1&gt;COUNTIF('DONNÉES BRUTES'!C$3:C$42,"Healthcare"),"",INDEX('DONNÉES BRUTES'!T$3:T$42,MATCH(LARGE(IF('DONNÉES BRUTES'!C$3:C$42="Healthcare",'DONNÉES BRUTES'!AB$3:AB$42+(ROW('DONNÉES BRUTES'!A$3:A$42)-ROW('DONNÉES BRUTES'!A$3))/1000,0),1),IF('DONNÉES BRUTES'!C$3:C$42="Healthcare",'DONNÉES BRUTES'!AB$3:AB$42+(ROW('DONNÉES BRUTES'!A$3:A$42)-ROW('DONNÉES BRUTES'!A$3))/1000,0),0))),"—")</f>
        <v/>
      </c>
      <c r="P11">
        <f t="array" ref="P11">IFERROR(IF(1&gt;COUNTIF('DONNÉES BRUTES'!C$3:C$42,"Healthcare"),"",INDEX('DONNÉES BRUTES'!U$3:U$42,MATCH(LARGE(IF('DONNÉES BRUTES'!C$3:C$42="Healthcare",'DONNÉES BRUTES'!AB$3:AB$42+(ROW('DONNÉES BRUTES'!A$3:A$42)-ROW('DONNÉES BRUTES'!A$3))/1000,0),1),IF('DONNÉES BRUTES'!C$3:C$42="Healthcare",'DONNÉES BRUTES'!AB$3:AB$42+(ROW('DONNÉES BRUTES'!A$3:A$42)-ROW('DONNÉES BRUTES'!A$3))/1000,0),0))),"—")</f>
        <v/>
      </c>
      <c r="Q11">
        <f t="array" ref="Q11">IFERROR(IF(1&gt;COUNTIF('DONNÉES BRUTES'!C$3:C$42,"Healthcare"),"",INDEX('DONNÉES BRUTES'!AD$3:AD$42,MATCH(LARGE(IF('DONNÉES BRUTES'!C$3:C$42="Healthcare",'DONNÉES BRUTES'!AB$3:AB$42+(ROW('DONNÉES BRUTES'!A$3:A$42)-ROW('DONNÉES BRUTES'!A$3))/1000,0),1),IF('DONNÉES BRUTES'!C$3:C$42="Healthcare",'DONNÉES BRUTES'!AB$3:AB$42+(ROW('DONNÉES BRUTES'!A$3:A$42)-ROW('DONNÉES BRUTES'!A$3))/1000,0),0))),"—")</f>
        <v/>
      </c>
    </row>
    <row r="12" ht="15.95" customHeight="1">
      <c r="B12">
        <f>IF(2&gt;COUNTIF('DONNÉES BRUTES'!C$3:C$42,"Healthcare"),"",2)</f>
        <v/>
      </c>
      <c r="C12">
        <f t="array" ref="C12">IFERROR(IF(2&gt;COUNTIF('DONNÉES BRUTES'!C$3:C$42,"Healthcare"),"",INDEX('DONNÉES BRUTES'!A$3:A$42,MATCH(LARGE(IF('DONNÉES BRUTES'!C$3:C$42="Healthcare",'DONNÉES BRUTES'!AB$3:AB$42+(ROW('DONNÉES BRUTES'!A$3:A$42)-ROW('DONNÉES BRUTES'!A$3))/1000,0),2),IF('DONNÉES BRUTES'!C$3:C$42="Healthcare",'DONNÉES BRUTES'!AB$3:AB$42+(ROW('DONNÉES BRUTES'!A$3:A$42)-ROW('DONNÉES BRUTES'!A$3))/1000,0),0))),"—")</f>
        <v/>
      </c>
      <c r="D12">
        <f t="array" ref="D12">IFERROR(IF(2&gt;COUNTIF('DONNÉES BRUTES'!C$3:C$42,"Healthcare"),"",INDEX('DONNÉES BRUTES'!B$3:B$42,MATCH(LARGE(IF('DONNÉES BRUTES'!C$3:C$42="Healthcare",'DONNÉES BRUTES'!AB$3:AB$42+(ROW('DONNÉES BRUTES'!A$3:A$42)-ROW('DONNÉES BRUTES'!A$3))/1000,0),2),IF('DONNÉES BRUTES'!C$3:C$42="Healthcare",'DONNÉES BRUTES'!AB$3:AB$42+(ROW('DONNÉES BRUTES'!A$3:A$42)-ROW('DONNÉES BRUTES'!A$3))/1000,0),0))),"—")</f>
        <v/>
      </c>
      <c r="E12">
        <f t="array" ref="E12">IFERROR(IF(2&gt;COUNTIF('DONNÉES BRUTES'!C$3:C$42,"Healthcare"),"",INT(LARGE(IF('DONNÉES BRUTES'!C$3:C$42="Healthcare",'DONNÉES BRUTES'!AB$3:AB$42+(ROW('DONNÉES BRUTES'!A$3:A$42)-ROW('DONNÉES BRUTES'!A$3))/1000,0),2))&amp;"/100"),"—")</f>
        <v/>
      </c>
      <c r="F12">
        <f t="array" ref="F12">IFERROR(IF(2&gt;COUNTIF('DONNÉES BRUTES'!C$3:C$42,"Healthcare"),"",INDEX('DONNÉES BRUTES'!Y$3:Y$42,MATCH(LARGE(IF('DONNÉES BRUTES'!C$3:C$42="Healthcare",'DONNÉES BRUTES'!AB$3:AB$42+(ROW('DONNÉES BRUTES'!A$3:A$42)-ROW('DONNÉES BRUTES'!A$3))/1000,0),2),IF('DONNÉES BRUTES'!C$3:C$42="Healthcare",'DONNÉES BRUTES'!AB$3:AB$42+(ROW('DONNÉES BRUTES'!A$3:A$42)-ROW('DONNÉES BRUTES'!A$3))/1000,0),0))),"—")</f>
        <v/>
      </c>
      <c r="G12">
        <f t="array" ref="G12">IFERROR(IF(2&gt;COUNTIF('DONNÉES BRUTES'!C$3:C$42,"Healthcare"),"",INDEX('DONNÉES BRUTES'!Z$3:Z$42,MATCH(LARGE(IF('DONNÉES BRUTES'!C$3:C$42="Healthcare",'DONNÉES BRUTES'!AB$3:AB$42+(ROW('DONNÉES BRUTES'!A$3:A$42)-ROW('DONNÉES BRUTES'!A$3))/1000,0),2),IF('DONNÉES BRUTES'!C$3:C$42="Healthcare",'DONNÉES BRUTES'!AB$3:AB$42+(ROW('DONNÉES BRUTES'!A$3:A$42)-ROW('DONNÉES BRUTES'!A$3))/1000,0),0))),"—")</f>
        <v/>
      </c>
      <c r="H12">
        <f t="array" ref="H12">IFERROR(IF(2&gt;COUNTIF('DONNÉES BRUTES'!C$3:C$42,"Healthcare"),"",INDEX('DONNÉES BRUTES'!AA$3:AA$42,MATCH(LARGE(IF('DONNÉES BRUTES'!C$3:C$42="Healthcare",'DONNÉES BRUTES'!AB$3:AB$42+(ROW('DONNÉES BRUTES'!A$3:A$42)-ROW('DONNÉES BRUTES'!A$3))/1000,0),2),IF('DONNÉES BRUTES'!C$3:C$42="Healthcare",'DONNÉES BRUTES'!AB$3:AB$42+(ROW('DONNÉES BRUTES'!A$3:A$42)-ROW('DONNÉES BRUTES'!A$3))/1000,0),0))),"—")</f>
        <v/>
      </c>
      <c r="I12">
        <f t="array" ref="I12">IFERROR(IF(2&gt;COUNTIF('DONNÉES BRUTES'!C$3:C$42,"Healthcare"),"",INDEX('DONNÉES BRUTES'!M$3:M$42,MATCH(LARGE(IF('DONNÉES BRUTES'!C$3:C$42="Healthcare",'DONNÉES BRUTES'!AB$3:AB$42+(ROW('DONNÉES BRUTES'!A$3:A$42)-ROW('DONNÉES BRUTES'!A$3))/1000,0),2),IF('DONNÉES BRUTES'!C$3:C$42="Healthcare",'DONNÉES BRUTES'!AB$3:AB$42+(ROW('DONNÉES BRUTES'!A$3:A$42)-ROW('DONNÉES BRUTES'!A$3))/1000,0),0))),"—")</f>
        <v/>
      </c>
      <c r="J12">
        <f t="array" ref="J12">IFERROR(IF(2&gt;COUNTIF('DONNÉES BRUTES'!C$3:C$42,"Healthcare"),"",INDEX('DONNÉES BRUTES'!N$3:N$42,MATCH(LARGE(IF('DONNÉES BRUTES'!C$3:C$42="Healthcare",'DONNÉES BRUTES'!AB$3:AB$42+(ROW('DONNÉES BRUTES'!A$3:A$42)-ROW('DONNÉES BRUTES'!A$3))/1000,0),2),IF('DONNÉES BRUTES'!C$3:C$42="Healthcare",'DONNÉES BRUTES'!AB$3:AB$42+(ROW('DONNÉES BRUTES'!A$3:A$42)-ROW('DONNÉES BRUTES'!A$3))/1000,0),0))),"—")</f>
        <v/>
      </c>
      <c r="K12">
        <f t="array" ref="K12">IFERROR(IF(2&gt;COUNTIF('DONNÉES BRUTES'!C$3:C$42,"Healthcare"),"",INDEX('DONNÉES BRUTES'!O$3:O$42,MATCH(LARGE(IF('DONNÉES BRUTES'!C$3:C$42="Healthcare",'DONNÉES BRUTES'!AB$3:AB$42+(ROW('DONNÉES BRUTES'!A$3:A$42)-ROW('DONNÉES BRUTES'!A$3))/1000,0),2),IF('DONNÉES BRUTES'!C$3:C$42="Healthcare",'DONNÉES BRUTES'!AB$3:AB$42+(ROW('DONNÉES BRUTES'!A$3:A$42)-ROW('DONNÉES BRUTES'!A$3))/1000,0),0))),"—")</f>
        <v/>
      </c>
      <c r="L12">
        <f t="array" ref="L12">IFERROR(IF(2&gt;COUNTIF('DONNÉES BRUTES'!C$3:C$42,"Healthcare"),"",INDEX('DONNÉES BRUTES'!P$3:P$42,MATCH(LARGE(IF('DONNÉES BRUTES'!C$3:C$42="Healthcare",'DONNÉES BRUTES'!AB$3:AB$42+(ROW('DONNÉES BRUTES'!A$3:A$42)-ROW('DONNÉES BRUTES'!A$3))/1000,0),2),IF('DONNÉES BRUTES'!C$3:C$42="Healthcare",'DONNÉES BRUTES'!AB$3:AB$42+(ROW('DONNÉES BRUTES'!A$3:A$42)-ROW('DONNÉES BRUTES'!A$3))/1000,0),0))),"—")</f>
        <v/>
      </c>
      <c r="M12">
        <f t="array" ref="M12">IFERROR(IF(2&gt;COUNTIF('DONNÉES BRUTES'!C$3:C$42,"Healthcare"),"",INDEX('DONNÉES BRUTES'!Q$3:Q$42,MATCH(LARGE(IF('DONNÉES BRUTES'!C$3:C$42="Healthcare",'DONNÉES BRUTES'!AB$3:AB$42+(ROW('DONNÉES BRUTES'!A$3:A$42)-ROW('DONNÉES BRUTES'!A$3))/1000,0),2),IF('DONNÉES BRUTES'!C$3:C$42="Healthcare",'DONNÉES BRUTES'!AB$3:AB$42+(ROW('DONNÉES BRUTES'!A$3:A$42)-ROW('DONNÉES BRUTES'!A$3))/1000,0),0))),"—")</f>
        <v/>
      </c>
      <c r="N12">
        <f t="array" ref="N12">IFERROR(IF(2&gt;COUNTIF('DONNÉES BRUTES'!C$3:C$42,"Healthcare"),"",INDEX('DONNÉES BRUTES'!S$3:S$42,MATCH(LARGE(IF('DONNÉES BRUTES'!C$3:C$42="Healthcare",'DONNÉES BRUTES'!AB$3:AB$42+(ROW('DONNÉES BRUTES'!A$3:A$42)-ROW('DONNÉES BRUTES'!A$3))/1000,0),2),IF('DONNÉES BRUTES'!C$3:C$42="Healthcare",'DONNÉES BRUTES'!AB$3:AB$42+(ROW('DONNÉES BRUTES'!A$3:A$42)-ROW('DONNÉES BRUTES'!A$3))/1000,0),0))),"—")</f>
        <v/>
      </c>
      <c r="O12">
        <f t="array" ref="O12">IFERROR(IF(2&gt;COUNTIF('DONNÉES BRUTES'!C$3:C$42,"Healthcare"),"",INDEX('DONNÉES BRUTES'!T$3:T$42,MATCH(LARGE(IF('DONNÉES BRUTES'!C$3:C$42="Healthcare",'DONNÉES BRUTES'!AB$3:AB$42+(ROW('DONNÉES BRUTES'!A$3:A$42)-ROW('DONNÉES BRUTES'!A$3))/1000,0),2),IF('DONNÉES BRUTES'!C$3:C$42="Healthcare",'DONNÉES BRUTES'!AB$3:AB$42+(ROW('DONNÉES BRUTES'!A$3:A$42)-ROW('DONNÉES BRUTES'!A$3))/1000,0),0))),"—")</f>
        <v/>
      </c>
      <c r="P12">
        <f t="array" ref="P12">IFERROR(IF(2&gt;COUNTIF('DONNÉES BRUTES'!C$3:C$42,"Healthcare"),"",INDEX('DONNÉES BRUTES'!U$3:U$42,MATCH(LARGE(IF('DONNÉES BRUTES'!C$3:C$42="Healthcare",'DONNÉES BRUTES'!AB$3:AB$42+(ROW('DONNÉES BRUTES'!A$3:A$42)-ROW('DONNÉES BRUTES'!A$3))/1000,0),2),IF('DONNÉES BRUTES'!C$3:C$42="Healthcare",'DONNÉES BRUTES'!AB$3:AB$42+(ROW('DONNÉES BRUTES'!A$3:A$42)-ROW('DONNÉES BRUTES'!A$3))/1000,0),0))),"—")</f>
        <v/>
      </c>
      <c r="Q12">
        <f t="array" ref="Q12">IFERROR(IF(2&gt;COUNTIF('DONNÉES BRUTES'!C$3:C$42,"Healthcare"),"",INDEX('DONNÉES BRUTES'!AD$3:AD$42,MATCH(LARGE(IF('DONNÉES BRUTES'!C$3:C$42="Healthcare",'DONNÉES BRUTES'!AB$3:AB$42+(ROW('DONNÉES BRUTES'!A$3:A$42)-ROW('DONNÉES BRUTES'!A$3))/1000,0),2),IF('DONNÉES BRUTES'!C$3:C$42="Healthcare",'DONNÉES BRUTES'!AB$3:AB$42+(ROW('DONNÉES BRUTES'!A$3:A$42)-ROW('DONNÉES BRUTES'!A$3))/1000,0),0))),"—")</f>
        <v/>
      </c>
    </row>
    <row r="13" ht="15.95" customHeight="1">
      <c r="B13">
        <f>IF(3&gt;COUNTIF('DONNÉES BRUTES'!C$3:C$42,"Healthcare"),"",3)</f>
        <v/>
      </c>
      <c r="C13">
        <f t="array" ref="C13">IFERROR(IF(3&gt;COUNTIF('DONNÉES BRUTES'!C$3:C$42,"Healthcare"),"",INDEX('DONNÉES BRUTES'!A$3:A$42,MATCH(LARGE(IF('DONNÉES BRUTES'!C$3:C$42="Healthcare",'DONNÉES BRUTES'!AB$3:AB$42+(ROW('DONNÉES BRUTES'!A$3:A$42)-ROW('DONNÉES BRUTES'!A$3))/1000,0),3),IF('DONNÉES BRUTES'!C$3:C$42="Healthcare",'DONNÉES BRUTES'!AB$3:AB$42+(ROW('DONNÉES BRUTES'!A$3:A$42)-ROW('DONNÉES BRUTES'!A$3))/1000,0),0))),"—")</f>
        <v/>
      </c>
      <c r="D13">
        <f t="array" ref="D13">IFERROR(IF(3&gt;COUNTIF('DONNÉES BRUTES'!C$3:C$42,"Healthcare"),"",INDEX('DONNÉES BRUTES'!B$3:B$42,MATCH(LARGE(IF('DONNÉES BRUTES'!C$3:C$42="Healthcare",'DONNÉES BRUTES'!AB$3:AB$42+(ROW('DONNÉES BRUTES'!A$3:A$42)-ROW('DONNÉES BRUTES'!A$3))/1000,0),3),IF('DONNÉES BRUTES'!C$3:C$42="Healthcare",'DONNÉES BRUTES'!AB$3:AB$42+(ROW('DONNÉES BRUTES'!A$3:A$42)-ROW('DONNÉES BRUTES'!A$3))/1000,0),0))),"—")</f>
        <v/>
      </c>
      <c r="E13">
        <f t="array" ref="E13">IFERROR(IF(3&gt;COUNTIF('DONNÉES BRUTES'!C$3:C$42,"Healthcare"),"",INT(LARGE(IF('DONNÉES BRUTES'!C$3:C$42="Healthcare",'DONNÉES BRUTES'!AB$3:AB$42+(ROW('DONNÉES BRUTES'!A$3:A$42)-ROW('DONNÉES BRUTES'!A$3))/1000,0),3))&amp;"/100"),"—")</f>
        <v/>
      </c>
      <c r="F13">
        <f t="array" ref="F13">IFERROR(IF(3&gt;COUNTIF('DONNÉES BRUTES'!C$3:C$42,"Healthcare"),"",INDEX('DONNÉES BRUTES'!Y$3:Y$42,MATCH(LARGE(IF('DONNÉES BRUTES'!C$3:C$42="Healthcare",'DONNÉES BRUTES'!AB$3:AB$42+(ROW('DONNÉES BRUTES'!A$3:A$42)-ROW('DONNÉES BRUTES'!A$3))/1000,0),3),IF('DONNÉES BRUTES'!C$3:C$42="Healthcare",'DONNÉES BRUTES'!AB$3:AB$42+(ROW('DONNÉES BRUTES'!A$3:A$42)-ROW('DONNÉES BRUTES'!A$3))/1000,0),0))),"—")</f>
        <v/>
      </c>
      <c r="G13">
        <f t="array" ref="G13">IFERROR(IF(3&gt;COUNTIF('DONNÉES BRUTES'!C$3:C$42,"Healthcare"),"",INDEX('DONNÉES BRUTES'!Z$3:Z$42,MATCH(LARGE(IF('DONNÉES BRUTES'!C$3:C$42="Healthcare",'DONNÉES BRUTES'!AB$3:AB$42+(ROW('DONNÉES BRUTES'!A$3:A$42)-ROW('DONNÉES BRUTES'!A$3))/1000,0),3),IF('DONNÉES BRUTES'!C$3:C$42="Healthcare",'DONNÉES BRUTES'!AB$3:AB$42+(ROW('DONNÉES BRUTES'!A$3:A$42)-ROW('DONNÉES BRUTES'!A$3))/1000,0),0))),"—")</f>
        <v/>
      </c>
      <c r="H13">
        <f t="array" ref="H13">IFERROR(IF(3&gt;COUNTIF('DONNÉES BRUTES'!C$3:C$42,"Healthcare"),"",INDEX('DONNÉES BRUTES'!AA$3:AA$42,MATCH(LARGE(IF('DONNÉES BRUTES'!C$3:C$42="Healthcare",'DONNÉES BRUTES'!AB$3:AB$42+(ROW('DONNÉES BRUTES'!A$3:A$42)-ROW('DONNÉES BRUTES'!A$3))/1000,0),3),IF('DONNÉES BRUTES'!C$3:C$42="Healthcare",'DONNÉES BRUTES'!AB$3:AB$42+(ROW('DONNÉES BRUTES'!A$3:A$42)-ROW('DONNÉES BRUTES'!A$3))/1000,0),0))),"—")</f>
        <v/>
      </c>
      <c r="I13">
        <f t="array" ref="I13">IFERROR(IF(3&gt;COUNTIF('DONNÉES BRUTES'!C$3:C$42,"Healthcare"),"",INDEX('DONNÉES BRUTES'!M$3:M$42,MATCH(LARGE(IF('DONNÉES BRUTES'!C$3:C$42="Healthcare",'DONNÉES BRUTES'!AB$3:AB$42+(ROW('DONNÉES BRUTES'!A$3:A$42)-ROW('DONNÉES BRUTES'!A$3))/1000,0),3),IF('DONNÉES BRUTES'!C$3:C$42="Healthcare",'DONNÉES BRUTES'!AB$3:AB$42+(ROW('DONNÉES BRUTES'!A$3:A$42)-ROW('DONNÉES BRUTES'!A$3))/1000,0),0))),"—")</f>
        <v/>
      </c>
      <c r="J13">
        <f t="array" ref="J13">IFERROR(IF(3&gt;COUNTIF('DONNÉES BRUTES'!C$3:C$42,"Healthcare"),"",INDEX('DONNÉES BRUTES'!N$3:N$42,MATCH(LARGE(IF('DONNÉES BRUTES'!C$3:C$42="Healthcare",'DONNÉES BRUTES'!AB$3:AB$42+(ROW('DONNÉES BRUTES'!A$3:A$42)-ROW('DONNÉES BRUTES'!A$3))/1000,0),3),IF('DONNÉES BRUTES'!C$3:C$42="Healthcare",'DONNÉES BRUTES'!AB$3:AB$42+(ROW('DONNÉES BRUTES'!A$3:A$42)-ROW('DONNÉES BRUTES'!A$3))/1000,0),0))),"—")</f>
        <v/>
      </c>
      <c r="K13">
        <f t="array" ref="K13">IFERROR(IF(3&gt;COUNTIF('DONNÉES BRUTES'!C$3:C$42,"Healthcare"),"",INDEX('DONNÉES BRUTES'!O$3:O$42,MATCH(LARGE(IF('DONNÉES BRUTES'!C$3:C$42="Healthcare",'DONNÉES BRUTES'!AB$3:AB$42+(ROW('DONNÉES BRUTES'!A$3:A$42)-ROW('DONNÉES BRUTES'!A$3))/1000,0),3),IF('DONNÉES BRUTES'!C$3:C$42="Healthcare",'DONNÉES BRUTES'!AB$3:AB$42+(ROW('DONNÉES BRUTES'!A$3:A$42)-ROW('DONNÉES BRUTES'!A$3))/1000,0),0))),"—")</f>
        <v/>
      </c>
      <c r="L13">
        <f t="array" ref="L13">IFERROR(IF(3&gt;COUNTIF('DONNÉES BRUTES'!C$3:C$42,"Healthcare"),"",INDEX('DONNÉES BRUTES'!P$3:P$42,MATCH(LARGE(IF('DONNÉES BRUTES'!C$3:C$42="Healthcare",'DONNÉES BRUTES'!AB$3:AB$42+(ROW('DONNÉES BRUTES'!A$3:A$42)-ROW('DONNÉES BRUTES'!A$3))/1000,0),3),IF('DONNÉES BRUTES'!C$3:C$42="Healthcare",'DONNÉES BRUTES'!AB$3:AB$42+(ROW('DONNÉES BRUTES'!A$3:A$42)-ROW('DONNÉES BRUTES'!A$3))/1000,0),0))),"—")</f>
        <v/>
      </c>
      <c r="M13">
        <f t="array" ref="M13">IFERROR(IF(3&gt;COUNTIF('DONNÉES BRUTES'!C$3:C$42,"Healthcare"),"",INDEX('DONNÉES BRUTES'!Q$3:Q$42,MATCH(LARGE(IF('DONNÉES BRUTES'!C$3:C$42="Healthcare",'DONNÉES BRUTES'!AB$3:AB$42+(ROW('DONNÉES BRUTES'!A$3:A$42)-ROW('DONNÉES BRUTES'!A$3))/1000,0),3),IF('DONNÉES BRUTES'!C$3:C$42="Healthcare",'DONNÉES BRUTES'!AB$3:AB$42+(ROW('DONNÉES BRUTES'!A$3:A$42)-ROW('DONNÉES BRUTES'!A$3))/1000,0),0))),"—")</f>
        <v/>
      </c>
      <c r="N13">
        <f t="array" ref="N13">IFERROR(IF(3&gt;COUNTIF('DONNÉES BRUTES'!C$3:C$42,"Healthcare"),"",INDEX('DONNÉES BRUTES'!S$3:S$42,MATCH(LARGE(IF('DONNÉES BRUTES'!C$3:C$42="Healthcare",'DONNÉES BRUTES'!AB$3:AB$42+(ROW('DONNÉES BRUTES'!A$3:A$42)-ROW('DONNÉES BRUTES'!A$3))/1000,0),3),IF('DONNÉES BRUTES'!C$3:C$42="Healthcare",'DONNÉES BRUTES'!AB$3:AB$42+(ROW('DONNÉES BRUTES'!A$3:A$42)-ROW('DONNÉES BRUTES'!A$3))/1000,0),0))),"—")</f>
        <v/>
      </c>
      <c r="O13">
        <f t="array" ref="O13">IFERROR(IF(3&gt;COUNTIF('DONNÉES BRUTES'!C$3:C$42,"Healthcare"),"",INDEX('DONNÉES BRUTES'!T$3:T$42,MATCH(LARGE(IF('DONNÉES BRUTES'!C$3:C$42="Healthcare",'DONNÉES BRUTES'!AB$3:AB$42+(ROW('DONNÉES BRUTES'!A$3:A$42)-ROW('DONNÉES BRUTES'!A$3))/1000,0),3),IF('DONNÉES BRUTES'!C$3:C$42="Healthcare",'DONNÉES BRUTES'!AB$3:AB$42+(ROW('DONNÉES BRUTES'!A$3:A$42)-ROW('DONNÉES BRUTES'!A$3))/1000,0),0))),"—")</f>
        <v/>
      </c>
      <c r="P13">
        <f t="array" ref="P13">IFERROR(IF(3&gt;COUNTIF('DONNÉES BRUTES'!C$3:C$42,"Healthcare"),"",INDEX('DONNÉES BRUTES'!U$3:U$42,MATCH(LARGE(IF('DONNÉES BRUTES'!C$3:C$42="Healthcare",'DONNÉES BRUTES'!AB$3:AB$42+(ROW('DONNÉES BRUTES'!A$3:A$42)-ROW('DONNÉES BRUTES'!A$3))/1000,0),3),IF('DONNÉES BRUTES'!C$3:C$42="Healthcare",'DONNÉES BRUTES'!AB$3:AB$42+(ROW('DONNÉES BRUTES'!A$3:A$42)-ROW('DONNÉES BRUTES'!A$3))/1000,0),0))),"—")</f>
        <v/>
      </c>
      <c r="Q13">
        <f t="array" ref="Q13">IFERROR(IF(3&gt;COUNTIF('DONNÉES BRUTES'!C$3:C$42,"Healthcare"),"",INDEX('DONNÉES BRUTES'!AD$3:AD$42,MATCH(LARGE(IF('DONNÉES BRUTES'!C$3:C$42="Healthcare",'DONNÉES BRUTES'!AB$3:AB$42+(ROW('DONNÉES BRUTES'!A$3:A$42)-ROW('DONNÉES BRUTES'!A$3))/1000,0),3),IF('DONNÉES BRUTES'!C$3:C$42="Healthcare",'DONNÉES BRUTES'!AB$3:AB$42+(ROW('DONNÉES BRUTES'!A$3:A$42)-ROW('DONNÉES BRUTES'!A$3))/1000,0),0))),"—")</f>
        <v/>
      </c>
    </row>
    <row r="14" ht="15.95" customHeight="1">
      <c r="B14">
        <f>IF(4&gt;COUNTIF('DONNÉES BRUTES'!C$3:C$42,"Healthcare"),"",4)</f>
        <v/>
      </c>
      <c r="C14">
        <f t="array" ref="C14">IFERROR(IF(4&gt;COUNTIF('DONNÉES BRUTES'!C$3:C$42,"Healthcare"),"",INDEX('DONNÉES BRUTES'!A$3:A$42,MATCH(LARGE(IF('DONNÉES BRUTES'!C$3:C$42="Healthcare",'DONNÉES BRUTES'!AB$3:AB$42+(ROW('DONNÉES BRUTES'!A$3:A$42)-ROW('DONNÉES BRUTES'!A$3))/1000,0),4),IF('DONNÉES BRUTES'!C$3:C$42="Healthcare",'DONNÉES BRUTES'!AB$3:AB$42+(ROW('DONNÉES BRUTES'!A$3:A$42)-ROW('DONNÉES BRUTES'!A$3))/1000,0),0))),"—")</f>
        <v/>
      </c>
      <c r="D14">
        <f t="array" ref="D14">IFERROR(IF(4&gt;COUNTIF('DONNÉES BRUTES'!C$3:C$42,"Healthcare"),"",INDEX('DONNÉES BRUTES'!B$3:B$42,MATCH(LARGE(IF('DONNÉES BRUTES'!C$3:C$42="Healthcare",'DONNÉES BRUTES'!AB$3:AB$42+(ROW('DONNÉES BRUTES'!A$3:A$42)-ROW('DONNÉES BRUTES'!A$3))/1000,0),4),IF('DONNÉES BRUTES'!C$3:C$42="Healthcare",'DONNÉES BRUTES'!AB$3:AB$42+(ROW('DONNÉES BRUTES'!A$3:A$42)-ROW('DONNÉES BRUTES'!A$3))/1000,0),0))),"—")</f>
        <v/>
      </c>
      <c r="E14">
        <f t="array" ref="E14">IFERROR(IF(4&gt;COUNTIF('DONNÉES BRUTES'!C$3:C$42,"Healthcare"),"",INT(LARGE(IF('DONNÉES BRUTES'!C$3:C$42="Healthcare",'DONNÉES BRUTES'!AB$3:AB$42+(ROW('DONNÉES BRUTES'!A$3:A$42)-ROW('DONNÉES BRUTES'!A$3))/1000,0),4))&amp;"/100"),"—")</f>
        <v/>
      </c>
      <c r="F14">
        <f t="array" ref="F14">IFERROR(IF(4&gt;COUNTIF('DONNÉES BRUTES'!C$3:C$42,"Healthcare"),"",INDEX('DONNÉES BRUTES'!Y$3:Y$42,MATCH(LARGE(IF('DONNÉES BRUTES'!C$3:C$42="Healthcare",'DONNÉES BRUTES'!AB$3:AB$42+(ROW('DONNÉES BRUTES'!A$3:A$42)-ROW('DONNÉES BRUTES'!A$3))/1000,0),4),IF('DONNÉES BRUTES'!C$3:C$42="Healthcare",'DONNÉES BRUTES'!AB$3:AB$42+(ROW('DONNÉES BRUTES'!A$3:A$42)-ROW('DONNÉES BRUTES'!A$3))/1000,0),0))),"—")</f>
        <v/>
      </c>
      <c r="G14">
        <f t="array" ref="G14">IFERROR(IF(4&gt;COUNTIF('DONNÉES BRUTES'!C$3:C$42,"Healthcare"),"",INDEX('DONNÉES BRUTES'!Z$3:Z$42,MATCH(LARGE(IF('DONNÉES BRUTES'!C$3:C$42="Healthcare",'DONNÉES BRUTES'!AB$3:AB$42+(ROW('DONNÉES BRUTES'!A$3:A$42)-ROW('DONNÉES BRUTES'!A$3))/1000,0),4),IF('DONNÉES BRUTES'!C$3:C$42="Healthcare",'DONNÉES BRUTES'!AB$3:AB$42+(ROW('DONNÉES BRUTES'!A$3:A$42)-ROW('DONNÉES BRUTES'!A$3))/1000,0),0))),"—")</f>
        <v/>
      </c>
      <c r="H14">
        <f t="array" ref="H14">IFERROR(IF(4&gt;COUNTIF('DONNÉES BRUTES'!C$3:C$42,"Healthcare"),"",INDEX('DONNÉES BRUTES'!AA$3:AA$42,MATCH(LARGE(IF('DONNÉES BRUTES'!C$3:C$42="Healthcare",'DONNÉES BRUTES'!AB$3:AB$42+(ROW('DONNÉES BRUTES'!A$3:A$42)-ROW('DONNÉES BRUTES'!A$3))/1000,0),4),IF('DONNÉES BRUTES'!C$3:C$42="Healthcare",'DONNÉES BRUTES'!AB$3:AB$42+(ROW('DONNÉES BRUTES'!A$3:A$42)-ROW('DONNÉES BRUTES'!A$3))/1000,0),0))),"—")</f>
        <v/>
      </c>
      <c r="I14">
        <f t="array" ref="I14">IFERROR(IF(4&gt;COUNTIF('DONNÉES BRUTES'!C$3:C$42,"Healthcare"),"",INDEX('DONNÉES BRUTES'!M$3:M$42,MATCH(LARGE(IF('DONNÉES BRUTES'!C$3:C$42="Healthcare",'DONNÉES BRUTES'!AB$3:AB$42+(ROW('DONNÉES BRUTES'!A$3:A$42)-ROW('DONNÉES BRUTES'!A$3))/1000,0),4),IF('DONNÉES BRUTES'!C$3:C$42="Healthcare",'DONNÉES BRUTES'!AB$3:AB$42+(ROW('DONNÉES BRUTES'!A$3:A$42)-ROW('DONNÉES BRUTES'!A$3))/1000,0),0))),"—")</f>
        <v/>
      </c>
      <c r="J14">
        <f t="array" ref="J14">IFERROR(IF(4&gt;COUNTIF('DONNÉES BRUTES'!C$3:C$42,"Healthcare"),"",INDEX('DONNÉES BRUTES'!N$3:N$42,MATCH(LARGE(IF('DONNÉES BRUTES'!C$3:C$42="Healthcare",'DONNÉES BRUTES'!AB$3:AB$42+(ROW('DONNÉES BRUTES'!A$3:A$42)-ROW('DONNÉES BRUTES'!A$3))/1000,0),4),IF('DONNÉES BRUTES'!C$3:C$42="Healthcare",'DONNÉES BRUTES'!AB$3:AB$42+(ROW('DONNÉES BRUTES'!A$3:A$42)-ROW('DONNÉES BRUTES'!A$3))/1000,0),0))),"—")</f>
        <v/>
      </c>
      <c r="K14">
        <f t="array" ref="K14">IFERROR(IF(4&gt;COUNTIF('DONNÉES BRUTES'!C$3:C$42,"Healthcare"),"",INDEX('DONNÉES BRUTES'!O$3:O$42,MATCH(LARGE(IF('DONNÉES BRUTES'!C$3:C$42="Healthcare",'DONNÉES BRUTES'!AB$3:AB$42+(ROW('DONNÉES BRUTES'!A$3:A$42)-ROW('DONNÉES BRUTES'!A$3))/1000,0),4),IF('DONNÉES BRUTES'!C$3:C$42="Healthcare",'DONNÉES BRUTES'!AB$3:AB$42+(ROW('DONNÉES BRUTES'!A$3:A$42)-ROW('DONNÉES BRUTES'!A$3))/1000,0),0))),"—")</f>
        <v/>
      </c>
      <c r="L14">
        <f t="array" ref="L14">IFERROR(IF(4&gt;COUNTIF('DONNÉES BRUTES'!C$3:C$42,"Healthcare"),"",INDEX('DONNÉES BRUTES'!P$3:P$42,MATCH(LARGE(IF('DONNÉES BRUTES'!C$3:C$42="Healthcare",'DONNÉES BRUTES'!AB$3:AB$42+(ROW('DONNÉES BRUTES'!A$3:A$42)-ROW('DONNÉES BRUTES'!A$3))/1000,0),4),IF('DONNÉES BRUTES'!C$3:C$42="Healthcare",'DONNÉES BRUTES'!AB$3:AB$42+(ROW('DONNÉES BRUTES'!A$3:A$42)-ROW('DONNÉES BRUTES'!A$3))/1000,0),0))),"—")</f>
        <v/>
      </c>
      <c r="M14">
        <f t="array" ref="M14">IFERROR(IF(4&gt;COUNTIF('DONNÉES BRUTES'!C$3:C$42,"Healthcare"),"",INDEX('DONNÉES BRUTES'!Q$3:Q$42,MATCH(LARGE(IF('DONNÉES BRUTES'!C$3:C$42="Healthcare",'DONNÉES BRUTES'!AB$3:AB$42+(ROW('DONNÉES BRUTES'!A$3:A$42)-ROW('DONNÉES BRUTES'!A$3))/1000,0),4),IF('DONNÉES BRUTES'!C$3:C$42="Healthcare",'DONNÉES BRUTES'!AB$3:AB$42+(ROW('DONNÉES BRUTES'!A$3:A$42)-ROW('DONNÉES BRUTES'!A$3))/1000,0),0))),"—")</f>
        <v/>
      </c>
      <c r="N14">
        <f t="array" ref="N14">IFERROR(IF(4&gt;COUNTIF('DONNÉES BRUTES'!C$3:C$42,"Healthcare"),"",INDEX('DONNÉES BRUTES'!S$3:S$42,MATCH(LARGE(IF('DONNÉES BRUTES'!C$3:C$42="Healthcare",'DONNÉES BRUTES'!AB$3:AB$42+(ROW('DONNÉES BRUTES'!A$3:A$42)-ROW('DONNÉES BRUTES'!A$3))/1000,0),4),IF('DONNÉES BRUTES'!C$3:C$42="Healthcare",'DONNÉES BRUTES'!AB$3:AB$42+(ROW('DONNÉES BRUTES'!A$3:A$42)-ROW('DONNÉES BRUTES'!A$3))/1000,0),0))),"—")</f>
        <v/>
      </c>
      <c r="O14">
        <f t="array" ref="O14">IFERROR(IF(4&gt;COUNTIF('DONNÉES BRUTES'!C$3:C$42,"Healthcare"),"",INDEX('DONNÉES BRUTES'!T$3:T$42,MATCH(LARGE(IF('DONNÉES BRUTES'!C$3:C$42="Healthcare",'DONNÉES BRUTES'!AB$3:AB$42+(ROW('DONNÉES BRUTES'!A$3:A$42)-ROW('DONNÉES BRUTES'!A$3))/1000,0),4),IF('DONNÉES BRUTES'!C$3:C$42="Healthcare",'DONNÉES BRUTES'!AB$3:AB$42+(ROW('DONNÉES BRUTES'!A$3:A$42)-ROW('DONNÉES BRUTES'!A$3))/1000,0),0))),"—")</f>
        <v/>
      </c>
      <c r="P14">
        <f t="array" ref="P14">IFERROR(IF(4&gt;COUNTIF('DONNÉES BRUTES'!C$3:C$42,"Healthcare"),"",INDEX('DONNÉES BRUTES'!U$3:U$42,MATCH(LARGE(IF('DONNÉES BRUTES'!C$3:C$42="Healthcare",'DONNÉES BRUTES'!AB$3:AB$42+(ROW('DONNÉES BRUTES'!A$3:A$42)-ROW('DONNÉES BRUTES'!A$3))/1000,0),4),IF('DONNÉES BRUTES'!C$3:C$42="Healthcare",'DONNÉES BRUTES'!AB$3:AB$42+(ROW('DONNÉES BRUTES'!A$3:A$42)-ROW('DONNÉES BRUTES'!A$3))/1000,0),0))),"—")</f>
        <v/>
      </c>
    </row>
    <row r="15" ht="15.95" customHeight="1">
      <c r="B15">
        <f>IF(5&gt;COUNTIF('DONNÉES BRUTES'!C$3:C$42,"Healthcare"),"",5)</f>
        <v/>
      </c>
      <c r="C15">
        <f t="array" ref="C15">IFERROR(IF(5&gt;COUNTIF('DONNÉES BRUTES'!C$3:C$42,"Healthcare"),"",INDEX('DONNÉES BRUTES'!A$3:A$42,MATCH(LARGE(IF('DONNÉES BRUTES'!C$3:C$42="Healthcare",'DONNÉES BRUTES'!AB$3:AB$42+(ROW('DONNÉES BRUTES'!A$3:A$42)-ROW('DONNÉES BRUTES'!A$3))/1000,0),5),IF('DONNÉES BRUTES'!C$3:C$42="Healthcare",'DONNÉES BRUTES'!AB$3:AB$42+(ROW('DONNÉES BRUTES'!A$3:A$42)-ROW('DONNÉES BRUTES'!A$3))/1000,0),0))),"—")</f>
        <v/>
      </c>
      <c r="D15">
        <f t="array" ref="D15">IFERROR(IF(5&gt;COUNTIF('DONNÉES BRUTES'!C$3:C$42,"Healthcare"),"",INDEX('DONNÉES BRUTES'!B$3:B$42,MATCH(LARGE(IF('DONNÉES BRUTES'!C$3:C$42="Healthcare",'DONNÉES BRUTES'!AB$3:AB$42+(ROW('DONNÉES BRUTES'!A$3:A$42)-ROW('DONNÉES BRUTES'!A$3))/1000,0),5),IF('DONNÉES BRUTES'!C$3:C$42="Healthcare",'DONNÉES BRUTES'!AB$3:AB$42+(ROW('DONNÉES BRUTES'!A$3:A$42)-ROW('DONNÉES BRUTES'!A$3))/1000,0),0))),"—")</f>
        <v/>
      </c>
      <c r="E15">
        <f t="array" ref="E15">IFERROR(IF(5&gt;COUNTIF('DONNÉES BRUTES'!C$3:C$42,"Healthcare"),"",INT(LARGE(IF('DONNÉES BRUTES'!C$3:C$42="Healthcare",'DONNÉES BRUTES'!AB$3:AB$42+(ROW('DONNÉES BRUTES'!A$3:A$42)-ROW('DONNÉES BRUTES'!A$3))/1000,0),5))&amp;"/100"),"—")</f>
        <v/>
      </c>
      <c r="F15">
        <f t="array" ref="F15">IFERROR(IF(5&gt;COUNTIF('DONNÉES BRUTES'!C$3:C$42,"Healthcare"),"",INDEX('DONNÉES BRUTES'!Y$3:Y$42,MATCH(LARGE(IF('DONNÉES BRUTES'!C$3:C$42="Healthcare",'DONNÉES BRUTES'!AB$3:AB$42+(ROW('DONNÉES BRUTES'!A$3:A$42)-ROW('DONNÉES BRUTES'!A$3))/1000,0),5),IF('DONNÉES BRUTES'!C$3:C$42="Healthcare",'DONNÉES BRUTES'!AB$3:AB$42+(ROW('DONNÉES BRUTES'!A$3:A$42)-ROW('DONNÉES BRUTES'!A$3))/1000,0),0))),"—")</f>
        <v/>
      </c>
      <c r="G15">
        <f t="array" ref="G15">IFERROR(IF(5&gt;COUNTIF('DONNÉES BRUTES'!C$3:C$42,"Healthcare"),"",INDEX('DONNÉES BRUTES'!Z$3:Z$42,MATCH(LARGE(IF('DONNÉES BRUTES'!C$3:C$42="Healthcare",'DONNÉES BRUTES'!AB$3:AB$42+(ROW('DONNÉES BRUTES'!A$3:A$42)-ROW('DONNÉES BRUTES'!A$3))/1000,0),5),IF('DONNÉES BRUTES'!C$3:C$42="Healthcare",'DONNÉES BRUTES'!AB$3:AB$42+(ROW('DONNÉES BRUTES'!A$3:A$42)-ROW('DONNÉES BRUTES'!A$3))/1000,0),0))),"—")</f>
        <v/>
      </c>
      <c r="H15">
        <f t="array" ref="H15">IFERROR(IF(5&gt;COUNTIF('DONNÉES BRUTES'!C$3:C$42,"Healthcare"),"",INDEX('DONNÉES BRUTES'!AA$3:AA$42,MATCH(LARGE(IF('DONNÉES BRUTES'!C$3:C$42="Healthcare",'DONNÉES BRUTES'!AB$3:AB$42+(ROW('DONNÉES BRUTES'!A$3:A$42)-ROW('DONNÉES BRUTES'!A$3))/1000,0),5),IF('DONNÉES BRUTES'!C$3:C$42="Healthcare",'DONNÉES BRUTES'!AB$3:AB$42+(ROW('DONNÉES BRUTES'!A$3:A$42)-ROW('DONNÉES BRUTES'!A$3))/1000,0),0))),"—")</f>
        <v/>
      </c>
      <c r="I15">
        <f t="array" ref="I15">IFERROR(IF(5&gt;COUNTIF('DONNÉES BRUTES'!C$3:C$42,"Healthcare"),"",INDEX('DONNÉES BRUTES'!M$3:M$42,MATCH(LARGE(IF('DONNÉES BRUTES'!C$3:C$42="Healthcare",'DONNÉES BRUTES'!AB$3:AB$42+(ROW('DONNÉES BRUTES'!A$3:A$42)-ROW('DONNÉES BRUTES'!A$3))/1000,0),5),IF('DONNÉES BRUTES'!C$3:C$42="Healthcare",'DONNÉES BRUTES'!AB$3:AB$42+(ROW('DONNÉES BRUTES'!A$3:A$42)-ROW('DONNÉES BRUTES'!A$3))/1000,0),0))),"—")</f>
        <v/>
      </c>
      <c r="J15">
        <f t="array" ref="J15">IFERROR(IF(5&gt;COUNTIF('DONNÉES BRUTES'!C$3:C$42,"Healthcare"),"",INDEX('DONNÉES BRUTES'!N$3:N$42,MATCH(LARGE(IF('DONNÉES BRUTES'!C$3:C$42="Healthcare",'DONNÉES BRUTES'!AB$3:AB$42+(ROW('DONNÉES BRUTES'!A$3:A$42)-ROW('DONNÉES BRUTES'!A$3))/1000,0),5),IF('DONNÉES BRUTES'!C$3:C$42="Healthcare",'DONNÉES BRUTES'!AB$3:AB$42+(ROW('DONNÉES BRUTES'!A$3:A$42)-ROW('DONNÉES BRUTES'!A$3))/1000,0),0))),"—")</f>
        <v/>
      </c>
      <c r="K15">
        <f t="array" ref="K15">IFERROR(IF(5&gt;COUNTIF('DONNÉES BRUTES'!C$3:C$42,"Healthcare"),"",INDEX('DONNÉES BRUTES'!O$3:O$42,MATCH(LARGE(IF('DONNÉES BRUTES'!C$3:C$42="Healthcare",'DONNÉES BRUTES'!AB$3:AB$42+(ROW('DONNÉES BRUTES'!A$3:A$42)-ROW('DONNÉES BRUTES'!A$3))/1000,0),5),IF('DONNÉES BRUTES'!C$3:C$42="Healthcare",'DONNÉES BRUTES'!AB$3:AB$42+(ROW('DONNÉES BRUTES'!A$3:A$42)-ROW('DONNÉES BRUTES'!A$3))/1000,0),0))),"—")</f>
        <v/>
      </c>
      <c r="L15">
        <f t="array" ref="L15">IFERROR(IF(5&gt;COUNTIF('DONNÉES BRUTES'!C$3:C$42,"Healthcare"),"",INDEX('DONNÉES BRUTES'!P$3:P$42,MATCH(LARGE(IF('DONNÉES BRUTES'!C$3:C$42="Healthcare",'DONNÉES BRUTES'!AB$3:AB$42+(ROW('DONNÉES BRUTES'!A$3:A$42)-ROW('DONNÉES BRUTES'!A$3))/1000,0),5),IF('DONNÉES BRUTES'!C$3:C$42="Healthcare",'DONNÉES BRUTES'!AB$3:AB$42+(ROW('DONNÉES BRUTES'!A$3:A$42)-ROW('DONNÉES BRUTES'!A$3))/1000,0),0))),"—")</f>
        <v/>
      </c>
      <c r="M15">
        <f t="array" ref="M15">IFERROR(IF(5&gt;COUNTIF('DONNÉES BRUTES'!C$3:C$42,"Healthcare"),"",INDEX('DONNÉES BRUTES'!Q$3:Q$42,MATCH(LARGE(IF('DONNÉES BRUTES'!C$3:C$42="Healthcare",'DONNÉES BRUTES'!AB$3:AB$42+(ROW('DONNÉES BRUTES'!A$3:A$42)-ROW('DONNÉES BRUTES'!A$3))/1000,0),5),IF('DONNÉES BRUTES'!C$3:C$42="Healthcare",'DONNÉES BRUTES'!AB$3:AB$42+(ROW('DONNÉES BRUTES'!A$3:A$42)-ROW('DONNÉES BRUTES'!A$3))/1000,0),0))),"—")</f>
        <v/>
      </c>
      <c r="N15">
        <f t="array" ref="N15">IFERROR(IF(5&gt;COUNTIF('DONNÉES BRUTES'!C$3:C$42,"Healthcare"),"",INDEX('DONNÉES BRUTES'!S$3:S$42,MATCH(LARGE(IF('DONNÉES BRUTES'!C$3:C$42="Healthcare",'DONNÉES BRUTES'!AB$3:AB$42+(ROW('DONNÉES BRUTES'!A$3:A$42)-ROW('DONNÉES BRUTES'!A$3))/1000,0),5),IF('DONNÉES BRUTES'!C$3:C$42="Healthcare",'DONNÉES BRUTES'!AB$3:AB$42+(ROW('DONNÉES BRUTES'!A$3:A$42)-ROW('DONNÉES BRUTES'!A$3))/1000,0),0))),"—")</f>
        <v/>
      </c>
      <c r="O15">
        <f t="array" ref="O15">IFERROR(IF(5&gt;COUNTIF('DONNÉES BRUTES'!C$3:C$42,"Healthcare"),"",INDEX('DONNÉES BRUTES'!T$3:T$42,MATCH(LARGE(IF('DONNÉES BRUTES'!C$3:C$42="Healthcare",'DONNÉES BRUTES'!AB$3:AB$42+(ROW('DONNÉES BRUTES'!A$3:A$42)-ROW('DONNÉES BRUTES'!A$3))/1000,0),5),IF('DONNÉES BRUTES'!C$3:C$42="Healthcare",'DONNÉES BRUTES'!AB$3:AB$42+(ROW('DONNÉES BRUTES'!A$3:A$42)-ROW('DONNÉES BRUTES'!A$3))/1000,0),0))),"—")</f>
        <v/>
      </c>
      <c r="P15">
        <f t="array" ref="P15">IFERROR(IF(5&gt;COUNTIF('DONNÉES BRUTES'!C$3:C$42,"Healthcare"),"",INDEX('DONNÉES BRUTES'!U$3:U$42,MATCH(LARGE(IF('DONNÉES BRUTES'!C$3:C$42="Healthcare",'DONNÉES BRUTES'!AB$3:AB$42+(ROW('DONNÉES BRUTES'!A$3:A$42)-ROW('DONNÉES BRUTES'!A$3))/1000,0),5),IF('DONNÉES BRUTES'!C$3:C$42="Healthcare",'DONNÉES BRUTES'!AB$3:AB$42+(ROW('DONNÉES BRUTES'!A$3:A$42)-ROW('DONNÉES BRUTES'!A$3))/1000,0),0))),"—")</f>
        <v/>
      </c>
      <c r="Q15">
        <f t="array" ref="Q15">IFERROR(IF(5&gt;COUNTIF('DONNÉES BRUTES'!C$3:C$42,"Healthcare"),"",INDEX('DONNÉES BRUTES'!AD$3:AD$42,MATCH(LARGE(IF('DONNÉES BRUTES'!C$3:C$42="Healthcare",'DONNÉES BRUTES'!AB$3:AB$42+(ROW('DONNÉES BRUTES'!A$3:A$42)-ROW('DONNÉES BRUTES'!A$3))/1000,0),5),IF('DONNÉES BRUTES'!C$3:C$42="Healthcare",'DONNÉES BRUTES'!AB$3:AB$42+(ROW('DONNÉES BRUTES'!A$3:A$42)-ROW('DONNÉES BRUTES'!A$3))/1000,0),0))),"—")</f>
        <v/>
      </c>
    </row>
    <row r="16" ht="15.95" customHeight="1">
      <c r="B16">
        <f>IF(6&gt;COUNTIF('DONNÉES BRUTES'!C$3:C$42,"Healthcare"),"",6)</f>
        <v/>
      </c>
      <c r="C16">
        <f t="array" ref="C16">IFERROR(IF(6&gt;COUNTIF('DONNÉES BRUTES'!C$3:C$42,"Healthcare"),"",INDEX('DONNÉES BRUTES'!A$3:A$42,MATCH(LARGE(IF('DONNÉES BRUTES'!C$3:C$42="Healthcare",'DONNÉES BRUTES'!AB$3:AB$42+(ROW('DONNÉES BRUTES'!A$3:A$42)-ROW('DONNÉES BRUTES'!A$3))/1000,0),6),IF('DONNÉES BRUTES'!C$3:C$42="Healthcare",'DONNÉES BRUTES'!AB$3:AB$42+(ROW('DONNÉES BRUTES'!A$3:A$42)-ROW('DONNÉES BRUTES'!A$3))/1000,0),0))),"—")</f>
        <v/>
      </c>
      <c r="D16">
        <f t="array" ref="D16">IFERROR(IF(6&gt;COUNTIF('DONNÉES BRUTES'!C$3:C$42,"Healthcare"),"",INDEX('DONNÉES BRUTES'!B$3:B$42,MATCH(LARGE(IF('DONNÉES BRUTES'!C$3:C$42="Healthcare",'DONNÉES BRUTES'!AB$3:AB$42+(ROW('DONNÉES BRUTES'!A$3:A$42)-ROW('DONNÉES BRUTES'!A$3))/1000,0),6),IF('DONNÉES BRUTES'!C$3:C$42="Healthcare",'DONNÉES BRUTES'!AB$3:AB$42+(ROW('DONNÉES BRUTES'!A$3:A$42)-ROW('DONNÉES BRUTES'!A$3))/1000,0),0))),"—")</f>
        <v/>
      </c>
      <c r="E16">
        <f t="array" ref="E16">IFERROR(IF(6&gt;COUNTIF('DONNÉES BRUTES'!C$3:C$42,"Healthcare"),"",INT(LARGE(IF('DONNÉES BRUTES'!C$3:C$42="Healthcare",'DONNÉES BRUTES'!AB$3:AB$42+(ROW('DONNÉES BRUTES'!A$3:A$42)-ROW('DONNÉES BRUTES'!A$3))/1000,0),6))&amp;"/100"),"—")</f>
        <v/>
      </c>
      <c r="F16">
        <f t="array" ref="F16">IFERROR(IF(6&gt;COUNTIF('DONNÉES BRUTES'!C$3:C$42,"Healthcare"),"",INDEX('DONNÉES BRUTES'!Y$3:Y$42,MATCH(LARGE(IF('DONNÉES BRUTES'!C$3:C$42="Healthcare",'DONNÉES BRUTES'!AB$3:AB$42+(ROW('DONNÉES BRUTES'!A$3:A$42)-ROW('DONNÉES BRUTES'!A$3))/1000,0),6),IF('DONNÉES BRUTES'!C$3:C$42="Healthcare",'DONNÉES BRUTES'!AB$3:AB$42+(ROW('DONNÉES BRUTES'!A$3:A$42)-ROW('DONNÉES BRUTES'!A$3))/1000,0),0))),"—")</f>
        <v/>
      </c>
      <c r="G16">
        <f t="array" ref="G16">IFERROR(IF(6&gt;COUNTIF('DONNÉES BRUTES'!C$3:C$42,"Healthcare"),"",INDEX('DONNÉES BRUTES'!Z$3:Z$42,MATCH(LARGE(IF('DONNÉES BRUTES'!C$3:C$42="Healthcare",'DONNÉES BRUTES'!AB$3:AB$42+(ROW('DONNÉES BRUTES'!A$3:A$42)-ROW('DONNÉES BRUTES'!A$3))/1000,0),6),IF('DONNÉES BRUTES'!C$3:C$42="Healthcare",'DONNÉES BRUTES'!AB$3:AB$42+(ROW('DONNÉES BRUTES'!A$3:A$42)-ROW('DONNÉES BRUTES'!A$3))/1000,0),0))),"—")</f>
        <v/>
      </c>
      <c r="H16">
        <f t="array" ref="H16">IFERROR(IF(6&gt;COUNTIF('DONNÉES BRUTES'!C$3:C$42,"Healthcare"),"",INDEX('DONNÉES BRUTES'!AA$3:AA$42,MATCH(LARGE(IF('DONNÉES BRUTES'!C$3:C$42="Healthcare",'DONNÉES BRUTES'!AB$3:AB$42+(ROW('DONNÉES BRUTES'!A$3:A$42)-ROW('DONNÉES BRUTES'!A$3))/1000,0),6),IF('DONNÉES BRUTES'!C$3:C$42="Healthcare",'DONNÉES BRUTES'!AB$3:AB$42+(ROW('DONNÉES BRUTES'!A$3:A$42)-ROW('DONNÉES BRUTES'!A$3))/1000,0),0))),"—")</f>
        <v/>
      </c>
      <c r="I16">
        <f t="array" ref="I16">IFERROR(IF(6&gt;COUNTIF('DONNÉES BRUTES'!C$3:C$42,"Healthcare"),"",INDEX('DONNÉES BRUTES'!M$3:M$42,MATCH(LARGE(IF('DONNÉES BRUTES'!C$3:C$42="Healthcare",'DONNÉES BRUTES'!AB$3:AB$42+(ROW('DONNÉES BRUTES'!A$3:A$42)-ROW('DONNÉES BRUTES'!A$3))/1000,0),6),IF('DONNÉES BRUTES'!C$3:C$42="Healthcare",'DONNÉES BRUTES'!AB$3:AB$42+(ROW('DONNÉES BRUTES'!A$3:A$42)-ROW('DONNÉES BRUTES'!A$3))/1000,0),0))),"—")</f>
        <v/>
      </c>
      <c r="J16">
        <f t="array" ref="J16">IFERROR(IF(6&gt;COUNTIF('DONNÉES BRUTES'!C$3:C$42,"Healthcare"),"",INDEX('DONNÉES BRUTES'!N$3:N$42,MATCH(LARGE(IF('DONNÉES BRUTES'!C$3:C$42="Healthcare",'DONNÉES BRUTES'!AB$3:AB$42+(ROW('DONNÉES BRUTES'!A$3:A$42)-ROW('DONNÉES BRUTES'!A$3))/1000,0),6),IF('DONNÉES BRUTES'!C$3:C$42="Healthcare",'DONNÉES BRUTES'!AB$3:AB$42+(ROW('DONNÉES BRUTES'!A$3:A$42)-ROW('DONNÉES BRUTES'!A$3))/1000,0),0))),"—")</f>
        <v/>
      </c>
      <c r="K16">
        <f t="array" ref="K16">IFERROR(IF(6&gt;COUNTIF('DONNÉES BRUTES'!C$3:C$42,"Healthcare"),"",INDEX('DONNÉES BRUTES'!O$3:O$42,MATCH(LARGE(IF('DONNÉES BRUTES'!C$3:C$42="Healthcare",'DONNÉES BRUTES'!AB$3:AB$42+(ROW('DONNÉES BRUTES'!A$3:A$42)-ROW('DONNÉES BRUTES'!A$3))/1000,0),6),IF('DONNÉES BRUTES'!C$3:C$42="Healthcare",'DONNÉES BRUTES'!AB$3:AB$42+(ROW('DONNÉES BRUTES'!A$3:A$42)-ROW('DONNÉES BRUTES'!A$3))/1000,0),0))),"—")</f>
        <v/>
      </c>
      <c r="L16">
        <f t="array" ref="L16">IFERROR(IF(6&gt;COUNTIF('DONNÉES BRUTES'!C$3:C$42,"Healthcare"),"",INDEX('DONNÉES BRUTES'!P$3:P$42,MATCH(LARGE(IF('DONNÉES BRUTES'!C$3:C$42="Healthcare",'DONNÉES BRUTES'!AB$3:AB$42+(ROW('DONNÉES BRUTES'!A$3:A$42)-ROW('DONNÉES BRUTES'!A$3))/1000,0),6),IF('DONNÉES BRUTES'!C$3:C$42="Healthcare",'DONNÉES BRUTES'!AB$3:AB$42+(ROW('DONNÉES BRUTES'!A$3:A$42)-ROW('DONNÉES BRUTES'!A$3))/1000,0),0))),"—")</f>
        <v/>
      </c>
      <c r="M16">
        <f t="array" ref="M16">IFERROR(IF(6&gt;COUNTIF('DONNÉES BRUTES'!C$3:C$42,"Healthcare"),"",INDEX('DONNÉES BRUTES'!Q$3:Q$42,MATCH(LARGE(IF('DONNÉES BRUTES'!C$3:C$42="Healthcare",'DONNÉES BRUTES'!AB$3:AB$42+(ROW('DONNÉES BRUTES'!A$3:A$42)-ROW('DONNÉES BRUTES'!A$3))/1000,0),6),IF('DONNÉES BRUTES'!C$3:C$42="Healthcare",'DONNÉES BRUTES'!AB$3:AB$42+(ROW('DONNÉES BRUTES'!A$3:A$42)-ROW('DONNÉES BRUTES'!A$3))/1000,0),0))),"—")</f>
        <v/>
      </c>
      <c r="N16">
        <f t="array" ref="N16">IFERROR(IF(6&gt;COUNTIF('DONNÉES BRUTES'!C$3:C$42,"Healthcare"),"",INDEX('DONNÉES BRUTES'!S$3:S$42,MATCH(LARGE(IF('DONNÉES BRUTES'!C$3:C$42="Healthcare",'DONNÉES BRUTES'!AB$3:AB$42+(ROW('DONNÉES BRUTES'!A$3:A$42)-ROW('DONNÉES BRUTES'!A$3))/1000,0),6),IF('DONNÉES BRUTES'!C$3:C$42="Healthcare",'DONNÉES BRUTES'!AB$3:AB$42+(ROW('DONNÉES BRUTES'!A$3:A$42)-ROW('DONNÉES BRUTES'!A$3))/1000,0),0))),"—")</f>
        <v/>
      </c>
      <c r="O16">
        <f t="array" ref="O16">IFERROR(IF(6&gt;COUNTIF('DONNÉES BRUTES'!C$3:C$42,"Healthcare"),"",INDEX('DONNÉES BRUTES'!T$3:T$42,MATCH(LARGE(IF('DONNÉES BRUTES'!C$3:C$42="Healthcare",'DONNÉES BRUTES'!AB$3:AB$42+(ROW('DONNÉES BRUTES'!A$3:A$42)-ROW('DONNÉES BRUTES'!A$3))/1000,0),6),IF('DONNÉES BRUTES'!C$3:C$42="Healthcare",'DONNÉES BRUTES'!AB$3:AB$42+(ROW('DONNÉES BRUTES'!A$3:A$42)-ROW('DONNÉES BRUTES'!A$3))/1000,0),0))),"—")</f>
        <v/>
      </c>
      <c r="P16">
        <f t="array" ref="P16">IFERROR(IF(6&gt;COUNTIF('DONNÉES BRUTES'!C$3:C$42,"Healthcare"),"",INDEX('DONNÉES BRUTES'!U$3:U$42,MATCH(LARGE(IF('DONNÉES BRUTES'!C$3:C$42="Healthcare",'DONNÉES BRUTES'!AB$3:AB$42+(ROW('DONNÉES BRUTES'!A$3:A$42)-ROW('DONNÉES BRUTES'!A$3))/1000,0),6),IF('DONNÉES BRUTES'!C$3:C$42="Healthcare",'DONNÉES BRUTES'!AB$3:AB$42+(ROW('DONNÉES BRUTES'!A$3:A$42)-ROW('DONNÉES BRUTES'!A$3))/1000,0),0))),"—")</f>
        <v/>
      </c>
      <c r="Q16">
        <f t="array" ref="Q16">IFERROR(IF(6&gt;COUNTIF('DONNÉES BRUTES'!C$3:C$42,"Healthcare"),"",INDEX('DONNÉES BRUTES'!AD$3:AD$42,MATCH(LARGE(IF('DONNÉES BRUTES'!C$3:C$42="Healthcare",'DONNÉES BRUTES'!AB$3:AB$42+(ROW('DONNÉES BRUTES'!A$3:A$42)-ROW('DONNÉES BRUTES'!A$3))/1000,0),6),IF('DONNÉES BRUTES'!C$3:C$42="Healthcare",'DONNÉES BRUTES'!AB$3:AB$42+(ROW('DONNÉES BRUTES'!A$3:A$42)-ROW('DONNÉES BRUTES'!A$3))/1000,0),0))),"—")</f>
        <v/>
      </c>
    </row>
    <row r="17" ht="15.95" customHeight="1">
      <c r="B17">
        <f>IF(7&gt;COUNTIF('DONNÉES BRUTES'!C$3:C$42,"Healthcare"),"",7)</f>
        <v/>
      </c>
      <c r="C17">
        <f t="array" ref="C17">IFERROR(IF(7&gt;COUNTIF('DONNÉES BRUTES'!C$3:C$42,"Healthcare"),"",INDEX('DONNÉES BRUTES'!A$3:A$42,MATCH(LARGE(IF('DONNÉES BRUTES'!C$3:C$42="Healthcare",'DONNÉES BRUTES'!AB$3:AB$42+(ROW('DONNÉES BRUTES'!A$3:A$42)-ROW('DONNÉES BRUTES'!A$3))/1000,0),7),IF('DONNÉES BRUTES'!C$3:C$42="Healthcare",'DONNÉES BRUTES'!AB$3:AB$42+(ROW('DONNÉES BRUTES'!A$3:A$42)-ROW('DONNÉES BRUTES'!A$3))/1000,0),0))),"—")</f>
        <v/>
      </c>
      <c r="D17">
        <f t="array" ref="D17">IFERROR(IF(7&gt;COUNTIF('DONNÉES BRUTES'!C$3:C$42,"Healthcare"),"",INDEX('DONNÉES BRUTES'!B$3:B$42,MATCH(LARGE(IF('DONNÉES BRUTES'!C$3:C$42="Healthcare",'DONNÉES BRUTES'!AB$3:AB$42+(ROW('DONNÉES BRUTES'!A$3:A$42)-ROW('DONNÉES BRUTES'!A$3))/1000,0),7),IF('DONNÉES BRUTES'!C$3:C$42="Healthcare",'DONNÉES BRUTES'!AB$3:AB$42+(ROW('DONNÉES BRUTES'!A$3:A$42)-ROW('DONNÉES BRUTES'!A$3))/1000,0),0))),"—")</f>
        <v/>
      </c>
      <c r="E17">
        <f t="array" ref="E17">IFERROR(IF(7&gt;COUNTIF('DONNÉES BRUTES'!C$3:C$42,"Healthcare"),"",INT(LARGE(IF('DONNÉES BRUTES'!C$3:C$42="Healthcare",'DONNÉES BRUTES'!AB$3:AB$42+(ROW('DONNÉES BRUTES'!A$3:A$42)-ROW('DONNÉES BRUTES'!A$3))/1000,0),7))&amp;"/100"),"—")</f>
        <v/>
      </c>
      <c r="F17">
        <f t="array" ref="F17">IFERROR(IF(7&gt;COUNTIF('DONNÉES BRUTES'!C$3:C$42,"Healthcare"),"",INDEX('DONNÉES BRUTES'!Y$3:Y$42,MATCH(LARGE(IF('DONNÉES BRUTES'!C$3:C$42="Healthcare",'DONNÉES BRUTES'!AB$3:AB$42+(ROW('DONNÉES BRUTES'!A$3:A$42)-ROW('DONNÉES BRUTES'!A$3))/1000,0),7),IF('DONNÉES BRUTES'!C$3:C$42="Healthcare",'DONNÉES BRUTES'!AB$3:AB$42+(ROW('DONNÉES BRUTES'!A$3:A$42)-ROW('DONNÉES BRUTES'!A$3))/1000,0),0))),"—")</f>
        <v/>
      </c>
      <c r="G17">
        <f t="array" ref="G17">IFERROR(IF(7&gt;COUNTIF('DONNÉES BRUTES'!C$3:C$42,"Healthcare"),"",INDEX('DONNÉES BRUTES'!Z$3:Z$42,MATCH(LARGE(IF('DONNÉES BRUTES'!C$3:C$42="Healthcare",'DONNÉES BRUTES'!AB$3:AB$42+(ROW('DONNÉES BRUTES'!A$3:A$42)-ROW('DONNÉES BRUTES'!A$3))/1000,0),7),IF('DONNÉES BRUTES'!C$3:C$42="Healthcare",'DONNÉES BRUTES'!AB$3:AB$42+(ROW('DONNÉES BRUTES'!A$3:A$42)-ROW('DONNÉES BRUTES'!A$3))/1000,0),0))),"—")</f>
        <v/>
      </c>
      <c r="H17">
        <f t="array" ref="H17">IFERROR(IF(7&gt;COUNTIF('DONNÉES BRUTES'!C$3:C$42,"Healthcare"),"",INDEX('DONNÉES BRUTES'!AA$3:AA$42,MATCH(LARGE(IF('DONNÉES BRUTES'!C$3:C$42="Healthcare",'DONNÉES BRUTES'!AB$3:AB$42+(ROW('DONNÉES BRUTES'!A$3:A$42)-ROW('DONNÉES BRUTES'!A$3))/1000,0),7),IF('DONNÉES BRUTES'!C$3:C$42="Healthcare",'DONNÉES BRUTES'!AB$3:AB$42+(ROW('DONNÉES BRUTES'!A$3:A$42)-ROW('DONNÉES BRUTES'!A$3))/1000,0),0))),"—")</f>
        <v/>
      </c>
      <c r="I17">
        <f t="array" ref="I17">IFERROR(IF(7&gt;COUNTIF('DONNÉES BRUTES'!C$3:C$42,"Healthcare"),"",INDEX('DONNÉES BRUTES'!M$3:M$42,MATCH(LARGE(IF('DONNÉES BRUTES'!C$3:C$42="Healthcare",'DONNÉES BRUTES'!AB$3:AB$42+(ROW('DONNÉES BRUTES'!A$3:A$42)-ROW('DONNÉES BRUTES'!A$3))/1000,0),7),IF('DONNÉES BRUTES'!C$3:C$42="Healthcare",'DONNÉES BRUTES'!AB$3:AB$42+(ROW('DONNÉES BRUTES'!A$3:A$42)-ROW('DONNÉES BRUTES'!A$3))/1000,0),0))),"—")</f>
        <v/>
      </c>
      <c r="J17">
        <f t="array" ref="J17">IFERROR(IF(7&gt;COUNTIF('DONNÉES BRUTES'!C$3:C$42,"Healthcare"),"",INDEX('DONNÉES BRUTES'!N$3:N$42,MATCH(LARGE(IF('DONNÉES BRUTES'!C$3:C$42="Healthcare",'DONNÉES BRUTES'!AB$3:AB$42+(ROW('DONNÉES BRUTES'!A$3:A$42)-ROW('DONNÉES BRUTES'!A$3))/1000,0),7),IF('DONNÉES BRUTES'!C$3:C$42="Healthcare",'DONNÉES BRUTES'!AB$3:AB$42+(ROW('DONNÉES BRUTES'!A$3:A$42)-ROW('DONNÉES BRUTES'!A$3))/1000,0),0))),"—")</f>
        <v/>
      </c>
      <c r="K17">
        <f t="array" ref="K17">IFERROR(IF(7&gt;COUNTIF('DONNÉES BRUTES'!C$3:C$42,"Healthcare"),"",INDEX('DONNÉES BRUTES'!O$3:O$42,MATCH(LARGE(IF('DONNÉES BRUTES'!C$3:C$42="Healthcare",'DONNÉES BRUTES'!AB$3:AB$42+(ROW('DONNÉES BRUTES'!A$3:A$42)-ROW('DONNÉES BRUTES'!A$3))/1000,0),7),IF('DONNÉES BRUTES'!C$3:C$42="Healthcare",'DONNÉES BRUTES'!AB$3:AB$42+(ROW('DONNÉES BRUTES'!A$3:A$42)-ROW('DONNÉES BRUTES'!A$3))/1000,0),0))),"—")</f>
        <v/>
      </c>
      <c r="L17">
        <f t="array" ref="L17">IFERROR(IF(7&gt;COUNTIF('DONNÉES BRUTES'!C$3:C$42,"Healthcare"),"",INDEX('DONNÉES BRUTES'!P$3:P$42,MATCH(LARGE(IF('DONNÉES BRUTES'!C$3:C$42="Healthcare",'DONNÉES BRUTES'!AB$3:AB$42+(ROW('DONNÉES BRUTES'!A$3:A$42)-ROW('DONNÉES BRUTES'!A$3))/1000,0),7),IF('DONNÉES BRUTES'!C$3:C$42="Healthcare",'DONNÉES BRUTES'!AB$3:AB$42+(ROW('DONNÉES BRUTES'!A$3:A$42)-ROW('DONNÉES BRUTES'!A$3))/1000,0),0))),"—")</f>
        <v/>
      </c>
      <c r="M17">
        <f t="array" ref="M17">IFERROR(IF(7&gt;COUNTIF('DONNÉES BRUTES'!C$3:C$42,"Healthcare"),"",INDEX('DONNÉES BRUTES'!Q$3:Q$42,MATCH(LARGE(IF('DONNÉES BRUTES'!C$3:C$42="Healthcare",'DONNÉES BRUTES'!AB$3:AB$42+(ROW('DONNÉES BRUTES'!A$3:A$42)-ROW('DONNÉES BRUTES'!A$3))/1000,0),7),IF('DONNÉES BRUTES'!C$3:C$42="Healthcare",'DONNÉES BRUTES'!AB$3:AB$42+(ROW('DONNÉES BRUTES'!A$3:A$42)-ROW('DONNÉES BRUTES'!A$3))/1000,0),0))),"—")</f>
        <v/>
      </c>
      <c r="N17">
        <f t="array" ref="N17">IFERROR(IF(7&gt;COUNTIF('DONNÉES BRUTES'!C$3:C$42,"Healthcare"),"",INDEX('DONNÉES BRUTES'!S$3:S$42,MATCH(LARGE(IF('DONNÉES BRUTES'!C$3:C$42="Healthcare",'DONNÉES BRUTES'!AB$3:AB$42+(ROW('DONNÉES BRUTES'!A$3:A$42)-ROW('DONNÉES BRUTES'!A$3))/1000,0),7),IF('DONNÉES BRUTES'!C$3:C$42="Healthcare",'DONNÉES BRUTES'!AB$3:AB$42+(ROW('DONNÉES BRUTES'!A$3:A$42)-ROW('DONNÉES BRUTES'!A$3))/1000,0),0))),"—")</f>
        <v/>
      </c>
      <c r="O17">
        <f t="array" ref="O17">IFERROR(IF(7&gt;COUNTIF('DONNÉES BRUTES'!C$3:C$42,"Healthcare"),"",INDEX('DONNÉES BRUTES'!T$3:T$42,MATCH(LARGE(IF('DONNÉES BRUTES'!C$3:C$42="Healthcare",'DONNÉES BRUTES'!AB$3:AB$42+(ROW('DONNÉES BRUTES'!A$3:A$42)-ROW('DONNÉES BRUTES'!A$3))/1000,0),7),IF('DONNÉES BRUTES'!C$3:C$42="Healthcare",'DONNÉES BRUTES'!AB$3:AB$42+(ROW('DONNÉES BRUTES'!A$3:A$42)-ROW('DONNÉES BRUTES'!A$3))/1000,0),0))),"—")</f>
        <v/>
      </c>
      <c r="P17">
        <f t="array" ref="P17">IFERROR(IF(7&gt;COUNTIF('DONNÉES BRUTES'!C$3:C$42,"Healthcare"),"",INDEX('DONNÉES BRUTES'!U$3:U$42,MATCH(LARGE(IF('DONNÉES BRUTES'!C$3:C$42="Healthcare",'DONNÉES BRUTES'!AB$3:AB$42+(ROW('DONNÉES BRUTES'!A$3:A$42)-ROW('DONNÉES BRUTES'!A$3))/1000,0),7),IF('DONNÉES BRUTES'!C$3:C$42="Healthcare",'DONNÉES BRUTES'!AB$3:AB$42+(ROW('DONNÉES BRUTES'!A$3:A$42)-ROW('DONNÉES BRUTES'!A$3))/1000,0),0))),"—")</f>
        <v/>
      </c>
      <c r="Q17">
        <f t="array" ref="Q17">IFERROR(IF(7&gt;COUNTIF('DONNÉES BRUTES'!C$3:C$42,"Healthcare"),"",INDEX('DONNÉES BRUTES'!AD$3:AD$42,MATCH(LARGE(IF('DONNÉES BRUTES'!C$3:C$42="Healthcare",'DONNÉES BRUTES'!AB$3:AB$42+(ROW('DONNÉES BRUTES'!A$3:A$42)-ROW('DONNÉES BRUTES'!A$3))/1000,0),7),IF('DONNÉES BRUTES'!C$3:C$42="Healthcare",'DONNÉES BRUTES'!AB$3:AB$42+(ROW('DONNÉES BRUTES'!A$3:A$42)-ROW('DONNÉES BRUTES'!A$3))/1000,0),0))),"—")</f>
        <v/>
      </c>
    </row>
    <row r="18" ht="15.95" customHeight="1">
      <c r="B18">
        <f>IF(8&gt;COUNTIF('DONNÉES BRUTES'!C$3:C$42,"Healthcare"),"",8)</f>
        <v/>
      </c>
      <c r="C18">
        <f t="array" ref="C18">IFERROR(IF(8&gt;COUNTIF('DONNÉES BRUTES'!C$3:C$42,"Healthcare"),"",INDEX('DONNÉES BRUTES'!A$3:A$42,MATCH(LARGE(IF('DONNÉES BRUTES'!C$3:C$42="Healthcare",'DONNÉES BRUTES'!AB$3:AB$42+(ROW('DONNÉES BRUTES'!A$3:A$42)-ROW('DONNÉES BRUTES'!A$3))/1000,0),8),IF('DONNÉES BRUTES'!C$3:C$42="Healthcare",'DONNÉES BRUTES'!AB$3:AB$42+(ROW('DONNÉES BRUTES'!A$3:A$42)-ROW('DONNÉES BRUTES'!A$3))/1000,0),0))),"—")</f>
        <v/>
      </c>
      <c r="D18">
        <f t="array" ref="D18">IFERROR(IF(8&gt;COUNTIF('DONNÉES BRUTES'!C$3:C$42,"Healthcare"),"",INDEX('DONNÉES BRUTES'!B$3:B$42,MATCH(LARGE(IF('DONNÉES BRUTES'!C$3:C$42="Healthcare",'DONNÉES BRUTES'!AB$3:AB$42+(ROW('DONNÉES BRUTES'!A$3:A$42)-ROW('DONNÉES BRUTES'!A$3))/1000,0),8),IF('DONNÉES BRUTES'!C$3:C$42="Healthcare",'DONNÉES BRUTES'!AB$3:AB$42+(ROW('DONNÉES BRUTES'!A$3:A$42)-ROW('DONNÉES BRUTES'!A$3))/1000,0),0))),"—")</f>
        <v/>
      </c>
      <c r="E18">
        <f t="array" ref="E18">IFERROR(IF(8&gt;COUNTIF('DONNÉES BRUTES'!C$3:C$42,"Healthcare"),"",INT(LARGE(IF('DONNÉES BRUTES'!C$3:C$42="Healthcare",'DONNÉES BRUTES'!AB$3:AB$42+(ROW('DONNÉES BRUTES'!A$3:A$42)-ROW('DONNÉES BRUTES'!A$3))/1000,0),8))&amp;"/100"),"—")</f>
        <v/>
      </c>
      <c r="F18">
        <f t="array" ref="F18">IFERROR(IF(8&gt;COUNTIF('DONNÉES BRUTES'!C$3:C$42,"Healthcare"),"",INDEX('DONNÉES BRUTES'!Y$3:Y$42,MATCH(LARGE(IF('DONNÉES BRUTES'!C$3:C$42="Healthcare",'DONNÉES BRUTES'!AB$3:AB$42+(ROW('DONNÉES BRUTES'!A$3:A$42)-ROW('DONNÉES BRUTES'!A$3))/1000,0),8),IF('DONNÉES BRUTES'!C$3:C$42="Healthcare",'DONNÉES BRUTES'!AB$3:AB$42+(ROW('DONNÉES BRUTES'!A$3:A$42)-ROW('DONNÉES BRUTES'!A$3))/1000,0),0))),"—")</f>
        <v/>
      </c>
      <c r="G18">
        <f t="array" ref="G18">IFERROR(IF(8&gt;COUNTIF('DONNÉES BRUTES'!C$3:C$42,"Healthcare"),"",INDEX('DONNÉES BRUTES'!Z$3:Z$42,MATCH(LARGE(IF('DONNÉES BRUTES'!C$3:C$42="Healthcare",'DONNÉES BRUTES'!AB$3:AB$42+(ROW('DONNÉES BRUTES'!A$3:A$42)-ROW('DONNÉES BRUTES'!A$3))/1000,0),8),IF('DONNÉES BRUTES'!C$3:C$42="Healthcare",'DONNÉES BRUTES'!AB$3:AB$42+(ROW('DONNÉES BRUTES'!A$3:A$42)-ROW('DONNÉES BRUTES'!A$3))/1000,0),0))),"—")</f>
        <v/>
      </c>
      <c r="H18">
        <f t="array" ref="H18">IFERROR(IF(8&gt;COUNTIF('DONNÉES BRUTES'!C$3:C$42,"Healthcare"),"",INDEX('DONNÉES BRUTES'!AA$3:AA$42,MATCH(LARGE(IF('DONNÉES BRUTES'!C$3:C$42="Healthcare",'DONNÉES BRUTES'!AB$3:AB$42+(ROW('DONNÉES BRUTES'!A$3:A$42)-ROW('DONNÉES BRUTES'!A$3))/1000,0),8),IF('DONNÉES BRUTES'!C$3:C$42="Healthcare",'DONNÉES BRUTES'!AB$3:AB$42+(ROW('DONNÉES BRUTES'!A$3:A$42)-ROW('DONNÉES BRUTES'!A$3))/1000,0),0))),"—")</f>
        <v/>
      </c>
      <c r="I18">
        <f t="array" ref="I18">IFERROR(IF(8&gt;COUNTIF('DONNÉES BRUTES'!C$3:C$42,"Healthcare"),"",INDEX('DONNÉES BRUTES'!M$3:M$42,MATCH(LARGE(IF('DONNÉES BRUTES'!C$3:C$42="Healthcare",'DONNÉES BRUTES'!AB$3:AB$42+(ROW('DONNÉES BRUTES'!A$3:A$42)-ROW('DONNÉES BRUTES'!A$3))/1000,0),8),IF('DONNÉES BRUTES'!C$3:C$42="Healthcare",'DONNÉES BRUTES'!AB$3:AB$42+(ROW('DONNÉES BRUTES'!A$3:A$42)-ROW('DONNÉES BRUTES'!A$3))/1000,0),0))),"—")</f>
        <v/>
      </c>
      <c r="J18">
        <f t="array" ref="J18">IFERROR(IF(8&gt;COUNTIF('DONNÉES BRUTES'!C$3:C$42,"Healthcare"),"",INDEX('DONNÉES BRUTES'!N$3:N$42,MATCH(LARGE(IF('DONNÉES BRUTES'!C$3:C$42="Healthcare",'DONNÉES BRUTES'!AB$3:AB$42+(ROW('DONNÉES BRUTES'!A$3:A$42)-ROW('DONNÉES BRUTES'!A$3))/1000,0),8),IF('DONNÉES BRUTES'!C$3:C$42="Healthcare",'DONNÉES BRUTES'!AB$3:AB$42+(ROW('DONNÉES BRUTES'!A$3:A$42)-ROW('DONNÉES BRUTES'!A$3))/1000,0),0))),"—")</f>
        <v/>
      </c>
      <c r="K18">
        <f t="array" ref="K18">IFERROR(IF(8&gt;COUNTIF('DONNÉES BRUTES'!C$3:C$42,"Healthcare"),"",INDEX('DONNÉES BRUTES'!O$3:O$42,MATCH(LARGE(IF('DONNÉES BRUTES'!C$3:C$42="Healthcare",'DONNÉES BRUTES'!AB$3:AB$42+(ROW('DONNÉES BRUTES'!A$3:A$42)-ROW('DONNÉES BRUTES'!A$3))/1000,0),8),IF('DONNÉES BRUTES'!C$3:C$42="Healthcare",'DONNÉES BRUTES'!AB$3:AB$42+(ROW('DONNÉES BRUTES'!A$3:A$42)-ROW('DONNÉES BRUTES'!A$3))/1000,0),0))),"—")</f>
        <v/>
      </c>
      <c r="L18">
        <f t="array" ref="L18">IFERROR(IF(8&gt;COUNTIF('DONNÉES BRUTES'!C$3:C$42,"Healthcare"),"",INDEX('DONNÉES BRUTES'!P$3:P$42,MATCH(LARGE(IF('DONNÉES BRUTES'!C$3:C$42="Healthcare",'DONNÉES BRUTES'!AB$3:AB$42+(ROW('DONNÉES BRUTES'!A$3:A$42)-ROW('DONNÉES BRUTES'!A$3))/1000,0),8),IF('DONNÉES BRUTES'!C$3:C$42="Healthcare",'DONNÉES BRUTES'!AB$3:AB$42+(ROW('DONNÉES BRUTES'!A$3:A$42)-ROW('DONNÉES BRUTES'!A$3))/1000,0),0))),"—")</f>
        <v/>
      </c>
      <c r="M18">
        <f t="array" ref="M18">IFERROR(IF(8&gt;COUNTIF('DONNÉES BRUTES'!C$3:C$42,"Healthcare"),"",INDEX('DONNÉES BRUTES'!Q$3:Q$42,MATCH(LARGE(IF('DONNÉES BRUTES'!C$3:C$42="Healthcare",'DONNÉES BRUTES'!AB$3:AB$42+(ROW('DONNÉES BRUTES'!A$3:A$42)-ROW('DONNÉES BRUTES'!A$3))/1000,0),8),IF('DONNÉES BRUTES'!C$3:C$42="Healthcare",'DONNÉES BRUTES'!AB$3:AB$42+(ROW('DONNÉES BRUTES'!A$3:A$42)-ROW('DONNÉES BRUTES'!A$3))/1000,0),0))),"—")</f>
        <v/>
      </c>
      <c r="N18">
        <f t="array" ref="N18">IFERROR(IF(8&gt;COUNTIF('DONNÉES BRUTES'!C$3:C$42,"Healthcare"),"",INDEX('DONNÉES BRUTES'!S$3:S$42,MATCH(LARGE(IF('DONNÉES BRUTES'!C$3:C$42="Healthcare",'DONNÉES BRUTES'!AB$3:AB$42+(ROW('DONNÉES BRUTES'!A$3:A$42)-ROW('DONNÉES BRUTES'!A$3))/1000,0),8),IF('DONNÉES BRUTES'!C$3:C$42="Healthcare",'DONNÉES BRUTES'!AB$3:AB$42+(ROW('DONNÉES BRUTES'!A$3:A$42)-ROW('DONNÉES BRUTES'!A$3))/1000,0),0))),"—")</f>
        <v/>
      </c>
      <c r="O18">
        <f t="array" ref="O18">IFERROR(IF(8&gt;COUNTIF('DONNÉES BRUTES'!C$3:C$42,"Healthcare"),"",INDEX('DONNÉES BRUTES'!T$3:T$42,MATCH(LARGE(IF('DONNÉES BRUTES'!C$3:C$42="Healthcare",'DONNÉES BRUTES'!AB$3:AB$42+(ROW('DONNÉES BRUTES'!A$3:A$42)-ROW('DONNÉES BRUTES'!A$3))/1000,0),8),IF('DONNÉES BRUTES'!C$3:C$42="Healthcare",'DONNÉES BRUTES'!AB$3:AB$42+(ROW('DONNÉES BRUTES'!A$3:A$42)-ROW('DONNÉES BRUTES'!A$3))/1000,0),0))),"—")</f>
        <v/>
      </c>
      <c r="P18">
        <f t="array" ref="P18">IFERROR(IF(8&gt;COUNTIF('DONNÉES BRUTES'!C$3:C$42,"Healthcare"),"",INDEX('DONNÉES BRUTES'!U$3:U$42,MATCH(LARGE(IF('DONNÉES BRUTES'!C$3:C$42="Healthcare",'DONNÉES BRUTES'!AB$3:AB$42+(ROW('DONNÉES BRUTES'!A$3:A$42)-ROW('DONNÉES BRUTES'!A$3))/1000,0),8),IF('DONNÉES BRUTES'!C$3:C$42="Healthcare",'DONNÉES BRUTES'!AB$3:AB$42+(ROW('DONNÉES BRUTES'!A$3:A$42)-ROW('DONNÉES BRUTES'!A$3))/1000,0),0))),"—")</f>
        <v/>
      </c>
      <c r="Q18">
        <f t="array" ref="Q18">IFERROR(IF(8&gt;COUNTIF('DONNÉES BRUTES'!C$3:C$42,"Healthcare"),"",INDEX('DONNÉES BRUTES'!AD$3:AD$42,MATCH(LARGE(IF('DONNÉES BRUTES'!C$3:C$42="Healthcare",'DONNÉES BRUTES'!AB$3:AB$42+(ROW('DONNÉES BRUTES'!A$3:A$42)-ROW('DONNÉES BRUTES'!A$3))/1000,0),8),IF('DONNÉES BRUTES'!C$3:C$42="Healthcare",'DONNÉES BRUTES'!AB$3:AB$42+(ROW('DONNÉES BRUTES'!A$3:A$42)-ROW('DONNÉES BRUTES'!A$3))/1000,0),0))),"—")</f>
        <v/>
      </c>
    </row>
    <row r="19" ht="15.95" customHeight="1">
      <c r="B19">
        <f>IF(9&gt;COUNTIF('DONNÉES BRUTES'!C$3:C$42,"Healthcare"),"",9)</f>
        <v/>
      </c>
      <c r="C19">
        <f t="array" ref="C19">IFERROR(IF(9&gt;COUNTIF('DONNÉES BRUTES'!C$3:C$42,"Healthcare"),"",INDEX('DONNÉES BRUTES'!A$3:A$42,MATCH(LARGE(IF('DONNÉES BRUTES'!C$3:C$42="Healthcare",'DONNÉES BRUTES'!AB$3:AB$42+(ROW('DONNÉES BRUTES'!A$3:A$42)-ROW('DONNÉES BRUTES'!A$3))/1000,0),9),IF('DONNÉES BRUTES'!C$3:C$42="Healthcare",'DONNÉES BRUTES'!AB$3:AB$42+(ROW('DONNÉES BRUTES'!A$3:A$42)-ROW('DONNÉES BRUTES'!A$3))/1000,0),0))),"—")</f>
        <v/>
      </c>
      <c r="D19">
        <f t="array" ref="D19">IFERROR(IF(9&gt;COUNTIF('DONNÉES BRUTES'!C$3:C$42,"Healthcare"),"",INDEX('DONNÉES BRUTES'!B$3:B$42,MATCH(LARGE(IF('DONNÉES BRUTES'!C$3:C$42="Healthcare",'DONNÉES BRUTES'!AB$3:AB$42+(ROW('DONNÉES BRUTES'!A$3:A$42)-ROW('DONNÉES BRUTES'!A$3))/1000,0),9),IF('DONNÉES BRUTES'!C$3:C$42="Healthcare",'DONNÉES BRUTES'!AB$3:AB$42+(ROW('DONNÉES BRUTES'!A$3:A$42)-ROW('DONNÉES BRUTES'!A$3))/1000,0),0))),"—")</f>
        <v/>
      </c>
      <c r="E19">
        <f t="array" ref="E19">IFERROR(IF(9&gt;COUNTIF('DONNÉES BRUTES'!C$3:C$42,"Healthcare"),"",INT(LARGE(IF('DONNÉES BRUTES'!C$3:C$42="Healthcare",'DONNÉES BRUTES'!AB$3:AB$42+(ROW('DONNÉES BRUTES'!A$3:A$42)-ROW('DONNÉES BRUTES'!A$3))/1000,0),9))&amp;"/100"),"—")</f>
        <v/>
      </c>
      <c r="F19">
        <f t="array" ref="F19">IFERROR(IF(9&gt;COUNTIF('DONNÉES BRUTES'!C$3:C$42,"Healthcare"),"",INDEX('DONNÉES BRUTES'!Y$3:Y$42,MATCH(LARGE(IF('DONNÉES BRUTES'!C$3:C$42="Healthcare",'DONNÉES BRUTES'!AB$3:AB$42+(ROW('DONNÉES BRUTES'!A$3:A$42)-ROW('DONNÉES BRUTES'!A$3))/1000,0),9),IF('DONNÉES BRUTES'!C$3:C$42="Healthcare",'DONNÉES BRUTES'!AB$3:AB$42+(ROW('DONNÉES BRUTES'!A$3:A$42)-ROW('DONNÉES BRUTES'!A$3))/1000,0),0))),"—")</f>
        <v/>
      </c>
      <c r="G19">
        <f t="array" ref="G19">IFERROR(IF(9&gt;COUNTIF('DONNÉES BRUTES'!C$3:C$42,"Healthcare"),"",INDEX('DONNÉES BRUTES'!Z$3:Z$42,MATCH(LARGE(IF('DONNÉES BRUTES'!C$3:C$42="Healthcare",'DONNÉES BRUTES'!AB$3:AB$42+(ROW('DONNÉES BRUTES'!A$3:A$42)-ROW('DONNÉES BRUTES'!A$3))/1000,0),9),IF('DONNÉES BRUTES'!C$3:C$42="Healthcare",'DONNÉES BRUTES'!AB$3:AB$42+(ROW('DONNÉES BRUTES'!A$3:A$42)-ROW('DONNÉES BRUTES'!A$3))/1000,0),0))),"—")</f>
        <v/>
      </c>
      <c r="H19">
        <f t="array" ref="H19">IFERROR(IF(9&gt;COUNTIF('DONNÉES BRUTES'!C$3:C$42,"Healthcare"),"",INDEX('DONNÉES BRUTES'!AA$3:AA$42,MATCH(LARGE(IF('DONNÉES BRUTES'!C$3:C$42="Healthcare",'DONNÉES BRUTES'!AB$3:AB$42+(ROW('DONNÉES BRUTES'!A$3:A$42)-ROW('DONNÉES BRUTES'!A$3))/1000,0),9),IF('DONNÉES BRUTES'!C$3:C$42="Healthcare",'DONNÉES BRUTES'!AB$3:AB$42+(ROW('DONNÉES BRUTES'!A$3:A$42)-ROW('DONNÉES BRUTES'!A$3))/1000,0),0))),"—")</f>
        <v/>
      </c>
      <c r="I19">
        <f t="array" ref="I19">IFERROR(IF(9&gt;COUNTIF('DONNÉES BRUTES'!C$3:C$42,"Healthcare"),"",INDEX('DONNÉES BRUTES'!M$3:M$42,MATCH(LARGE(IF('DONNÉES BRUTES'!C$3:C$42="Healthcare",'DONNÉES BRUTES'!AB$3:AB$42+(ROW('DONNÉES BRUTES'!A$3:A$42)-ROW('DONNÉES BRUTES'!A$3))/1000,0),9),IF('DONNÉES BRUTES'!C$3:C$42="Healthcare",'DONNÉES BRUTES'!AB$3:AB$42+(ROW('DONNÉES BRUTES'!A$3:A$42)-ROW('DONNÉES BRUTES'!A$3))/1000,0),0))),"—")</f>
        <v/>
      </c>
      <c r="J19">
        <f t="array" ref="J19">IFERROR(IF(9&gt;COUNTIF('DONNÉES BRUTES'!C$3:C$42,"Healthcare"),"",INDEX('DONNÉES BRUTES'!N$3:N$42,MATCH(LARGE(IF('DONNÉES BRUTES'!C$3:C$42="Healthcare",'DONNÉES BRUTES'!AB$3:AB$42+(ROW('DONNÉES BRUTES'!A$3:A$42)-ROW('DONNÉES BRUTES'!A$3))/1000,0),9),IF('DONNÉES BRUTES'!C$3:C$42="Healthcare",'DONNÉES BRUTES'!AB$3:AB$42+(ROW('DONNÉES BRUTES'!A$3:A$42)-ROW('DONNÉES BRUTES'!A$3))/1000,0),0))),"—")</f>
        <v/>
      </c>
      <c r="K19">
        <f t="array" ref="K19">IFERROR(IF(9&gt;COUNTIF('DONNÉES BRUTES'!C$3:C$42,"Healthcare"),"",INDEX('DONNÉES BRUTES'!O$3:O$42,MATCH(LARGE(IF('DONNÉES BRUTES'!C$3:C$42="Healthcare",'DONNÉES BRUTES'!AB$3:AB$42+(ROW('DONNÉES BRUTES'!A$3:A$42)-ROW('DONNÉES BRUTES'!A$3))/1000,0),9),IF('DONNÉES BRUTES'!C$3:C$42="Healthcare",'DONNÉES BRUTES'!AB$3:AB$42+(ROW('DONNÉES BRUTES'!A$3:A$42)-ROW('DONNÉES BRUTES'!A$3))/1000,0),0))),"—")</f>
        <v/>
      </c>
      <c r="L19">
        <f t="array" ref="L19">IFERROR(IF(9&gt;COUNTIF('DONNÉES BRUTES'!C$3:C$42,"Healthcare"),"",INDEX('DONNÉES BRUTES'!P$3:P$42,MATCH(LARGE(IF('DONNÉES BRUTES'!C$3:C$42="Healthcare",'DONNÉES BRUTES'!AB$3:AB$42+(ROW('DONNÉES BRUTES'!A$3:A$42)-ROW('DONNÉES BRUTES'!A$3))/1000,0),9),IF('DONNÉES BRUTES'!C$3:C$42="Healthcare",'DONNÉES BRUTES'!AB$3:AB$42+(ROW('DONNÉES BRUTES'!A$3:A$42)-ROW('DONNÉES BRUTES'!A$3))/1000,0),0))),"—")</f>
        <v/>
      </c>
      <c r="M19">
        <f t="array" ref="M19">IFERROR(IF(9&gt;COUNTIF('DONNÉES BRUTES'!C$3:C$42,"Healthcare"),"",INDEX('DONNÉES BRUTES'!Q$3:Q$42,MATCH(LARGE(IF('DONNÉES BRUTES'!C$3:C$42="Healthcare",'DONNÉES BRUTES'!AB$3:AB$42+(ROW('DONNÉES BRUTES'!A$3:A$42)-ROW('DONNÉES BRUTES'!A$3))/1000,0),9),IF('DONNÉES BRUTES'!C$3:C$42="Healthcare",'DONNÉES BRUTES'!AB$3:AB$42+(ROW('DONNÉES BRUTES'!A$3:A$42)-ROW('DONNÉES BRUTES'!A$3))/1000,0),0))),"—")</f>
        <v/>
      </c>
      <c r="N19">
        <f t="array" ref="N19">IFERROR(IF(9&gt;COUNTIF('DONNÉES BRUTES'!C$3:C$42,"Healthcare"),"",INDEX('DONNÉES BRUTES'!S$3:S$42,MATCH(LARGE(IF('DONNÉES BRUTES'!C$3:C$42="Healthcare",'DONNÉES BRUTES'!AB$3:AB$42+(ROW('DONNÉES BRUTES'!A$3:A$42)-ROW('DONNÉES BRUTES'!A$3))/1000,0),9),IF('DONNÉES BRUTES'!C$3:C$42="Healthcare",'DONNÉES BRUTES'!AB$3:AB$42+(ROW('DONNÉES BRUTES'!A$3:A$42)-ROW('DONNÉES BRUTES'!A$3))/1000,0),0))),"—")</f>
        <v/>
      </c>
      <c r="O19">
        <f t="array" ref="O19">IFERROR(IF(9&gt;COUNTIF('DONNÉES BRUTES'!C$3:C$42,"Healthcare"),"",INDEX('DONNÉES BRUTES'!T$3:T$42,MATCH(LARGE(IF('DONNÉES BRUTES'!C$3:C$42="Healthcare",'DONNÉES BRUTES'!AB$3:AB$42+(ROW('DONNÉES BRUTES'!A$3:A$42)-ROW('DONNÉES BRUTES'!A$3))/1000,0),9),IF('DONNÉES BRUTES'!C$3:C$42="Healthcare",'DONNÉES BRUTES'!AB$3:AB$42+(ROW('DONNÉES BRUTES'!A$3:A$42)-ROW('DONNÉES BRUTES'!A$3))/1000,0),0))),"—")</f>
        <v/>
      </c>
      <c r="P19">
        <f t="array" ref="P19">IFERROR(IF(9&gt;COUNTIF('DONNÉES BRUTES'!C$3:C$42,"Healthcare"),"",INDEX('DONNÉES BRUTES'!U$3:U$42,MATCH(LARGE(IF('DONNÉES BRUTES'!C$3:C$42="Healthcare",'DONNÉES BRUTES'!AB$3:AB$42+(ROW('DONNÉES BRUTES'!A$3:A$42)-ROW('DONNÉES BRUTES'!A$3))/1000,0),9),IF('DONNÉES BRUTES'!C$3:C$42="Healthcare",'DONNÉES BRUTES'!AB$3:AB$42+(ROW('DONNÉES BRUTES'!A$3:A$42)-ROW('DONNÉES BRUTES'!A$3))/1000,0),0))),"—")</f>
        <v/>
      </c>
      <c r="Q19">
        <f t="array" ref="Q19">IFERROR(IF(9&gt;COUNTIF('DONNÉES BRUTES'!C$3:C$42,"Healthcare"),"",INDEX('DONNÉES BRUTES'!AD$3:AD$42,MATCH(LARGE(IF('DONNÉES BRUTES'!C$3:C$42="Healthcare",'DONNÉES BRUTES'!AB$3:AB$42+(ROW('DONNÉES BRUTES'!A$3:A$42)-ROW('DONNÉES BRUTES'!A$3))/1000,0),9),IF('DONNÉES BRUTES'!C$3:C$42="Healthcare",'DONNÉES BRUTES'!AB$3:AB$42+(ROW('DONNÉES BRUTES'!A$3:A$42)-ROW('DONNÉES BRUTES'!A$3))/1000,0),0))),"—")</f>
        <v/>
      </c>
    </row>
    <row r="20" ht="15.95" customHeight="1">
      <c r="B20">
        <f>IF(10&gt;COUNTIF('DONNÉES BRUTES'!C$3:C$42,"Healthcare"),"",10)</f>
        <v/>
      </c>
      <c r="C20">
        <f t="array" ref="C20">IFERROR(IF(10&gt;COUNTIF('DONNÉES BRUTES'!C$3:C$42,"Healthcare"),"",INDEX('DONNÉES BRUTES'!A$3:A$42,MATCH(LARGE(IF('DONNÉES BRUTES'!C$3:C$42="Healthcare",'DONNÉES BRUTES'!AB$3:AB$42+(ROW('DONNÉES BRUTES'!A$3:A$42)-ROW('DONNÉES BRUTES'!A$3))/1000,0),10),IF('DONNÉES BRUTES'!C$3:C$42="Healthcare",'DONNÉES BRUTES'!AB$3:AB$42+(ROW('DONNÉES BRUTES'!A$3:A$42)-ROW('DONNÉES BRUTES'!A$3))/1000,0),0))),"—")</f>
        <v/>
      </c>
      <c r="D20">
        <f t="array" ref="D20">IFERROR(IF(10&gt;COUNTIF('DONNÉES BRUTES'!C$3:C$42,"Healthcare"),"",INDEX('DONNÉES BRUTES'!B$3:B$42,MATCH(LARGE(IF('DONNÉES BRUTES'!C$3:C$42="Healthcare",'DONNÉES BRUTES'!AB$3:AB$42+(ROW('DONNÉES BRUTES'!A$3:A$42)-ROW('DONNÉES BRUTES'!A$3))/1000,0),10),IF('DONNÉES BRUTES'!C$3:C$42="Healthcare",'DONNÉES BRUTES'!AB$3:AB$42+(ROW('DONNÉES BRUTES'!A$3:A$42)-ROW('DONNÉES BRUTES'!A$3))/1000,0),0))),"—")</f>
        <v/>
      </c>
      <c r="E20">
        <f t="array" ref="E20">IFERROR(IF(10&gt;COUNTIF('DONNÉES BRUTES'!C$3:C$42,"Healthcare"),"",INT(LARGE(IF('DONNÉES BRUTES'!C$3:C$42="Healthcare",'DONNÉES BRUTES'!AB$3:AB$42+(ROW('DONNÉES BRUTES'!A$3:A$42)-ROW('DONNÉES BRUTES'!A$3))/1000,0),10))&amp;"/100"),"—")</f>
        <v/>
      </c>
      <c r="F20">
        <f t="array" ref="F20">IFERROR(IF(10&gt;COUNTIF('DONNÉES BRUTES'!C$3:C$42,"Healthcare"),"",INDEX('DONNÉES BRUTES'!Y$3:Y$42,MATCH(LARGE(IF('DONNÉES BRUTES'!C$3:C$42="Healthcare",'DONNÉES BRUTES'!AB$3:AB$42+(ROW('DONNÉES BRUTES'!A$3:A$42)-ROW('DONNÉES BRUTES'!A$3))/1000,0),10),IF('DONNÉES BRUTES'!C$3:C$42="Healthcare",'DONNÉES BRUTES'!AB$3:AB$42+(ROW('DONNÉES BRUTES'!A$3:A$42)-ROW('DONNÉES BRUTES'!A$3))/1000,0),0))),"—")</f>
        <v/>
      </c>
      <c r="G20">
        <f t="array" ref="G20">IFERROR(IF(10&gt;COUNTIF('DONNÉES BRUTES'!C$3:C$42,"Healthcare"),"",INDEX('DONNÉES BRUTES'!Z$3:Z$42,MATCH(LARGE(IF('DONNÉES BRUTES'!C$3:C$42="Healthcare",'DONNÉES BRUTES'!AB$3:AB$42+(ROW('DONNÉES BRUTES'!A$3:A$42)-ROW('DONNÉES BRUTES'!A$3))/1000,0),10),IF('DONNÉES BRUTES'!C$3:C$42="Healthcare",'DONNÉES BRUTES'!AB$3:AB$42+(ROW('DONNÉES BRUTES'!A$3:A$42)-ROW('DONNÉES BRUTES'!A$3))/1000,0),0))),"—")</f>
        <v/>
      </c>
      <c r="H20">
        <f t="array" ref="H20">IFERROR(IF(10&gt;COUNTIF('DONNÉES BRUTES'!C$3:C$42,"Healthcare"),"",INDEX('DONNÉES BRUTES'!AA$3:AA$42,MATCH(LARGE(IF('DONNÉES BRUTES'!C$3:C$42="Healthcare",'DONNÉES BRUTES'!AB$3:AB$42+(ROW('DONNÉES BRUTES'!A$3:A$42)-ROW('DONNÉES BRUTES'!A$3))/1000,0),10),IF('DONNÉES BRUTES'!C$3:C$42="Healthcare",'DONNÉES BRUTES'!AB$3:AB$42+(ROW('DONNÉES BRUTES'!A$3:A$42)-ROW('DONNÉES BRUTES'!A$3))/1000,0),0))),"—")</f>
        <v/>
      </c>
      <c r="I20">
        <f t="array" ref="I20">IFERROR(IF(10&gt;COUNTIF('DONNÉES BRUTES'!C$3:C$42,"Healthcare"),"",INDEX('DONNÉES BRUTES'!M$3:M$42,MATCH(LARGE(IF('DONNÉES BRUTES'!C$3:C$42="Healthcare",'DONNÉES BRUTES'!AB$3:AB$42+(ROW('DONNÉES BRUTES'!A$3:A$42)-ROW('DONNÉES BRUTES'!A$3))/1000,0),10),IF('DONNÉES BRUTES'!C$3:C$42="Healthcare",'DONNÉES BRUTES'!AB$3:AB$42+(ROW('DONNÉES BRUTES'!A$3:A$42)-ROW('DONNÉES BRUTES'!A$3))/1000,0),0))),"—")</f>
        <v/>
      </c>
      <c r="J20">
        <f t="array" ref="J20">IFERROR(IF(10&gt;COUNTIF('DONNÉES BRUTES'!C$3:C$42,"Healthcare"),"",INDEX('DONNÉES BRUTES'!N$3:N$42,MATCH(LARGE(IF('DONNÉES BRUTES'!C$3:C$42="Healthcare",'DONNÉES BRUTES'!AB$3:AB$42+(ROW('DONNÉES BRUTES'!A$3:A$42)-ROW('DONNÉES BRUTES'!A$3))/1000,0),10),IF('DONNÉES BRUTES'!C$3:C$42="Healthcare",'DONNÉES BRUTES'!AB$3:AB$42+(ROW('DONNÉES BRUTES'!A$3:A$42)-ROW('DONNÉES BRUTES'!A$3))/1000,0),0))),"—")</f>
        <v/>
      </c>
      <c r="K20">
        <f t="array" ref="K20">IFERROR(IF(10&gt;COUNTIF('DONNÉES BRUTES'!C$3:C$42,"Healthcare"),"",INDEX('DONNÉES BRUTES'!O$3:O$42,MATCH(LARGE(IF('DONNÉES BRUTES'!C$3:C$42="Healthcare",'DONNÉES BRUTES'!AB$3:AB$42+(ROW('DONNÉES BRUTES'!A$3:A$42)-ROW('DONNÉES BRUTES'!A$3))/1000,0),10),IF('DONNÉES BRUTES'!C$3:C$42="Healthcare",'DONNÉES BRUTES'!AB$3:AB$42+(ROW('DONNÉES BRUTES'!A$3:A$42)-ROW('DONNÉES BRUTES'!A$3))/1000,0),0))),"—")</f>
        <v/>
      </c>
      <c r="L20">
        <f t="array" ref="L20">IFERROR(IF(10&gt;COUNTIF('DONNÉES BRUTES'!C$3:C$42,"Healthcare"),"",INDEX('DONNÉES BRUTES'!P$3:P$42,MATCH(LARGE(IF('DONNÉES BRUTES'!C$3:C$42="Healthcare",'DONNÉES BRUTES'!AB$3:AB$42+(ROW('DONNÉES BRUTES'!A$3:A$42)-ROW('DONNÉES BRUTES'!A$3))/1000,0),10),IF('DONNÉES BRUTES'!C$3:C$42="Healthcare",'DONNÉES BRUTES'!AB$3:AB$42+(ROW('DONNÉES BRUTES'!A$3:A$42)-ROW('DONNÉES BRUTES'!A$3))/1000,0),0))),"—")</f>
        <v/>
      </c>
      <c r="M20">
        <f t="array" ref="M20">IFERROR(IF(10&gt;COUNTIF('DONNÉES BRUTES'!C$3:C$42,"Healthcare"),"",INDEX('DONNÉES BRUTES'!Q$3:Q$42,MATCH(LARGE(IF('DONNÉES BRUTES'!C$3:C$42="Healthcare",'DONNÉES BRUTES'!AB$3:AB$42+(ROW('DONNÉES BRUTES'!A$3:A$42)-ROW('DONNÉES BRUTES'!A$3))/1000,0),10),IF('DONNÉES BRUTES'!C$3:C$42="Healthcare",'DONNÉES BRUTES'!AB$3:AB$42+(ROW('DONNÉES BRUTES'!A$3:A$42)-ROW('DONNÉES BRUTES'!A$3))/1000,0),0))),"—")</f>
        <v/>
      </c>
      <c r="N20">
        <f t="array" ref="N20">IFERROR(IF(10&gt;COUNTIF('DONNÉES BRUTES'!C$3:C$42,"Healthcare"),"",INDEX('DONNÉES BRUTES'!S$3:S$42,MATCH(LARGE(IF('DONNÉES BRUTES'!C$3:C$42="Healthcare",'DONNÉES BRUTES'!AB$3:AB$42+(ROW('DONNÉES BRUTES'!A$3:A$42)-ROW('DONNÉES BRUTES'!A$3))/1000,0),10),IF('DONNÉES BRUTES'!C$3:C$42="Healthcare",'DONNÉES BRUTES'!AB$3:AB$42+(ROW('DONNÉES BRUTES'!A$3:A$42)-ROW('DONNÉES BRUTES'!A$3))/1000,0),0))),"—")</f>
        <v/>
      </c>
      <c r="O20">
        <f t="array" ref="O20">IFERROR(IF(10&gt;COUNTIF('DONNÉES BRUTES'!C$3:C$42,"Healthcare"),"",INDEX('DONNÉES BRUTES'!T$3:T$42,MATCH(LARGE(IF('DONNÉES BRUTES'!C$3:C$42="Healthcare",'DONNÉES BRUTES'!AB$3:AB$42+(ROW('DONNÉES BRUTES'!A$3:A$42)-ROW('DONNÉES BRUTES'!A$3))/1000,0),10),IF('DONNÉES BRUTES'!C$3:C$42="Healthcare",'DONNÉES BRUTES'!AB$3:AB$42+(ROW('DONNÉES BRUTES'!A$3:A$42)-ROW('DONNÉES BRUTES'!A$3))/1000,0),0))),"—")</f>
        <v/>
      </c>
      <c r="P20">
        <f t="array" ref="P20">IFERROR(IF(10&gt;COUNTIF('DONNÉES BRUTES'!C$3:C$42,"Healthcare"),"",INDEX('DONNÉES BRUTES'!U$3:U$42,MATCH(LARGE(IF('DONNÉES BRUTES'!C$3:C$42="Healthcare",'DONNÉES BRUTES'!AB$3:AB$42+(ROW('DONNÉES BRUTES'!A$3:A$42)-ROW('DONNÉES BRUTES'!A$3))/1000,0),10),IF('DONNÉES BRUTES'!C$3:C$42="Healthcare",'DONNÉES BRUTES'!AB$3:AB$42+(ROW('DONNÉES BRUTES'!A$3:A$42)-ROW('DONNÉES BRUTES'!A$3))/1000,0),0))),"—")</f>
        <v/>
      </c>
      <c r="Q20">
        <f t="array" ref="Q20">IFERROR(IF(10&gt;COUNTIF('DONNÉES BRUTES'!C$3:C$42,"Healthcare"),"",INDEX('DONNÉES BRUTES'!AD$3:AD$42,MATCH(LARGE(IF('DONNÉES BRUTES'!C$3:C$42="Healthcare",'DONNÉES BRUTES'!AB$3:AB$42+(ROW('DONNÉES BRUTES'!A$3:A$42)-ROW('DONNÉES BRUTES'!A$3))/1000,0),10),IF('DONNÉES BRUTES'!C$3:C$42="Healthcare",'DONNÉES BRUTES'!AB$3:AB$42+(ROW('DONNÉES BRUTES'!A$3:A$42)-ROW('DONNÉES BRUTES'!A$3))/1000,0),0))),"—")</f>
        <v/>
      </c>
    </row>
    <row r="21" ht="15.95" customHeight="1">
      <c r="B21">
        <f>IF(11&gt;COUNTIF('DONNÉES BRUTES'!C$3:C$42,"Healthcare"),"",11)</f>
        <v/>
      </c>
      <c r="C21">
        <f t="array" ref="C21">IFERROR(IF(11&gt;COUNTIF('DONNÉES BRUTES'!C$3:C$42,"Healthcare"),"",INDEX('DONNÉES BRUTES'!A$3:A$42,MATCH(LARGE(IF('DONNÉES BRUTES'!C$3:C$42="Healthcare",'DONNÉES BRUTES'!AB$3:AB$42+(ROW('DONNÉES BRUTES'!A$3:A$42)-ROW('DONNÉES BRUTES'!A$3))/1000,0),11),IF('DONNÉES BRUTES'!C$3:C$42="Healthcare",'DONNÉES BRUTES'!AB$3:AB$42+(ROW('DONNÉES BRUTES'!A$3:A$42)-ROW('DONNÉES BRUTES'!A$3))/1000,0),0))),"—")</f>
        <v/>
      </c>
      <c r="D21">
        <f t="array" ref="D21">IFERROR(IF(11&gt;COUNTIF('DONNÉES BRUTES'!C$3:C$42,"Healthcare"),"",INDEX('DONNÉES BRUTES'!B$3:B$42,MATCH(LARGE(IF('DONNÉES BRUTES'!C$3:C$42="Healthcare",'DONNÉES BRUTES'!AB$3:AB$42+(ROW('DONNÉES BRUTES'!A$3:A$42)-ROW('DONNÉES BRUTES'!A$3))/1000,0),11),IF('DONNÉES BRUTES'!C$3:C$42="Healthcare",'DONNÉES BRUTES'!AB$3:AB$42+(ROW('DONNÉES BRUTES'!A$3:A$42)-ROW('DONNÉES BRUTES'!A$3))/1000,0),0))),"—")</f>
        <v/>
      </c>
      <c r="E21">
        <f t="array" ref="E21">IFERROR(IF(11&gt;COUNTIF('DONNÉES BRUTES'!C$3:C$42,"Healthcare"),"",INT(LARGE(IF('DONNÉES BRUTES'!C$3:C$42="Healthcare",'DONNÉES BRUTES'!AB$3:AB$42+(ROW('DONNÉES BRUTES'!A$3:A$42)-ROW('DONNÉES BRUTES'!A$3))/1000,0),11))&amp;"/100"),"—")</f>
        <v/>
      </c>
      <c r="F21">
        <f t="array" ref="F21">IFERROR(IF(11&gt;COUNTIF('DONNÉES BRUTES'!C$3:C$42,"Healthcare"),"",INDEX('DONNÉES BRUTES'!Y$3:Y$42,MATCH(LARGE(IF('DONNÉES BRUTES'!C$3:C$42="Healthcare",'DONNÉES BRUTES'!AB$3:AB$42+(ROW('DONNÉES BRUTES'!A$3:A$42)-ROW('DONNÉES BRUTES'!A$3))/1000,0),11),IF('DONNÉES BRUTES'!C$3:C$42="Healthcare",'DONNÉES BRUTES'!AB$3:AB$42+(ROW('DONNÉES BRUTES'!A$3:A$42)-ROW('DONNÉES BRUTES'!A$3))/1000,0),0))),"—")</f>
        <v/>
      </c>
      <c r="G21">
        <f t="array" ref="G21">IFERROR(IF(11&gt;COUNTIF('DONNÉES BRUTES'!C$3:C$42,"Healthcare"),"",INDEX('DONNÉES BRUTES'!Z$3:Z$42,MATCH(LARGE(IF('DONNÉES BRUTES'!C$3:C$42="Healthcare",'DONNÉES BRUTES'!AB$3:AB$42+(ROW('DONNÉES BRUTES'!A$3:A$42)-ROW('DONNÉES BRUTES'!A$3))/1000,0),11),IF('DONNÉES BRUTES'!C$3:C$42="Healthcare",'DONNÉES BRUTES'!AB$3:AB$42+(ROW('DONNÉES BRUTES'!A$3:A$42)-ROW('DONNÉES BRUTES'!A$3))/1000,0),0))),"—")</f>
        <v/>
      </c>
      <c r="H21">
        <f t="array" ref="H21">IFERROR(IF(11&gt;COUNTIF('DONNÉES BRUTES'!C$3:C$42,"Healthcare"),"",INDEX('DONNÉES BRUTES'!AA$3:AA$42,MATCH(LARGE(IF('DONNÉES BRUTES'!C$3:C$42="Healthcare",'DONNÉES BRUTES'!AB$3:AB$42+(ROW('DONNÉES BRUTES'!A$3:A$42)-ROW('DONNÉES BRUTES'!A$3))/1000,0),11),IF('DONNÉES BRUTES'!C$3:C$42="Healthcare",'DONNÉES BRUTES'!AB$3:AB$42+(ROW('DONNÉES BRUTES'!A$3:A$42)-ROW('DONNÉES BRUTES'!A$3))/1000,0),0))),"—")</f>
        <v/>
      </c>
      <c r="I21">
        <f t="array" ref="I21">IFERROR(IF(11&gt;COUNTIF('DONNÉES BRUTES'!C$3:C$42,"Healthcare"),"",INDEX('DONNÉES BRUTES'!M$3:M$42,MATCH(LARGE(IF('DONNÉES BRUTES'!C$3:C$42="Healthcare",'DONNÉES BRUTES'!AB$3:AB$42+(ROW('DONNÉES BRUTES'!A$3:A$42)-ROW('DONNÉES BRUTES'!A$3))/1000,0),11),IF('DONNÉES BRUTES'!C$3:C$42="Healthcare",'DONNÉES BRUTES'!AB$3:AB$42+(ROW('DONNÉES BRUTES'!A$3:A$42)-ROW('DONNÉES BRUTES'!A$3))/1000,0),0))),"—")</f>
        <v/>
      </c>
      <c r="J21">
        <f t="array" ref="J21">IFERROR(IF(11&gt;COUNTIF('DONNÉES BRUTES'!C$3:C$42,"Healthcare"),"",INDEX('DONNÉES BRUTES'!N$3:N$42,MATCH(LARGE(IF('DONNÉES BRUTES'!C$3:C$42="Healthcare",'DONNÉES BRUTES'!AB$3:AB$42+(ROW('DONNÉES BRUTES'!A$3:A$42)-ROW('DONNÉES BRUTES'!A$3))/1000,0),11),IF('DONNÉES BRUTES'!C$3:C$42="Healthcare",'DONNÉES BRUTES'!AB$3:AB$42+(ROW('DONNÉES BRUTES'!A$3:A$42)-ROW('DONNÉES BRUTES'!A$3))/1000,0),0))),"—")</f>
        <v/>
      </c>
      <c r="K21">
        <f t="array" ref="K21">IFERROR(IF(11&gt;COUNTIF('DONNÉES BRUTES'!C$3:C$42,"Healthcare"),"",INDEX('DONNÉES BRUTES'!O$3:O$42,MATCH(LARGE(IF('DONNÉES BRUTES'!C$3:C$42="Healthcare",'DONNÉES BRUTES'!AB$3:AB$42+(ROW('DONNÉES BRUTES'!A$3:A$42)-ROW('DONNÉES BRUTES'!A$3))/1000,0),11),IF('DONNÉES BRUTES'!C$3:C$42="Healthcare",'DONNÉES BRUTES'!AB$3:AB$42+(ROW('DONNÉES BRUTES'!A$3:A$42)-ROW('DONNÉES BRUTES'!A$3))/1000,0),0))),"—")</f>
        <v/>
      </c>
      <c r="L21">
        <f t="array" ref="L21">IFERROR(IF(11&gt;COUNTIF('DONNÉES BRUTES'!C$3:C$42,"Healthcare"),"",INDEX('DONNÉES BRUTES'!P$3:P$42,MATCH(LARGE(IF('DONNÉES BRUTES'!C$3:C$42="Healthcare",'DONNÉES BRUTES'!AB$3:AB$42+(ROW('DONNÉES BRUTES'!A$3:A$42)-ROW('DONNÉES BRUTES'!A$3))/1000,0),11),IF('DONNÉES BRUTES'!C$3:C$42="Healthcare",'DONNÉES BRUTES'!AB$3:AB$42+(ROW('DONNÉES BRUTES'!A$3:A$42)-ROW('DONNÉES BRUTES'!A$3))/1000,0),0))),"—")</f>
        <v/>
      </c>
      <c r="M21">
        <f t="array" ref="M21">IFERROR(IF(11&gt;COUNTIF('DONNÉES BRUTES'!C$3:C$42,"Healthcare"),"",INDEX('DONNÉES BRUTES'!Q$3:Q$42,MATCH(LARGE(IF('DONNÉES BRUTES'!C$3:C$42="Healthcare",'DONNÉES BRUTES'!AB$3:AB$42+(ROW('DONNÉES BRUTES'!A$3:A$42)-ROW('DONNÉES BRUTES'!A$3))/1000,0),11),IF('DONNÉES BRUTES'!C$3:C$42="Healthcare",'DONNÉES BRUTES'!AB$3:AB$42+(ROW('DONNÉES BRUTES'!A$3:A$42)-ROW('DONNÉES BRUTES'!A$3))/1000,0),0))),"—")</f>
        <v/>
      </c>
      <c r="N21">
        <f t="array" ref="N21">IFERROR(IF(11&gt;COUNTIF('DONNÉES BRUTES'!C$3:C$42,"Healthcare"),"",INDEX('DONNÉES BRUTES'!S$3:S$42,MATCH(LARGE(IF('DONNÉES BRUTES'!C$3:C$42="Healthcare",'DONNÉES BRUTES'!AB$3:AB$42+(ROW('DONNÉES BRUTES'!A$3:A$42)-ROW('DONNÉES BRUTES'!A$3))/1000,0),11),IF('DONNÉES BRUTES'!C$3:C$42="Healthcare",'DONNÉES BRUTES'!AB$3:AB$42+(ROW('DONNÉES BRUTES'!A$3:A$42)-ROW('DONNÉES BRUTES'!A$3))/1000,0),0))),"—")</f>
        <v/>
      </c>
      <c r="O21">
        <f t="array" ref="O21">IFERROR(IF(11&gt;COUNTIF('DONNÉES BRUTES'!C$3:C$42,"Healthcare"),"",INDEX('DONNÉES BRUTES'!T$3:T$42,MATCH(LARGE(IF('DONNÉES BRUTES'!C$3:C$42="Healthcare",'DONNÉES BRUTES'!AB$3:AB$42+(ROW('DONNÉES BRUTES'!A$3:A$42)-ROW('DONNÉES BRUTES'!A$3))/1000,0),11),IF('DONNÉES BRUTES'!C$3:C$42="Healthcare",'DONNÉES BRUTES'!AB$3:AB$42+(ROW('DONNÉES BRUTES'!A$3:A$42)-ROW('DONNÉES BRUTES'!A$3))/1000,0),0))),"—")</f>
        <v/>
      </c>
      <c r="P21">
        <f t="array" ref="P21">IFERROR(IF(11&gt;COUNTIF('DONNÉES BRUTES'!C$3:C$42,"Healthcare"),"",INDEX('DONNÉES BRUTES'!U$3:U$42,MATCH(LARGE(IF('DONNÉES BRUTES'!C$3:C$42="Healthcare",'DONNÉES BRUTES'!AB$3:AB$42+(ROW('DONNÉES BRUTES'!A$3:A$42)-ROW('DONNÉES BRUTES'!A$3))/1000,0),11),IF('DONNÉES BRUTES'!C$3:C$42="Healthcare",'DONNÉES BRUTES'!AB$3:AB$42+(ROW('DONNÉES BRUTES'!A$3:A$42)-ROW('DONNÉES BRUTES'!A$3))/1000,0),0))),"—")</f>
        <v/>
      </c>
      <c r="Q21">
        <f t="array" ref="Q21">IFERROR(IF(11&gt;COUNTIF('DONNÉES BRUTES'!C$3:C$42,"Healthcare"),"",INDEX('DONNÉES BRUTES'!AD$3:AD$42,MATCH(LARGE(IF('DONNÉES BRUTES'!C$3:C$42="Healthcare",'DONNÉES BRUTES'!AB$3:AB$42+(ROW('DONNÉES BRUTES'!A$3:A$42)-ROW('DONNÉES BRUTES'!A$3))/1000,0),11),IF('DONNÉES BRUTES'!C$3:C$42="Healthcare",'DONNÉES BRUTES'!AB$3:AB$42+(ROW('DONNÉES BRUTES'!A$3:A$42)-ROW('DONNÉES BRUTES'!A$3))/1000,0),0))),"—")</f>
        <v/>
      </c>
    </row>
    <row r="22" ht="15.95" customHeight="1">
      <c r="B22">
        <f>IF(12&gt;COUNTIF('DONNÉES BRUTES'!C$3:C$42,"Healthcare"),"",12)</f>
        <v/>
      </c>
      <c r="C22">
        <f t="array" ref="C22">IFERROR(IF(12&gt;COUNTIF('DONNÉES BRUTES'!C$3:C$42,"Healthcare"),"",INDEX('DONNÉES BRUTES'!A$3:A$42,MATCH(LARGE(IF('DONNÉES BRUTES'!C$3:C$42="Healthcare",'DONNÉES BRUTES'!AB$3:AB$42+(ROW('DONNÉES BRUTES'!A$3:A$42)-ROW('DONNÉES BRUTES'!A$3))/1000,0),12),IF('DONNÉES BRUTES'!C$3:C$42="Healthcare",'DONNÉES BRUTES'!AB$3:AB$42+(ROW('DONNÉES BRUTES'!A$3:A$42)-ROW('DONNÉES BRUTES'!A$3))/1000,0),0))),"—")</f>
        <v/>
      </c>
      <c r="D22">
        <f t="array" ref="D22">IFERROR(IF(12&gt;COUNTIF('DONNÉES BRUTES'!C$3:C$42,"Healthcare"),"",INDEX('DONNÉES BRUTES'!B$3:B$42,MATCH(LARGE(IF('DONNÉES BRUTES'!C$3:C$42="Healthcare",'DONNÉES BRUTES'!AB$3:AB$42+(ROW('DONNÉES BRUTES'!A$3:A$42)-ROW('DONNÉES BRUTES'!A$3))/1000,0),12),IF('DONNÉES BRUTES'!C$3:C$42="Healthcare",'DONNÉES BRUTES'!AB$3:AB$42+(ROW('DONNÉES BRUTES'!A$3:A$42)-ROW('DONNÉES BRUTES'!A$3))/1000,0),0))),"—")</f>
        <v/>
      </c>
      <c r="E22">
        <f t="array" ref="E22">IFERROR(IF(12&gt;COUNTIF('DONNÉES BRUTES'!C$3:C$42,"Healthcare"),"",INT(LARGE(IF('DONNÉES BRUTES'!C$3:C$42="Healthcare",'DONNÉES BRUTES'!AB$3:AB$42+(ROW('DONNÉES BRUTES'!A$3:A$42)-ROW('DONNÉES BRUTES'!A$3))/1000,0),12))&amp;"/100"),"—")</f>
        <v/>
      </c>
      <c r="F22">
        <f t="array" ref="F22">IFERROR(IF(12&gt;COUNTIF('DONNÉES BRUTES'!C$3:C$42,"Healthcare"),"",INDEX('DONNÉES BRUTES'!Y$3:Y$42,MATCH(LARGE(IF('DONNÉES BRUTES'!C$3:C$42="Healthcare",'DONNÉES BRUTES'!AB$3:AB$42+(ROW('DONNÉES BRUTES'!A$3:A$42)-ROW('DONNÉES BRUTES'!A$3))/1000,0),12),IF('DONNÉES BRUTES'!C$3:C$42="Healthcare",'DONNÉES BRUTES'!AB$3:AB$42+(ROW('DONNÉES BRUTES'!A$3:A$42)-ROW('DONNÉES BRUTES'!A$3))/1000,0),0))),"—")</f>
        <v/>
      </c>
      <c r="G22">
        <f t="array" ref="G22">IFERROR(IF(12&gt;COUNTIF('DONNÉES BRUTES'!C$3:C$42,"Healthcare"),"",INDEX('DONNÉES BRUTES'!Z$3:Z$42,MATCH(LARGE(IF('DONNÉES BRUTES'!C$3:C$42="Healthcare",'DONNÉES BRUTES'!AB$3:AB$42+(ROW('DONNÉES BRUTES'!A$3:A$42)-ROW('DONNÉES BRUTES'!A$3))/1000,0),12),IF('DONNÉES BRUTES'!C$3:C$42="Healthcare",'DONNÉES BRUTES'!AB$3:AB$42+(ROW('DONNÉES BRUTES'!A$3:A$42)-ROW('DONNÉES BRUTES'!A$3))/1000,0),0))),"—")</f>
        <v/>
      </c>
      <c r="H22">
        <f t="array" ref="H22">IFERROR(IF(12&gt;COUNTIF('DONNÉES BRUTES'!C$3:C$42,"Healthcare"),"",INDEX('DONNÉES BRUTES'!AA$3:AA$42,MATCH(LARGE(IF('DONNÉES BRUTES'!C$3:C$42="Healthcare",'DONNÉES BRUTES'!AB$3:AB$42+(ROW('DONNÉES BRUTES'!A$3:A$42)-ROW('DONNÉES BRUTES'!A$3))/1000,0),12),IF('DONNÉES BRUTES'!C$3:C$42="Healthcare",'DONNÉES BRUTES'!AB$3:AB$42+(ROW('DONNÉES BRUTES'!A$3:A$42)-ROW('DONNÉES BRUTES'!A$3))/1000,0),0))),"—")</f>
        <v/>
      </c>
      <c r="I22">
        <f t="array" ref="I22">IFERROR(IF(12&gt;COUNTIF('DONNÉES BRUTES'!C$3:C$42,"Healthcare"),"",INDEX('DONNÉES BRUTES'!M$3:M$42,MATCH(LARGE(IF('DONNÉES BRUTES'!C$3:C$42="Healthcare",'DONNÉES BRUTES'!AB$3:AB$42+(ROW('DONNÉES BRUTES'!A$3:A$42)-ROW('DONNÉES BRUTES'!A$3))/1000,0),12),IF('DONNÉES BRUTES'!C$3:C$42="Healthcare",'DONNÉES BRUTES'!AB$3:AB$42+(ROW('DONNÉES BRUTES'!A$3:A$42)-ROW('DONNÉES BRUTES'!A$3))/1000,0),0))),"—")</f>
        <v/>
      </c>
      <c r="J22">
        <f t="array" ref="J22">IFERROR(IF(12&gt;COUNTIF('DONNÉES BRUTES'!C$3:C$42,"Healthcare"),"",INDEX('DONNÉES BRUTES'!N$3:N$42,MATCH(LARGE(IF('DONNÉES BRUTES'!C$3:C$42="Healthcare",'DONNÉES BRUTES'!AB$3:AB$42+(ROW('DONNÉES BRUTES'!A$3:A$42)-ROW('DONNÉES BRUTES'!A$3))/1000,0),12),IF('DONNÉES BRUTES'!C$3:C$42="Healthcare",'DONNÉES BRUTES'!AB$3:AB$42+(ROW('DONNÉES BRUTES'!A$3:A$42)-ROW('DONNÉES BRUTES'!A$3))/1000,0),0))),"—")</f>
        <v/>
      </c>
      <c r="K22">
        <f t="array" ref="K22">IFERROR(IF(12&gt;COUNTIF('DONNÉES BRUTES'!C$3:C$42,"Healthcare"),"",INDEX('DONNÉES BRUTES'!O$3:O$42,MATCH(LARGE(IF('DONNÉES BRUTES'!C$3:C$42="Healthcare",'DONNÉES BRUTES'!AB$3:AB$42+(ROW('DONNÉES BRUTES'!A$3:A$42)-ROW('DONNÉES BRUTES'!A$3))/1000,0),12),IF('DONNÉES BRUTES'!C$3:C$42="Healthcare",'DONNÉES BRUTES'!AB$3:AB$42+(ROW('DONNÉES BRUTES'!A$3:A$42)-ROW('DONNÉES BRUTES'!A$3))/1000,0),0))),"—")</f>
        <v/>
      </c>
      <c r="L22">
        <f t="array" ref="L22">IFERROR(IF(12&gt;COUNTIF('DONNÉES BRUTES'!C$3:C$42,"Healthcare"),"",INDEX('DONNÉES BRUTES'!P$3:P$42,MATCH(LARGE(IF('DONNÉES BRUTES'!C$3:C$42="Healthcare",'DONNÉES BRUTES'!AB$3:AB$42+(ROW('DONNÉES BRUTES'!A$3:A$42)-ROW('DONNÉES BRUTES'!A$3))/1000,0),12),IF('DONNÉES BRUTES'!C$3:C$42="Healthcare",'DONNÉES BRUTES'!AB$3:AB$42+(ROW('DONNÉES BRUTES'!A$3:A$42)-ROW('DONNÉES BRUTES'!A$3))/1000,0),0))),"—")</f>
        <v/>
      </c>
      <c r="M22">
        <f t="array" ref="M22">IFERROR(IF(12&gt;COUNTIF('DONNÉES BRUTES'!C$3:C$42,"Healthcare"),"",INDEX('DONNÉES BRUTES'!Q$3:Q$42,MATCH(LARGE(IF('DONNÉES BRUTES'!C$3:C$42="Healthcare",'DONNÉES BRUTES'!AB$3:AB$42+(ROW('DONNÉES BRUTES'!A$3:A$42)-ROW('DONNÉES BRUTES'!A$3))/1000,0),12),IF('DONNÉES BRUTES'!C$3:C$42="Healthcare",'DONNÉES BRUTES'!AB$3:AB$42+(ROW('DONNÉES BRUTES'!A$3:A$42)-ROW('DONNÉES BRUTES'!A$3))/1000,0),0))),"—")</f>
        <v/>
      </c>
      <c r="N22">
        <f t="array" ref="N22">IFERROR(IF(12&gt;COUNTIF('DONNÉES BRUTES'!C$3:C$42,"Healthcare"),"",INDEX('DONNÉES BRUTES'!S$3:S$42,MATCH(LARGE(IF('DONNÉES BRUTES'!C$3:C$42="Healthcare",'DONNÉES BRUTES'!AB$3:AB$42+(ROW('DONNÉES BRUTES'!A$3:A$42)-ROW('DONNÉES BRUTES'!A$3))/1000,0),12),IF('DONNÉES BRUTES'!C$3:C$42="Healthcare",'DONNÉES BRUTES'!AB$3:AB$42+(ROW('DONNÉES BRUTES'!A$3:A$42)-ROW('DONNÉES BRUTES'!A$3))/1000,0),0))),"—")</f>
        <v/>
      </c>
      <c r="O22">
        <f t="array" ref="O22">IFERROR(IF(12&gt;COUNTIF('DONNÉES BRUTES'!C$3:C$42,"Healthcare"),"",INDEX('DONNÉES BRUTES'!T$3:T$42,MATCH(LARGE(IF('DONNÉES BRUTES'!C$3:C$42="Healthcare",'DONNÉES BRUTES'!AB$3:AB$42+(ROW('DONNÉES BRUTES'!A$3:A$42)-ROW('DONNÉES BRUTES'!A$3))/1000,0),12),IF('DONNÉES BRUTES'!C$3:C$42="Healthcare",'DONNÉES BRUTES'!AB$3:AB$42+(ROW('DONNÉES BRUTES'!A$3:A$42)-ROW('DONNÉES BRUTES'!A$3))/1000,0),0))),"—")</f>
        <v/>
      </c>
      <c r="P22">
        <f t="array" ref="P22">IFERROR(IF(12&gt;COUNTIF('DONNÉES BRUTES'!C$3:C$42,"Healthcare"),"",INDEX('DONNÉES BRUTES'!U$3:U$42,MATCH(LARGE(IF('DONNÉES BRUTES'!C$3:C$42="Healthcare",'DONNÉES BRUTES'!AB$3:AB$42+(ROW('DONNÉES BRUTES'!A$3:A$42)-ROW('DONNÉES BRUTES'!A$3))/1000,0),12),IF('DONNÉES BRUTES'!C$3:C$42="Healthcare",'DONNÉES BRUTES'!AB$3:AB$42+(ROW('DONNÉES BRUTES'!A$3:A$42)-ROW('DONNÉES BRUTES'!A$3))/1000,0),0))),"—")</f>
        <v/>
      </c>
      <c r="Q22">
        <f t="array" ref="Q22">IFERROR(IF(12&gt;COUNTIF('DONNÉES BRUTES'!C$3:C$42,"Healthcare"),"",INDEX('DONNÉES BRUTES'!AD$3:AD$42,MATCH(LARGE(IF('DONNÉES BRUTES'!C$3:C$42="Healthcare",'DONNÉES BRUTES'!AB$3:AB$42+(ROW('DONNÉES BRUTES'!A$3:A$42)-ROW('DONNÉES BRUTES'!A$3))/1000,0),12),IF('DONNÉES BRUTES'!C$3:C$42="Healthcare",'DONNÉES BRUTES'!AB$3:AB$42+(ROW('DONNÉES BRUTES'!A$3:A$42)-ROW('DONNÉES BRUTES'!A$3))/1000,0),0))),"—")</f>
        <v/>
      </c>
    </row>
    <row r="23" ht="15.95" customHeight="1">
      <c r="B23">
        <f>IF(13&gt;COUNTIF('DONNÉES BRUTES'!C$3:C$42,"Healthcare"),"",13)</f>
        <v/>
      </c>
      <c r="C23">
        <f t="array" ref="C23">IFERROR(IF(13&gt;COUNTIF('DONNÉES BRUTES'!C$3:C$42,"Healthcare"),"",INDEX('DONNÉES BRUTES'!A$3:A$42,MATCH(LARGE(IF('DONNÉES BRUTES'!C$3:C$42="Healthcare",'DONNÉES BRUTES'!AB$3:AB$42+(ROW('DONNÉES BRUTES'!A$3:A$42)-ROW('DONNÉES BRUTES'!A$3))/1000,0),13),IF('DONNÉES BRUTES'!C$3:C$42="Healthcare",'DONNÉES BRUTES'!AB$3:AB$42+(ROW('DONNÉES BRUTES'!A$3:A$42)-ROW('DONNÉES BRUTES'!A$3))/1000,0),0))),"—")</f>
        <v/>
      </c>
      <c r="D23">
        <f t="array" ref="D23">IFERROR(IF(13&gt;COUNTIF('DONNÉES BRUTES'!C$3:C$42,"Healthcare"),"",INDEX('DONNÉES BRUTES'!B$3:B$42,MATCH(LARGE(IF('DONNÉES BRUTES'!C$3:C$42="Healthcare",'DONNÉES BRUTES'!AB$3:AB$42+(ROW('DONNÉES BRUTES'!A$3:A$42)-ROW('DONNÉES BRUTES'!A$3))/1000,0),13),IF('DONNÉES BRUTES'!C$3:C$42="Healthcare",'DONNÉES BRUTES'!AB$3:AB$42+(ROW('DONNÉES BRUTES'!A$3:A$42)-ROW('DONNÉES BRUTES'!A$3))/1000,0),0))),"—")</f>
        <v/>
      </c>
      <c r="E23">
        <f t="array" ref="E23">IFERROR(IF(13&gt;COUNTIF('DONNÉES BRUTES'!C$3:C$42,"Healthcare"),"",INT(LARGE(IF('DONNÉES BRUTES'!C$3:C$42="Healthcare",'DONNÉES BRUTES'!AB$3:AB$42+(ROW('DONNÉES BRUTES'!A$3:A$42)-ROW('DONNÉES BRUTES'!A$3))/1000,0),13))&amp;"/100"),"—")</f>
        <v/>
      </c>
      <c r="F23">
        <f t="array" ref="F23">IFERROR(IF(13&gt;COUNTIF('DONNÉES BRUTES'!C$3:C$42,"Healthcare"),"",INDEX('DONNÉES BRUTES'!Y$3:Y$42,MATCH(LARGE(IF('DONNÉES BRUTES'!C$3:C$42="Healthcare",'DONNÉES BRUTES'!AB$3:AB$42+(ROW('DONNÉES BRUTES'!A$3:A$42)-ROW('DONNÉES BRUTES'!A$3))/1000,0),13),IF('DONNÉES BRUTES'!C$3:C$42="Healthcare",'DONNÉES BRUTES'!AB$3:AB$42+(ROW('DONNÉES BRUTES'!A$3:A$42)-ROW('DONNÉES BRUTES'!A$3))/1000,0),0))),"—")</f>
        <v/>
      </c>
      <c r="G23">
        <f t="array" ref="G23">IFERROR(IF(13&gt;COUNTIF('DONNÉES BRUTES'!C$3:C$42,"Healthcare"),"",INDEX('DONNÉES BRUTES'!Z$3:Z$42,MATCH(LARGE(IF('DONNÉES BRUTES'!C$3:C$42="Healthcare",'DONNÉES BRUTES'!AB$3:AB$42+(ROW('DONNÉES BRUTES'!A$3:A$42)-ROW('DONNÉES BRUTES'!A$3))/1000,0),13),IF('DONNÉES BRUTES'!C$3:C$42="Healthcare",'DONNÉES BRUTES'!AB$3:AB$42+(ROW('DONNÉES BRUTES'!A$3:A$42)-ROW('DONNÉES BRUTES'!A$3))/1000,0),0))),"—")</f>
        <v/>
      </c>
      <c r="H23">
        <f t="array" ref="H23">IFERROR(IF(13&gt;COUNTIF('DONNÉES BRUTES'!C$3:C$42,"Healthcare"),"",INDEX('DONNÉES BRUTES'!AA$3:AA$42,MATCH(LARGE(IF('DONNÉES BRUTES'!C$3:C$42="Healthcare",'DONNÉES BRUTES'!AB$3:AB$42+(ROW('DONNÉES BRUTES'!A$3:A$42)-ROW('DONNÉES BRUTES'!A$3))/1000,0),13),IF('DONNÉES BRUTES'!C$3:C$42="Healthcare",'DONNÉES BRUTES'!AB$3:AB$42+(ROW('DONNÉES BRUTES'!A$3:A$42)-ROW('DONNÉES BRUTES'!A$3))/1000,0),0))),"—")</f>
        <v/>
      </c>
      <c r="I23">
        <f t="array" ref="I23">IFERROR(IF(13&gt;COUNTIF('DONNÉES BRUTES'!C$3:C$42,"Healthcare"),"",INDEX('DONNÉES BRUTES'!M$3:M$42,MATCH(LARGE(IF('DONNÉES BRUTES'!C$3:C$42="Healthcare",'DONNÉES BRUTES'!AB$3:AB$42+(ROW('DONNÉES BRUTES'!A$3:A$42)-ROW('DONNÉES BRUTES'!A$3))/1000,0),13),IF('DONNÉES BRUTES'!C$3:C$42="Healthcare",'DONNÉES BRUTES'!AB$3:AB$42+(ROW('DONNÉES BRUTES'!A$3:A$42)-ROW('DONNÉES BRUTES'!A$3))/1000,0),0))),"—")</f>
        <v/>
      </c>
      <c r="J23">
        <f t="array" ref="J23">IFERROR(IF(13&gt;COUNTIF('DONNÉES BRUTES'!C$3:C$42,"Healthcare"),"",INDEX('DONNÉES BRUTES'!N$3:N$42,MATCH(LARGE(IF('DONNÉES BRUTES'!C$3:C$42="Healthcare",'DONNÉES BRUTES'!AB$3:AB$42+(ROW('DONNÉES BRUTES'!A$3:A$42)-ROW('DONNÉES BRUTES'!A$3))/1000,0),13),IF('DONNÉES BRUTES'!C$3:C$42="Healthcare",'DONNÉES BRUTES'!AB$3:AB$42+(ROW('DONNÉES BRUTES'!A$3:A$42)-ROW('DONNÉES BRUTES'!A$3))/1000,0),0))),"—")</f>
        <v/>
      </c>
      <c r="K23">
        <f t="array" ref="K23">IFERROR(IF(13&gt;COUNTIF('DONNÉES BRUTES'!C$3:C$42,"Healthcare"),"",INDEX('DONNÉES BRUTES'!O$3:O$42,MATCH(LARGE(IF('DONNÉES BRUTES'!C$3:C$42="Healthcare",'DONNÉES BRUTES'!AB$3:AB$42+(ROW('DONNÉES BRUTES'!A$3:A$42)-ROW('DONNÉES BRUTES'!A$3))/1000,0),13),IF('DONNÉES BRUTES'!C$3:C$42="Healthcare",'DONNÉES BRUTES'!AB$3:AB$42+(ROW('DONNÉES BRUTES'!A$3:A$42)-ROW('DONNÉES BRUTES'!A$3))/1000,0),0))),"—")</f>
        <v/>
      </c>
      <c r="L23">
        <f t="array" ref="L23">IFERROR(IF(13&gt;COUNTIF('DONNÉES BRUTES'!C$3:C$42,"Healthcare"),"",INDEX('DONNÉES BRUTES'!P$3:P$42,MATCH(LARGE(IF('DONNÉES BRUTES'!C$3:C$42="Healthcare",'DONNÉES BRUTES'!AB$3:AB$42+(ROW('DONNÉES BRUTES'!A$3:A$42)-ROW('DONNÉES BRUTES'!A$3))/1000,0),13),IF('DONNÉES BRUTES'!C$3:C$42="Healthcare",'DONNÉES BRUTES'!AB$3:AB$42+(ROW('DONNÉES BRUTES'!A$3:A$42)-ROW('DONNÉES BRUTES'!A$3))/1000,0),0))),"—")</f>
        <v/>
      </c>
      <c r="M23">
        <f t="array" ref="M23">IFERROR(IF(13&gt;COUNTIF('DONNÉES BRUTES'!C$3:C$42,"Healthcare"),"",INDEX('DONNÉES BRUTES'!Q$3:Q$42,MATCH(LARGE(IF('DONNÉES BRUTES'!C$3:C$42="Healthcare",'DONNÉES BRUTES'!AB$3:AB$42+(ROW('DONNÉES BRUTES'!A$3:A$42)-ROW('DONNÉES BRUTES'!A$3))/1000,0),13),IF('DONNÉES BRUTES'!C$3:C$42="Healthcare",'DONNÉES BRUTES'!AB$3:AB$42+(ROW('DONNÉES BRUTES'!A$3:A$42)-ROW('DONNÉES BRUTES'!A$3))/1000,0),0))),"—")</f>
        <v/>
      </c>
      <c r="N23">
        <f t="array" ref="N23">IFERROR(IF(13&gt;COUNTIF('DONNÉES BRUTES'!C$3:C$42,"Healthcare"),"",INDEX('DONNÉES BRUTES'!S$3:S$42,MATCH(LARGE(IF('DONNÉES BRUTES'!C$3:C$42="Healthcare",'DONNÉES BRUTES'!AB$3:AB$42+(ROW('DONNÉES BRUTES'!A$3:A$42)-ROW('DONNÉES BRUTES'!A$3))/1000,0),13),IF('DONNÉES BRUTES'!C$3:C$42="Healthcare",'DONNÉES BRUTES'!AB$3:AB$42+(ROW('DONNÉES BRUTES'!A$3:A$42)-ROW('DONNÉES BRUTES'!A$3))/1000,0),0))),"—")</f>
        <v/>
      </c>
      <c r="O23">
        <f t="array" ref="O23">IFERROR(IF(13&gt;COUNTIF('DONNÉES BRUTES'!C$3:C$42,"Healthcare"),"",INDEX('DONNÉES BRUTES'!T$3:T$42,MATCH(LARGE(IF('DONNÉES BRUTES'!C$3:C$42="Healthcare",'DONNÉES BRUTES'!AB$3:AB$42+(ROW('DONNÉES BRUTES'!A$3:A$42)-ROW('DONNÉES BRUTES'!A$3))/1000,0),13),IF('DONNÉES BRUTES'!C$3:C$42="Healthcare",'DONNÉES BRUTES'!AB$3:AB$42+(ROW('DONNÉES BRUTES'!A$3:A$42)-ROW('DONNÉES BRUTES'!A$3))/1000,0),0))),"—")</f>
        <v/>
      </c>
      <c r="P23">
        <f t="array" ref="P23">IFERROR(IF(13&gt;COUNTIF('DONNÉES BRUTES'!C$3:C$42,"Healthcare"),"",INDEX('DONNÉES BRUTES'!U$3:U$42,MATCH(LARGE(IF('DONNÉES BRUTES'!C$3:C$42="Healthcare",'DONNÉES BRUTES'!AB$3:AB$42+(ROW('DONNÉES BRUTES'!A$3:A$42)-ROW('DONNÉES BRUTES'!A$3))/1000,0),13),IF('DONNÉES BRUTES'!C$3:C$42="Healthcare",'DONNÉES BRUTES'!AB$3:AB$42+(ROW('DONNÉES BRUTES'!A$3:A$42)-ROW('DONNÉES BRUTES'!A$3))/1000,0),0))),"—")</f>
        <v/>
      </c>
      <c r="Q23">
        <f t="array" ref="Q23">IFERROR(IF(13&gt;COUNTIF('DONNÉES BRUTES'!C$3:C$42,"Healthcare"),"",INDEX('DONNÉES BRUTES'!AD$3:AD$42,MATCH(LARGE(IF('DONNÉES BRUTES'!C$3:C$42="Healthcare",'DONNÉES BRUTES'!AB$3:AB$42+(ROW('DONNÉES BRUTES'!A$3:A$42)-ROW('DONNÉES BRUTES'!A$3))/1000,0),13),IF('DONNÉES BRUTES'!C$3:C$42="Healthcare",'DONNÉES BRUTES'!AB$3:AB$42+(ROW('DONNÉES BRUTES'!A$3:A$42)-ROW('DONNÉES BRUTES'!A$3))/1000,0),0))),"—")</f>
        <v/>
      </c>
    </row>
    <row r="24" ht="15.95" customHeight="1">
      <c r="B24">
        <f>IF(14&gt;COUNTIF('DONNÉES BRUTES'!C$3:C$42,"Healthcare"),"",14)</f>
        <v/>
      </c>
      <c r="C24">
        <f t="array" ref="C24">IFERROR(IF(14&gt;COUNTIF('DONNÉES BRUTES'!C$3:C$42,"Healthcare"),"",INDEX('DONNÉES BRUTES'!A$3:A$42,MATCH(LARGE(IF('DONNÉES BRUTES'!C$3:C$42="Healthcare",'DONNÉES BRUTES'!AB$3:AB$42+(ROW('DONNÉES BRUTES'!A$3:A$42)-ROW('DONNÉES BRUTES'!A$3))/1000,0),14),IF('DONNÉES BRUTES'!C$3:C$42="Healthcare",'DONNÉES BRUTES'!AB$3:AB$42+(ROW('DONNÉES BRUTES'!A$3:A$42)-ROW('DONNÉES BRUTES'!A$3))/1000,0),0))),"—")</f>
        <v/>
      </c>
      <c r="D24">
        <f t="array" ref="D24">IFERROR(IF(14&gt;COUNTIF('DONNÉES BRUTES'!C$3:C$42,"Healthcare"),"",INDEX('DONNÉES BRUTES'!B$3:B$42,MATCH(LARGE(IF('DONNÉES BRUTES'!C$3:C$42="Healthcare",'DONNÉES BRUTES'!AB$3:AB$42+(ROW('DONNÉES BRUTES'!A$3:A$42)-ROW('DONNÉES BRUTES'!A$3))/1000,0),14),IF('DONNÉES BRUTES'!C$3:C$42="Healthcare",'DONNÉES BRUTES'!AB$3:AB$42+(ROW('DONNÉES BRUTES'!A$3:A$42)-ROW('DONNÉES BRUTES'!A$3))/1000,0),0))),"—")</f>
        <v/>
      </c>
      <c r="E24">
        <f t="array" ref="E24">IFERROR(IF(14&gt;COUNTIF('DONNÉES BRUTES'!C$3:C$42,"Healthcare"),"",INT(LARGE(IF('DONNÉES BRUTES'!C$3:C$42="Healthcare",'DONNÉES BRUTES'!AB$3:AB$42+(ROW('DONNÉES BRUTES'!A$3:A$42)-ROW('DONNÉES BRUTES'!A$3))/1000,0),14))&amp;"/100"),"—")</f>
        <v/>
      </c>
      <c r="F24">
        <f t="array" ref="F24">IFERROR(IF(14&gt;COUNTIF('DONNÉES BRUTES'!C$3:C$42,"Healthcare"),"",INDEX('DONNÉES BRUTES'!Y$3:Y$42,MATCH(LARGE(IF('DONNÉES BRUTES'!C$3:C$42="Healthcare",'DONNÉES BRUTES'!AB$3:AB$42+(ROW('DONNÉES BRUTES'!A$3:A$42)-ROW('DONNÉES BRUTES'!A$3))/1000,0),14),IF('DONNÉES BRUTES'!C$3:C$42="Healthcare",'DONNÉES BRUTES'!AB$3:AB$42+(ROW('DONNÉES BRUTES'!A$3:A$42)-ROW('DONNÉES BRUTES'!A$3))/1000,0),0))),"—")</f>
        <v/>
      </c>
      <c r="G24">
        <f t="array" ref="G24">IFERROR(IF(14&gt;COUNTIF('DONNÉES BRUTES'!C$3:C$42,"Healthcare"),"",INDEX('DONNÉES BRUTES'!Z$3:Z$42,MATCH(LARGE(IF('DONNÉES BRUTES'!C$3:C$42="Healthcare",'DONNÉES BRUTES'!AB$3:AB$42+(ROW('DONNÉES BRUTES'!A$3:A$42)-ROW('DONNÉES BRUTES'!A$3))/1000,0),14),IF('DONNÉES BRUTES'!C$3:C$42="Healthcare",'DONNÉES BRUTES'!AB$3:AB$42+(ROW('DONNÉES BRUTES'!A$3:A$42)-ROW('DONNÉES BRUTES'!A$3))/1000,0),0))),"—")</f>
        <v/>
      </c>
      <c r="H24">
        <f t="array" ref="H24">IFERROR(IF(14&gt;COUNTIF('DONNÉES BRUTES'!C$3:C$42,"Healthcare"),"",INDEX('DONNÉES BRUTES'!AA$3:AA$42,MATCH(LARGE(IF('DONNÉES BRUTES'!C$3:C$42="Healthcare",'DONNÉES BRUTES'!AB$3:AB$42+(ROW('DONNÉES BRUTES'!A$3:A$42)-ROW('DONNÉES BRUTES'!A$3))/1000,0),14),IF('DONNÉES BRUTES'!C$3:C$42="Healthcare",'DONNÉES BRUTES'!AB$3:AB$42+(ROW('DONNÉES BRUTES'!A$3:A$42)-ROW('DONNÉES BRUTES'!A$3))/1000,0),0))),"—")</f>
        <v/>
      </c>
      <c r="I24">
        <f t="array" ref="I24">IFERROR(IF(14&gt;COUNTIF('DONNÉES BRUTES'!C$3:C$42,"Healthcare"),"",INDEX('DONNÉES BRUTES'!M$3:M$42,MATCH(LARGE(IF('DONNÉES BRUTES'!C$3:C$42="Healthcare",'DONNÉES BRUTES'!AB$3:AB$42+(ROW('DONNÉES BRUTES'!A$3:A$42)-ROW('DONNÉES BRUTES'!A$3))/1000,0),14),IF('DONNÉES BRUTES'!C$3:C$42="Healthcare",'DONNÉES BRUTES'!AB$3:AB$42+(ROW('DONNÉES BRUTES'!A$3:A$42)-ROW('DONNÉES BRUTES'!A$3))/1000,0),0))),"—")</f>
        <v/>
      </c>
      <c r="J24">
        <f t="array" ref="J24">IFERROR(IF(14&gt;COUNTIF('DONNÉES BRUTES'!C$3:C$42,"Healthcare"),"",INDEX('DONNÉES BRUTES'!N$3:N$42,MATCH(LARGE(IF('DONNÉES BRUTES'!C$3:C$42="Healthcare",'DONNÉES BRUTES'!AB$3:AB$42+(ROW('DONNÉES BRUTES'!A$3:A$42)-ROW('DONNÉES BRUTES'!A$3))/1000,0),14),IF('DONNÉES BRUTES'!C$3:C$42="Healthcare",'DONNÉES BRUTES'!AB$3:AB$42+(ROW('DONNÉES BRUTES'!A$3:A$42)-ROW('DONNÉES BRUTES'!A$3))/1000,0),0))),"—")</f>
        <v/>
      </c>
      <c r="K24">
        <f t="array" ref="K24">IFERROR(IF(14&gt;COUNTIF('DONNÉES BRUTES'!C$3:C$42,"Healthcare"),"",INDEX('DONNÉES BRUTES'!O$3:O$42,MATCH(LARGE(IF('DONNÉES BRUTES'!C$3:C$42="Healthcare",'DONNÉES BRUTES'!AB$3:AB$42+(ROW('DONNÉES BRUTES'!A$3:A$42)-ROW('DONNÉES BRUTES'!A$3))/1000,0),14),IF('DONNÉES BRUTES'!C$3:C$42="Healthcare",'DONNÉES BRUTES'!AB$3:AB$42+(ROW('DONNÉES BRUTES'!A$3:A$42)-ROW('DONNÉES BRUTES'!A$3))/1000,0),0))),"—")</f>
        <v/>
      </c>
      <c r="L24">
        <f t="array" ref="L24">IFERROR(IF(14&gt;COUNTIF('DONNÉES BRUTES'!C$3:C$42,"Healthcare"),"",INDEX('DONNÉES BRUTES'!P$3:P$42,MATCH(LARGE(IF('DONNÉES BRUTES'!C$3:C$42="Healthcare",'DONNÉES BRUTES'!AB$3:AB$42+(ROW('DONNÉES BRUTES'!A$3:A$42)-ROW('DONNÉES BRUTES'!A$3))/1000,0),14),IF('DONNÉES BRUTES'!C$3:C$42="Healthcare",'DONNÉES BRUTES'!AB$3:AB$42+(ROW('DONNÉES BRUTES'!A$3:A$42)-ROW('DONNÉES BRUTES'!A$3))/1000,0),0))),"—")</f>
        <v/>
      </c>
      <c r="M24">
        <f t="array" ref="M24">IFERROR(IF(14&gt;COUNTIF('DONNÉES BRUTES'!C$3:C$42,"Healthcare"),"",INDEX('DONNÉES BRUTES'!Q$3:Q$42,MATCH(LARGE(IF('DONNÉES BRUTES'!C$3:C$42="Healthcare",'DONNÉES BRUTES'!AB$3:AB$42+(ROW('DONNÉES BRUTES'!A$3:A$42)-ROW('DONNÉES BRUTES'!A$3))/1000,0),14),IF('DONNÉES BRUTES'!C$3:C$42="Healthcare",'DONNÉES BRUTES'!AB$3:AB$42+(ROW('DONNÉES BRUTES'!A$3:A$42)-ROW('DONNÉES BRUTES'!A$3))/1000,0),0))),"—")</f>
        <v/>
      </c>
      <c r="N24">
        <f t="array" ref="N24">IFERROR(IF(14&gt;COUNTIF('DONNÉES BRUTES'!C$3:C$42,"Healthcare"),"",INDEX('DONNÉES BRUTES'!S$3:S$42,MATCH(LARGE(IF('DONNÉES BRUTES'!C$3:C$42="Healthcare",'DONNÉES BRUTES'!AB$3:AB$42+(ROW('DONNÉES BRUTES'!A$3:A$42)-ROW('DONNÉES BRUTES'!A$3))/1000,0),14),IF('DONNÉES BRUTES'!C$3:C$42="Healthcare",'DONNÉES BRUTES'!AB$3:AB$42+(ROW('DONNÉES BRUTES'!A$3:A$42)-ROW('DONNÉES BRUTES'!A$3))/1000,0),0))),"—")</f>
        <v/>
      </c>
      <c r="O24">
        <f t="array" ref="O24">IFERROR(IF(14&gt;COUNTIF('DONNÉES BRUTES'!C$3:C$42,"Healthcare"),"",INDEX('DONNÉES BRUTES'!T$3:T$42,MATCH(LARGE(IF('DONNÉES BRUTES'!C$3:C$42="Healthcare",'DONNÉES BRUTES'!AB$3:AB$42+(ROW('DONNÉES BRUTES'!A$3:A$42)-ROW('DONNÉES BRUTES'!A$3))/1000,0),14),IF('DONNÉES BRUTES'!C$3:C$42="Healthcare",'DONNÉES BRUTES'!AB$3:AB$42+(ROW('DONNÉES BRUTES'!A$3:A$42)-ROW('DONNÉES BRUTES'!A$3))/1000,0),0))),"—")</f>
        <v/>
      </c>
      <c r="P24">
        <f t="array" ref="P24">IFERROR(IF(14&gt;COUNTIF('DONNÉES BRUTES'!C$3:C$42,"Healthcare"),"",INDEX('DONNÉES BRUTES'!U$3:U$42,MATCH(LARGE(IF('DONNÉES BRUTES'!C$3:C$42="Healthcare",'DONNÉES BRUTES'!AB$3:AB$42+(ROW('DONNÉES BRUTES'!A$3:A$42)-ROW('DONNÉES BRUTES'!A$3))/1000,0),14),IF('DONNÉES BRUTES'!C$3:C$42="Healthcare",'DONNÉES BRUTES'!AB$3:AB$42+(ROW('DONNÉES BRUTES'!A$3:A$42)-ROW('DONNÉES BRUTES'!A$3))/1000,0),0))),"—")</f>
        <v/>
      </c>
      <c r="Q24">
        <f t="array" ref="Q24">IFERROR(IF(14&gt;COUNTIF('DONNÉES BRUTES'!C$3:C$42,"Healthcare"),"",INDEX('DONNÉES BRUTES'!AD$3:AD$42,MATCH(LARGE(IF('DONNÉES BRUTES'!C$3:C$42="Healthcare",'DONNÉES BRUTES'!AB$3:AB$42+(ROW('DONNÉES BRUTES'!A$3:A$42)-ROW('DONNÉES BRUTES'!A$3))/1000,0),14),IF('DONNÉES BRUTES'!C$3:C$42="Healthcare",'DONNÉES BRUTES'!AB$3:AB$42+(ROW('DONNÉES BRUTES'!A$3:A$42)-ROW('DONNÉES BRUTES'!A$3))/1000,0),0))),"—")</f>
        <v/>
      </c>
    </row>
    <row r="25" ht="15.95" customHeight="1">
      <c r="B25">
        <f>IF(15&gt;COUNTIF('DONNÉES BRUTES'!C$3:C$42,"Healthcare"),"",15)</f>
        <v/>
      </c>
      <c r="C25">
        <f t="array" ref="C25">IFERROR(IF(15&gt;COUNTIF('DONNÉES BRUTES'!C$3:C$42,"Healthcare"),"",INDEX('DONNÉES BRUTES'!A$3:A$42,MATCH(LARGE(IF('DONNÉES BRUTES'!C$3:C$42="Healthcare",'DONNÉES BRUTES'!AB$3:AB$42+(ROW('DONNÉES BRUTES'!A$3:A$42)-ROW('DONNÉES BRUTES'!A$3))/1000,0),15),IF('DONNÉES BRUTES'!C$3:C$42="Healthcare",'DONNÉES BRUTES'!AB$3:AB$42+(ROW('DONNÉES BRUTES'!A$3:A$42)-ROW('DONNÉES BRUTES'!A$3))/1000,0),0))),"—")</f>
        <v/>
      </c>
      <c r="D25">
        <f t="array" ref="D25">IFERROR(IF(15&gt;COUNTIF('DONNÉES BRUTES'!C$3:C$42,"Healthcare"),"",INDEX('DONNÉES BRUTES'!B$3:B$42,MATCH(LARGE(IF('DONNÉES BRUTES'!C$3:C$42="Healthcare",'DONNÉES BRUTES'!AB$3:AB$42+(ROW('DONNÉES BRUTES'!A$3:A$42)-ROW('DONNÉES BRUTES'!A$3))/1000,0),15),IF('DONNÉES BRUTES'!C$3:C$42="Healthcare",'DONNÉES BRUTES'!AB$3:AB$42+(ROW('DONNÉES BRUTES'!A$3:A$42)-ROW('DONNÉES BRUTES'!A$3))/1000,0),0))),"—")</f>
        <v/>
      </c>
      <c r="E25">
        <f t="array" ref="E25">IFERROR(IF(15&gt;COUNTIF('DONNÉES BRUTES'!C$3:C$42,"Healthcare"),"",INT(LARGE(IF('DONNÉES BRUTES'!C$3:C$42="Healthcare",'DONNÉES BRUTES'!AB$3:AB$42+(ROW('DONNÉES BRUTES'!A$3:A$42)-ROW('DONNÉES BRUTES'!A$3))/1000,0),15))&amp;"/100"),"—")</f>
        <v/>
      </c>
      <c r="F25">
        <f t="array" ref="F25">IFERROR(IF(15&gt;COUNTIF('DONNÉES BRUTES'!C$3:C$42,"Healthcare"),"",INDEX('DONNÉES BRUTES'!Y$3:Y$42,MATCH(LARGE(IF('DONNÉES BRUTES'!C$3:C$42="Healthcare",'DONNÉES BRUTES'!AB$3:AB$42+(ROW('DONNÉES BRUTES'!A$3:A$42)-ROW('DONNÉES BRUTES'!A$3))/1000,0),15),IF('DONNÉES BRUTES'!C$3:C$42="Healthcare",'DONNÉES BRUTES'!AB$3:AB$42+(ROW('DONNÉES BRUTES'!A$3:A$42)-ROW('DONNÉES BRUTES'!A$3))/1000,0),0))),"—")</f>
        <v/>
      </c>
      <c r="G25">
        <f t="array" ref="G25">IFERROR(IF(15&gt;COUNTIF('DONNÉES BRUTES'!C$3:C$42,"Healthcare"),"",INDEX('DONNÉES BRUTES'!Z$3:Z$42,MATCH(LARGE(IF('DONNÉES BRUTES'!C$3:C$42="Healthcare",'DONNÉES BRUTES'!AB$3:AB$42+(ROW('DONNÉES BRUTES'!A$3:A$42)-ROW('DONNÉES BRUTES'!A$3))/1000,0),15),IF('DONNÉES BRUTES'!C$3:C$42="Healthcare",'DONNÉES BRUTES'!AB$3:AB$42+(ROW('DONNÉES BRUTES'!A$3:A$42)-ROW('DONNÉES BRUTES'!A$3))/1000,0),0))),"—")</f>
        <v/>
      </c>
      <c r="H25">
        <f t="array" ref="H25">IFERROR(IF(15&gt;COUNTIF('DONNÉES BRUTES'!C$3:C$42,"Healthcare"),"",INDEX('DONNÉES BRUTES'!AA$3:AA$42,MATCH(LARGE(IF('DONNÉES BRUTES'!C$3:C$42="Healthcare",'DONNÉES BRUTES'!AB$3:AB$42+(ROW('DONNÉES BRUTES'!A$3:A$42)-ROW('DONNÉES BRUTES'!A$3))/1000,0),15),IF('DONNÉES BRUTES'!C$3:C$42="Healthcare",'DONNÉES BRUTES'!AB$3:AB$42+(ROW('DONNÉES BRUTES'!A$3:A$42)-ROW('DONNÉES BRUTES'!A$3))/1000,0),0))),"—")</f>
        <v/>
      </c>
      <c r="I25">
        <f t="array" ref="I25">IFERROR(IF(15&gt;COUNTIF('DONNÉES BRUTES'!C$3:C$42,"Healthcare"),"",INDEX('DONNÉES BRUTES'!M$3:M$42,MATCH(LARGE(IF('DONNÉES BRUTES'!C$3:C$42="Healthcare",'DONNÉES BRUTES'!AB$3:AB$42+(ROW('DONNÉES BRUTES'!A$3:A$42)-ROW('DONNÉES BRUTES'!A$3))/1000,0),15),IF('DONNÉES BRUTES'!C$3:C$42="Healthcare",'DONNÉES BRUTES'!AB$3:AB$42+(ROW('DONNÉES BRUTES'!A$3:A$42)-ROW('DONNÉES BRUTES'!A$3))/1000,0),0))),"—")</f>
        <v/>
      </c>
      <c r="J25">
        <f t="array" ref="J25">IFERROR(IF(15&gt;COUNTIF('DONNÉES BRUTES'!C$3:C$42,"Healthcare"),"",INDEX('DONNÉES BRUTES'!N$3:N$42,MATCH(LARGE(IF('DONNÉES BRUTES'!C$3:C$42="Healthcare",'DONNÉES BRUTES'!AB$3:AB$42+(ROW('DONNÉES BRUTES'!A$3:A$42)-ROW('DONNÉES BRUTES'!A$3))/1000,0),15),IF('DONNÉES BRUTES'!C$3:C$42="Healthcare",'DONNÉES BRUTES'!AB$3:AB$42+(ROW('DONNÉES BRUTES'!A$3:A$42)-ROW('DONNÉES BRUTES'!A$3))/1000,0),0))),"—")</f>
        <v/>
      </c>
      <c r="K25">
        <f t="array" ref="K25">IFERROR(IF(15&gt;COUNTIF('DONNÉES BRUTES'!C$3:C$42,"Healthcare"),"",INDEX('DONNÉES BRUTES'!O$3:O$42,MATCH(LARGE(IF('DONNÉES BRUTES'!C$3:C$42="Healthcare",'DONNÉES BRUTES'!AB$3:AB$42+(ROW('DONNÉES BRUTES'!A$3:A$42)-ROW('DONNÉES BRUTES'!A$3))/1000,0),15),IF('DONNÉES BRUTES'!C$3:C$42="Healthcare",'DONNÉES BRUTES'!AB$3:AB$42+(ROW('DONNÉES BRUTES'!A$3:A$42)-ROW('DONNÉES BRUTES'!A$3))/1000,0),0))),"—")</f>
        <v/>
      </c>
      <c r="L25">
        <f t="array" ref="L25">IFERROR(IF(15&gt;COUNTIF('DONNÉES BRUTES'!C$3:C$42,"Healthcare"),"",INDEX('DONNÉES BRUTES'!P$3:P$42,MATCH(LARGE(IF('DONNÉES BRUTES'!C$3:C$42="Healthcare",'DONNÉES BRUTES'!AB$3:AB$42+(ROW('DONNÉES BRUTES'!A$3:A$42)-ROW('DONNÉES BRUTES'!A$3))/1000,0),15),IF('DONNÉES BRUTES'!C$3:C$42="Healthcare",'DONNÉES BRUTES'!AB$3:AB$42+(ROW('DONNÉES BRUTES'!A$3:A$42)-ROW('DONNÉES BRUTES'!A$3))/1000,0),0))),"—")</f>
        <v/>
      </c>
      <c r="M25">
        <f t="array" ref="M25">IFERROR(IF(15&gt;COUNTIF('DONNÉES BRUTES'!C$3:C$42,"Healthcare"),"",INDEX('DONNÉES BRUTES'!Q$3:Q$42,MATCH(LARGE(IF('DONNÉES BRUTES'!C$3:C$42="Healthcare",'DONNÉES BRUTES'!AB$3:AB$42+(ROW('DONNÉES BRUTES'!A$3:A$42)-ROW('DONNÉES BRUTES'!A$3))/1000,0),15),IF('DONNÉES BRUTES'!C$3:C$42="Healthcare",'DONNÉES BRUTES'!AB$3:AB$42+(ROW('DONNÉES BRUTES'!A$3:A$42)-ROW('DONNÉES BRUTES'!A$3))/1000,0),0))),"—")</f>
        <v/>
      </c>
      <c r="N25">
        <f t="array" ref="N25">IFERROR(IF(15&gt;COUNTIF('DONNÉES BRUTES'!C$3:C$42,"Healthcare"),"",INDEX('DONNÉES BRUTES'!S$3:S$42,MATCH(LARGE(IF('DONNÉES BRUTES'!C$3:C$42="Healthcare",'DONNÉES BRUTES'!AB$3:AB$42+(ROW('DONNÉES BRUTES'!A$3:A$42)-ROW('DONNÉES BRUTES'!A$3))/1000,0),15),IF('DONNÉES BRUTES'!C$3:C$42="Healthcare",'DONNÉES BRUTES'!AB$3:AB$42+(ROW('DONNÉES BRUTES'!A$3:A$42)-ROW('DONNÉES BRUTES'!A$3))/1000,0),0))),"—")</f>
        <v/>
      </c>
      <c r="O25">
        <f t="array" ref="O25">IFERROR(IF(15&gt;COUNTIF('DONNÉES BRUTES'!C$3:C$42,"Healthcare"),"",INDEX('DONNÉES BRUTES'!T$3:T$42,MATCH(LARGE(IF('DONNÉES BRUTES'!C$3:C$42="Healthcare",'DONNÉES BRUTES'!AB$3:AB$42+(ROW('DONNÉES BRUTES'!A$3:A$42)-ROW('DONNÉES BRUTES'!A$3))/1000,0),15),IF('DONNÉES BRUTES'!C$3:C$42="Healthcare",'DONNÉES BRUTES'!AB$3:AB$42+(ROW('DONNÉES BRUTES'!A$3:A$42)-ROW('DONNÉES BRUTES'!A$3))/1000,0),0))),"—")</f>
        <v/>
      </c>
      <c r="P25">
        <f t="array" ref="P25">IFERROR(IF(15&gt;COUNTIF('DONNÉES BRUTES'!C$3:C$42,"Healthcare"),"",INDEX('DONNÉES BRUTES'!U$3:U$42,MATCH(LARGE(IF('DONNÉES BRUTES'!C$3:C$42="Healthcare",'DONNÉES BRUTES'!AB$3:AB$42+(ROW('DONNÉES BRUTES'!A$3:A$42)-ROW('DONNÉES BRUTES'!A$3))/1000,0),15),IF('DONNÉES BRUTES'!C$3:C$42="Healthcare",'DONNÉES BRUTES'!AB$3:AB$42+(ROW('DONNÉES BRUTES'!A$3:A$42)-ROW('DONNÉES BRUTES'!A$3))/1000,0),0))),"—")</f>
        <v/>
      </c>
      <c r="Q25">
        <f t="array" ref="Q25">IFERROR(IF(15&gt;COUNTIF('DONNÉES BRUTES'!C$3:C$42,"Healthcare"),"",INDEX('DONNÉES BRUTES'!AD$3:AD$42,MATCH(LARGE(IF('DONNÉES BRUTES'!C$3:C$42="Healthcare",'DONNÉES BRUTES'!AB$3:AB$42+(ROW('DONNÉES BRUTES'!A$3:A$42)-ROW('DONNÉES BRUTES'!A$3))/1000,0),15),IF('DONNÉES BRUTES'!C$3:C$42="Healthcare",'DONNÉES BRUTES'!AB$3:AB$42+(ROW('DONNÉES BRUTES'!A$3:A$42)-ROW('DONNÉES BRUTES'!A$3))/1000,0),0))),"—")</f>
        <v/>
      </c>
    </row>
    <row r="26" ht="15.95" customHeight="1"/>
    <row r="27" ht="15.95" customHeight="1"/>
    <row r="28" ht="15.95" customHeight="1">
      <c r="S28" s="235" t="inlineStr">
        <is>
          <t>Société</t>
        </is>
      </c>
      <c r="T28" s="235" t="inlineStr">
        <is>
          <t>Score</t>
        </is>
      </c>
      <c r="U28" t="inlineStr">
        <is>
          <t>Growth</t>
        </is>
      </c>
      <c r="V28" t="inlineStr">
        <is>
          <t>Quality</t>
        </is>
      </c>
      <c r="W28" s="235" t="inlineStr">
        <is>
          <t>Momentum</t>
        </is>
      </c>
      <c r="X28" s="235" t="n"/>
      <c r="Y28" s="235" t="inlineStr">
        <is>
          <t>Société</t>
        </is>
      </c>
      <c r="Z28" s="235" t="inlineStr">
        <is>
          <t>Growth</t>
        </is>
      </c>
      <c r="AA28" s="235" t="inlineStr">
        <is>
          <t>Quality</t>
        </is>
      </c>
      <c r="AB28" s="235" t="inlineStr">
        <is>
          <t>Momentum</t>
        </is>
      </c>
    </row>
    <row r="29" ht="15.95" customHeight="1">
      <c r="S29" s="235">
        <f>IF(D11="","",LEFT(D11,14))</f>
        <v/>
      </c>
      <c r="T29" s="235">
        <f>IF(E11="","",IFERROR(VALUE(LEFT(E11,FIND("/",E11)-1)),0))</f>
        <v/>
      </c>
      <c r="U29" s="235">
        <f>IF(ISNUMBER(F11),F11,0)</f>
        <v/>
      </c>
      <c r="V29" s="235">
        <f>IF(ISNUMBER(G11),G11,0)</f>
        <v/>
      </c>
      <c r="W29" s="235">
        <f>IF(ISNUMBER(H11),H11,0)</f>
        <v/>
      </c>
      <c r="X29" s="235">
        <f>IF(ISNUMBER(F11),F11,"")</f>
        <v/>
      </c>
      <c r="Y29" s="235">
        <f>IF(ISNUMBER(G11),G11,"")</f>
        <v/>
      </c>
      <c r="Z29" s="235">
        <f>IF(ISNUMBER(H11),H11,"")</f>
        <v/>
      </c>
      <c r="AA29" s="235" t="n">
        <v>97</v>
      </c>
      <c r="AB29" s="235" t="n">
        <v>31</v>
      </c>
    </row>
    <row r="30" ht="15.95" customHeight="1">
      <c r="S30" s="235">
        <f>IF(D12="","",LEFT(D12,14))</f>
        <v/>
      </c>
      <c r="T30" s="235">
        <f>IF(E12="","",IFERROR(VALUE(LEFT(E12,FIND("/",E12)-1)),0))</f>
        <v/>
      </c>
      <c r="U30" s="235">
        <f>IF(ISNUMBER(F12),F12,0)</f>
        <v/>
      </c>
      <c r="V30" s="235">
        <f>IF(ISNUMBER(G12),G12,0)</f>
        <v/>
      </c>
      <c r="W30" s="235">
        <f>IF(ISNUMBER(H12),H12,0)</f>
        <v/>
      </c>
      <c r="X30" s="235">
        <f>IF(ISNUMBER(F12),F12,"")</f>
        <v/>
      </c>
      <c r="Y30" s="235">
        <f>IF(ISNUMBER(G12),G12,"")</f>
        <v/>
      </c>
      <c r="Z30" s="235">
        <f>IF(ISNUMBER(H12),H12,"")</f>
        <v/>
      </c>
      <c r="AA30" s="235" t="n">
        <v>72</v>
      </c>
      <c r="AB30" s="235" t="n">
        <v>67</v>
      </c>
    </row>
    <row r="31">
      <c r="S31" s="235">
        <f>IF(D13="","",LEFT(D13,14))</f>
        <v/>
      </c>
      <c r="T31" s="235">
        <f>IF(E13="","",IFERROR(VALUE(LEFT(E13,FIND("/",E13)-1)),0))</f>
        <v/>
      </c>
      <c r="U31" s="235">
        <f>IF(ISNUMBER(F13),F13,0)</f>
        <v/>
      </c>
      <c r="V31" s="235">
        <f>IF(ISNUMBER(G13),G13,0)</f>
        <v/>
      </c>
      <c r="W31" s="235">
        <f>IF(ISNUMBER(H13),H13,0)</f>
        <v/>
      </c>
      <c r="X31" s="235">
        <f>IF(ISNUMBER(F13),F13,"")</f>
        <v/>
      </c>
      <c r="Y31" s="235">
        <f>IF(ISNUMBER(G13),G13,"")</f>
        <v/>
      </c>
      <c r="Z31" s="235">
        <f>IF(ISNUMBER(H13),H13,"")</f>
        <v/>
      </c>
      <c r="AA31" s="235" t="n">
        <v>62</v>
      </c>
      <c r="AB31" s="235" t="n">
        <v>69</v>
      </c>
    </row>
  </sheetData>
  <mergeCells count="3">
    <mergeCell ref="B2:Q2"/>
    <mergeCell ref="B1:Q1"/>
    <mergeCell ref="B8:Q8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AB36"/>
  <sheetViews>
    <sheetView showGridLines="0" topLeftCell="F1" zoomScaleNormal="100" workbookViewId="0">
      <selection activeCell="Y11" sqref="Y11"/>
    </sheetView>
  </sheetViews>
  <sheetFormatPr baseColWidth="10" defaultColWidth="8.85546875" defaultRowHeight="15"/>
  <cols>
    <col width="1.5703125" customWidth="1" min="1" max="1"/>
    <col width="5.28515625" customWidth="1" min="2" max="2"/>
    <col width="10.42578125" customWidth="1" min="3" max="3"/>
    <col width="21.85546875" customWidth="1" min="4" max="4"/>
    <col width="10.42578125" customWidth="1" min="5" max="5"/>
    <col width="5.28515625" customWidth="1" min="6" max="8"/>
    <col width="8" customWidth="1" min="9" max="10"/>
    <col width="7.28515625" customWidth="1" min="11" max="11"/>
    <col width="8" customWidth="1" min="12" max="13"/>
    <col width="6.42578125" customWidth="1" min="14" max="14"/>
    <col width="7.28515625" customWidth="1" min="15" max="15"/>
    <col width="6.42578125" customWidth="1" min="16" max="16"/>
    <col width="14.140625" bestFit="1" customWidth="1" min="17" max="17"/>
    <col width="9" bestFit="1" customWidth="1" min="20" max="23"/>
  </cols>
  <sheetData>
    <row r="1" ht="30" customHeight="1">
      <c r="B1" s="273">
        <f>"FinSight IA  ·  Energy  ·  CAC 40  ·  "&amp;COUNTIF('DONNÉES BRUTES'!C$3:C$42,"Energy")&amp;" sociétés  ·  22/03/2026"</f>
        <v/>
      </c>
    </row>
    <row r="2" ht="18" customHeight="1">
      <c r="B2" s="278" t="inlineStr">
        <is>
          <t>Zoom sectoriel  ·  Ratios clés  ·  Score FinSight  ·  Usage confidentiel</t>
        </is>
      </c>
    </row>
    <row r="3" ht="8.1" customHeight="1"/>
    <row r="4" ht="8.1" customHeight="1"/>
    <row r="5" ht="39.95" customHeight="1">
      <c r="B5" s="262" t="n"/>
      <c r="C5" s="246">
        <f>COUNTIF('DONNÉES BRUTES'!C$3:C$42,"Energy")</f>
        <v/>
      </c>
      <c r="D5" s="262" t="n"/>
      <c r="E5" s="282">
        <f>ROUND(AVERAGEIF('DONNÉES BRUTES'!C$3:C$42,"Energy",'DONNÉES BRUTES'!AB$3:AB$42),0)&amp;"/100"</f>
        <v/>
      </c>
      <c r="F5" s="282" t="n"/>
      <c r="G5" s="282" t="n"/>
      <c r="H5" s="249">
        <f t="array" ref="H5">IFERROR(INDEX('DONNÉES BRUTES'!B$3:B$42,MATCH(LARGE(IF('DONNÉES BRUTES'!C$3:C$42="Energy",'DONNÉES BRUTES'!AB$3:AB$42+(ROW('DONNÉES BRUTES'!A$3:A$42)-ROW('DONNÉES BRUTES'!A$3))/1000,0),1),IF('DONNÉES BRUTES'!C$3:C$42="Energy",'DONNÉES BRUTES'!AB$3:AB$42+(ROW('DONNÉES BRUTES'!A$3:A$42)-ROW('DONNÉES BRUTES'!A$3))/1000,0),0)),"—")</f>
        <v/>
      </c>
      <c r="I5" s="282" t="n"/>
      <c r="J5" s="282" t="n"/>
      <c r="K5" s="282" t="n"/>
      <c r="L5" s="251">
        <f>IFERROR(VLOOKUP("Energy",'SECTOR OVERVIEW'!B$8:G$19,6,0),"—")</f>
        <v/>
      </c>
      <c r="M5" s="282" t="n"/>
      <c r="N5" s="252">
        <f t="array" ref="N5">IFERROR(ROUND(MEDIAN(IF('DONNÉES BRUTES'!C$3:C$42="Energy",IF(ISNUMBER('DONNÉES BRUTES'!Y$3:Y$42),'DONNÉES BRUTES'!Y$3:Y$42))),0),"—")</f>
        <v/>
      </c>
      <c r="O5" s="282" t="n"/>
      <c r="P5" s="284">
        <f>IF(COUNTIFS('DONNÉES BRUTES'!C$3:C$42,"Energy",'DONNÉES BRUTES'!AD$3:AD$42,"Surpondérer")&gt;0,"Surpondérer",IF(COUNTIFS('DONNÉES BRUTES'!C$3:C$42,"Energy",'DONNÉES BRUTES'!AD$3:AD$42,"Neutre")&gt;=COUNTIFS('DONNÉES BRUTES'!C$3:C$42,"Energy",'DONNÉES BRUTES'!AD$3:AD$42,"Sous-pondérer"),"Neutre","Sous-pondérer"))</f>
        <v/>
      </c>
      <c r="Q5" s="282" t="n"/>
    </row>
    <row r="6" ht="15.95" customHeight="1">
      <c r="B6" s="248" t="n"/>
      <c r="C6" s="248" t="inlineStr">
        <is>
          <t>Sociétés</t>
        </is>
      </c>
      <c r="D6" s="248" t="n"/>
      <c r="E6" s="247" t="inlineStr">
        <is>
          <t>Score moyen</t>
        </is>
      </c>
      <c r="F6" s="247" t="n"/>
      <c r="G6" s="247" t="n"/>
      <c r="H6" s="250" t="inlineStr">
        <is>
          <t>Meilleure société</t>
        </is>
      </c>
      <c r="I6" s="247" t="n"/>
      <c r="J6" s="247" t="n"/>
      <c r="K6" s="247" t="n"/>
      <c r="L6" s="248" t="inlineStr">
        <is>
          <t>Mg. EBITDA Méd.</t>
        </is>
      </c>
      <c r="M6" s="247" t="n"/>
      <c r="N6" s="248" t="inlineStr">
        <is>
          <t>Score Growth Méd.</t>
        </is>
      </c>
      <c r="O6" s="247" t="n"/>
      <c r="P6" s="248" t="inlineStr">
        <is>
          <t>Signal</t>
        </is>
      </c>
      <c r="Q6" s="247" t="n"/>
    </row>
    <row r="7" ht="8.1" customHeight="1"/>
    <row r="8" ht="21.95" customHeight="1">
      <c r="B8" s="275">
        <f>"ANALYSE DÉTAILLÉE  ·  "&amp;UPPER("Energy")&amp;"  ·  "&amp;COUNTIF('DONNÉES BRUTES'!C$3:C$42,"Energy")&amp;" sociétés  ·  Triée par Score Global"</f>
        <v/>
      </c>
    </row>
    <row r="9" ht="6" customHeight="1"/>
    <row r="10" ht="20.1" customHeight="1">
      <c r="B10" s="263" t="inlineStr">
        <is>
          <t>#</t>
        </is>
      </c>
      <c r="C10" s="264" t="inlineStr">
        <is>
          <t>Ticker</t>
        </is>
      </c>
      <c r="D10" s="264" t="inlineStr">
        <is>
          <t>Société</t>
        </is>
      </c>
      <c r="E10" s="263" t="inlineStr">
        <is>
          <t>Score</t>
        </is>
      </c>
      <c r="F10" s="263" t="inlineStr">
        <is>
          <t>Gr.</t>
        </is>
      </c>
      <c r="G10" s="263" t="inlineStr">
        <is>
          <t>Qual.</t>
        </is>
      </c>
      <c r="H10" s="263" t="inlineStr">
        <is>
          <t>Mom.</t>
        </is>
      </c>
      <c r="I10" s="263" t="inlineStr">
        <is>
          <t>Mg. Brute</t>
        </is>
      </c>
      <c r="J10" s="263" t="inlineStr">
        <is>
          <t>Mg. EBITDA</t>
        </is>
      </c>
      <c r="K10" s="263" t="inlineStr">
        <is>
          <t>Mg. Nette</t>
        </is>
      </c>
      <c r="L10" s="263" t="inlineStr">
        <is>
          <t>Croiss. Rev.</t>
        </is>
      </c>
      <c r="M10" s="263" t="inlineStr">
        <is>
          <t>ROE</t>
        </is>
      </c>
      <c r="N10" s="263" t="inlineStr">
        <is>
          <t>Curr. R.</t>
        </is>
      </c>
      <c r="O10" s="263" t="inlineStr">
        <is>
          <t>ND/EBITDA</t>
        </is>
      </c>
      <c r="P10" s="263" t="inlineStr">
        <is>
          <t>Altman Z</t>
        </is>
      </c>
      <c r="Q10" s="263" t="inlineStr">
        <is>
          <t>Signal</t>
        </is>
      </c>
    </row>
    <row r="11" ht="18" customHeight="1">
      <c r="B11">
        <f>IF(1&gt;COUNTIF('DONNÉES BRUTES'!C$3:C$42,"Energy"),"",1)</f>
        <v/>
      </c>
      <c r="C11">
        <f t="array" ref="C11">IFERROR(IF(1&gt;COUNTIF('DONNÉES BRUTES'!C$3:C$42,"Energy"),"",INDEX('DONNÉES BRUTES'!A$3:A$42,MATCH(LARGE(IF('DONNÉES BRUTES'!C$3:C$42="Energy",'DONNÉES BRUTES'!AB$3:AB$42+(ROW('DONNÉES BRUTES'!A$3:A$42)-ROW('DONNÉES BRUTES'!A$3))/1000,0),1),IF('DONNÉES BRUTES'!C$3:C$42="Energy",'DONNÉES BRUTES'!AB$3:AB$42+(ROW('DONNÉES BRUTES'!A$3:A$42)-ROW('DONNÉES BRUTES'!A$3))/1000,0),0))),"—")</f>
        <v/>
      </c>
      <c r="D11">
        <f t="array" ref="D11">IFERROR(IF(1&gt;COUNTIF('DONNÉES BRUTES'!C$3:C$42,"Energy"),"",INDEX('DONNÉES BRUTES'!B$3:B$42,MATCH(LARGE(IF('DONNÉES BRUTES'!C$3:C$42="Energy",'DONNÉES BRUTES'!AB$3:AB$42+(ROW('DONNÉES BRUTES'!A$3:A$42)-ROW('DONNÉES BRUTES'!A$3))/1000,0),1),IF('DONNÉES BRUTES'!C$3:C$42="Energy",'DONNÉES BRUTES'!AB$3:AB$42+(ROW('DONNÉES BRUTES'!A$3:A$42)-ROW('DONNÉES BRUTES'!A$3))/1000,0),0))),"—")</f>
        <v/>
      </c>
      <c r="E11">
        <f t="array" ref="E11">IFERROR(IF(1&gt;COUNTIF('DONNÉES BRUTES'!C$3:C$42,"Energy"),"",INT(LARGE(IF('DONNÉES BRUTES'!C$3:C$42="Energy",'DONNÉES BRUTES'!AB$3:AB$42+(ROW('DONNÉES BRUTES'!A$3:A$42)-ROW('DONNÉES BRUTES'!A$3))/1000,0),1))&amp;"/100"),"—")</f>
        <v/>
      </c>
      <c r="F11">
        <f t="array" ref="F11">IFERROR(IF(1&gt;COUNTIF('DONNÉES BRUTES'!C$3:C$42,"Energy"),"",INDEX('DONNÉES BRUTES'!Y$3:Y$42,MATCH(LARGE(IF('DONNÉES BRUTES'!C$3:C$42="Energy",'DONNÉES BRUTES'!AB$3:AB$42+(ROW('DONNÉES BRUTES'!A$3:A$42)-ROW('DONNÉES BRUTES'!A$3))/1000,0),1),IF('DONNÉES BRUTES'!C$3:C$42="Energy",'DONNÉES BRUTES'!AB$3:AB$42+(ROW('DONNÉES BRUTES'!A$3:A$42)-ROW('DONNÉES BRUTES'!A$3))/1000,0),0))),"—")</f>
        <v/>
      </c>
      <c r="G11">
        <f t="array" ref="G11">IFERROR(IF(1&gt;COUNTIF('DONNÉES BRUTES'!C$3:C$42,"Energy"),"",INDEX('DONNÉES BRUTES'!Z$3:Z$42,MATCH(LARGE(IF('DONNÉES BRUTES'!C$3:C$42="Energy",'DONNÉES BRUTES'!AB$3:AB$42+(ROW('DONNÉES BRUTES'!A$3:A$42)-ROW('DONNÉES BRUTES'!A$3))/1000,0),1),IF('DONNÉES BRUTES'!C$3:C$42="Energy",'DONNÉES BRUTES'!AB$3:AB$42+(ROW('DONNÉES BRUTES'!A$3:A$42)-ROW('DONNÉES BRUTES'!A$3))/1000,0),0))),"—")</f>
        <v/>
      </c>
      <c r="H11">
        <f t="array" ref="H11">IFERROR(IF(1&gt;COUNTIF('DONNÉES BRUTES'!C$3:C$42,"Energy"),"",INDEX('DONNÉES BRUTES'!AA$3:AA$42,MATCH(LARGE(IF('DONNÉES BRUTES'!C$3:C$42="Energy",'DONNÉES BRUTES'!AB$3:AB$42+(ROW('DONNÉES BRUTES'!A$3:A$42)-ROW('DONNÉES BRUTES'!A$3))/1000,0),1),IF('DONNÉES BRUTES'!C$3:C$42="Energy",'DONNÉES BRUTES'!AB$3:AB$42+(ROW('DONNÉES BRUTES'!A$3:A$42)-ROW('DONNÉES BRUTES'!A$3))/1000,0),0))),"—")</f>
        <v/>
      </c>
      <c r="I11">
        <f t="array" ref="I11">IFERROR(IF(1&gt;COUNTIF('DONNÉES BRUTES'!C$3:C$42,"Energy"),"",INDEX('DONNÉES BRUTES'!M$3:M$42,MATCH(LARGE(IF('DONNÉES BRUTES'!C$3:C$42="Energy",'DONNÉES BRUTES'!AB$3:AB$42+(ROW('DONNÉES BRUTES'!A$3:A$42)-ROW('DONNÉES BRUTES'!A$3))/1000,0),1),IF('DONNÉES BRUTES'!C$3:C$42="Energy",'DONNÉES BRUTES'!AB$3:AB$42+(ROW('DONNÉES BRUTES'!A$3:A$42)-ROW('DONNÉES BRUTES'!A$3))/1000,0),0))),"—")</f>
        <v/>
      </c>
      <c r="J11">
        <f t="array" ref="J11">IFERROR(IF(1&gt;COUNTIF('DONNÉES BRUTES'!C$3:C$42,"Energy"),"",INDEX('DONNÉES BRUTES'!N$3:N$42,MATCH(LARGE(IF('DONNÉES BRUTES'!C$3:C$42="Energy",'DONNÉES BRUTES'!AB$3:AB$42+(ROW('DONNÉES BRUTES'!A$3:A$42)-ROW('DONNÉES BRUTES'!A$3))/1000,0),1),IF('DONNÉES BRUTES'!C$3:C$42="Energy",'DONNÉES BRUTES'!AB$3:AB$42+(ROW('DONNÉES BRUTES'!A$3:A$42)-ROW('DONNÉES BRUTES'!A$3))/1000,0),0))),"—")</f>
        <v/>
      </c>
      <c r="K11">
        <f t="array" ref="K11">IFERROR(IF(1&gt;COUNTIF('DONNÉES BRUTES'!C$3:C$42,"Energy"),"",INDEX('DONNÉES BRUTES'!O$3:O$42,MATCH(LARGE(IF('DONNÉES BRUTES'!C$3:C$42="Energy",'DONNÉES BRUTES'!AB$3:AB$42+(ROW('DONNÉES BRUTES'!A$3:A$42)-ROW('DONNÉES BRUTES'!A$3))/1000,0),1),IF('DONNÉES BRUTES'!C$3:C$42="Energy",'DONNÉES BRUTES'!AB$3:AB$42+(ROW('DONNÉES BRUTES'!A$3:A$42)-ROW('DONNÉES BRUTES'!A$3))/1000,0),0))),"—")</f>
        <v/>
      </c>
      <c r="L11">
        <f t="array" ref="L11">IFERROR(IF(1&gt;COUNTIF('DONNÉES BRUTES'!C$3:C$42,"Energy"),"",INDEX('DONNÉES BRUTES'!P$3:P$42,MATCH(LARGE(IF('DONNÉES BRUTES'!C$3:C$42="Energy",'DONNÉES BRUTES'!AB$3:AB$42+(ROW('DONNÉES BRUTES'!A$3:A$42)-ROW('DONNÉES BRUTES'!A$3))/1000,0),1),IF('DONNÉES BRUTES'!C$3:C$42="Energy",'DONNÉES BRUTES'!AB$3:AB$42+(ROW('DONNÉES BRUTES'!A$3:A$42)-ROW('DONNÉES BRUTES'!A$3))/1000,0),0))),"—")</f>
        <v/>
      </c>
      <c r="M11">
        <f t="array" ref="M11">IFERROR(IF(1&gt;COUNTIF('DONNÉES BRUTES'!C$3:C$42,"Energy"),"",INDEX('DONNÉES BRUTES'!Q$3:Q$42,MATCH(LARGE(IF('DONNÉES BRUTES'!C$3:C$42="Energy",'DONNÉES BRUTES'!AB$3:AB$42+(ROW('DONNÉES BRUTES'!A$3:A$42)-ROW('DONNÉES BRUTES'!A$3))/1000,0),1),IF('DONNÉES BRUTES'!C$3:C$42="Energy",'DONNÉES BRUTES'!AB$3:AB$42+(ROW('DONNÉES BRUTES'!A$3:A$42)-ROW('DONNÉES BRUTES'!A$3))/1000,0),0))),"—")</f>
        <v/>
      </c>
      <c r="N11">
        <f t="array" ref="N11">IFERROR(IF(1&gt;COUNTIF('DONNÉES BRUTES'!C$3:C$42,"Energy"),"",INDEX('DONNÉES BRUTES'!S$3:S$42,MATCH(LARGE(IF('DONNÉES BRUTES'!C$3:C$42="Energy",'DONNÉES BRUTES'!AB$3:AB$42+(ROW('DONNÉES BRUTES'!A$3:A$42)-ROW('DONNÉES BRUTES'!A$3))/1000,0),1),IF('DONNÉES BRUTES'!C$3:C$42="Energy",'DONNÉES BRUTES'!AB$3:AB$42+(ROW('DONNÉES BRUTES'!A$3:A$42)-ROW('DONNÉES BRUTES'!A$3))/1000,0),0))),"—")</f>
        <v/>
      </c>
      <c r="O11">
        <f t="array" ref="O11">IFERROR(IF(1&gt;COUNTIF('DONNÉES BRUTES'!C$3:C$42,"Energy"),"",INDEX('DONNÉES BRUTES'!T$3:T$42,MATCH(LARGE(IF('DONNÉES BRUTES'!C$3:C$42="Energy",'DONNÉES BRUTES'!AB$3:AB$42+(ROW('DONNÉES BRUTES'!A$3:A$42)-ROW('DONNÉES BRUTES'!A$3))/1000,0),1),IF('DONNÉES BRUTES'!C$3:C$42="Energy",'DONNÉES BRUTES'!AB$3:AB$42+(ROW('DONNÉES BRUTES'!A$3:A$42)-ROW('DONNÉES BRUTES'!A$3))/1000,0),0))),"—")</f>
        <v/>
      </c>
      <c r="P11">
        <f t="array" ref="P11">IFERROR(IF(1&gt;COUNTIF('DONNÉES BRUTES'!C$3:C$42,"Energy"),"",INDEX('DONNÉES BRUTES'!U$3:U$42,MATCH(LARGE(IF('DONNÉES BRUTES'!C$3:C$42="Energy",'DONNÉES BRUTES'!AB$3:AB$42+(ROW('DONNÉES BRUTES'!A$3:A$42)-ROW('DONNÉES BRUTES'!A$3))/1000,0),1),IF('DONNÉES BRUTES'!C$3:C$42="Energy",'DONNÉES BRUTES'!AB$3:AB$42+(ROW('DONNÉES BRUTES'!A$3:A$42)-ROW('DONNÉES BRUTES'!A$3))/1000,0),0))),"—")</f>
        <v/>
      </c>
      <c r="Q11">
        <f t="array" ref="Q11">IFERROR(IF(1&gt;COUNTIF('DONNÉES BRUTES'!C$3:C$42,"Energy"),"",INDEX('DONNÉES BRUTES'!AD$3:AD$42,MATCH(LARGE(IF('DONNÉES BRUTES'!C$3:C$42="Energy",'DONNÉES BRUTES'!AB$3:AB$42+(ROW('DONNÉES BRUTES'!A$3:A$42)-ROW('DONNÉES BRUTES'!A$3))/1000,0),1),IF('DONNÉES BRUTES'!C$3:C$42="Energy",'DONNÉES BRUTES'!AB$3:AB$42+(ROW('DONNÉES BRUTES'!A$3:A$42)-ROW('DONNÉES BRUTES'!A$3))/1000,0),0))),"—")</f>
        <v/>
      </c>
    </row>
    <row r="12" ht="15.95" customHeight="1">
      <c r="B12">
        <f>IF(2&gt;COUNTIF('DONNÉES BRUTES'!C$3:C$42,"Energy"),"",2)</f>
        <v/>
      </c>
      <c r="C12">
        <f t="array" ref="C12">IFERROR(IF(2&gt;COUNTIF('DONNÉES BRUTES'!C$3:C$42,"Energy"),"",INDEX('DONNÉES BRUTES'!A$3:A$42,MATCH(LARGE(IF('DONNÉES BRUTES'!C$3:C$42="Energy",'DONNÉES BRUTES'!AB$3:AB$42+(ROW('DONNÉES BRUTES'!A$3:A$42)-ROW('DONNÉES BRUTES'!A$3))/1000,0),2),IF('DONNÉES BRUTES'!C$3:C$42="Energy",'DONNÉES BRUTES'!AB$3:AB$42+(ROW('DONNÉES BRUTES'!A$3:A$42)-ROW('DONNÉES BRUTES'!A$3))/1000,0),0))),"—")</f>
        <v/>
      </c>
      <c r="D12">
        <f t="array" ref="D12">IFERROR(IF(2&gt;COUNTIF('DONNÉES BRUTES'!C$3:C$42,"Energy"),"",INDEX('DONNÉES BRUTES'!B$3:B$42,MATCH(LARGE(IF('DONNÉES BRUTES'!C$3:C$42="Energy",'DONNÉES BRUTES'!AB$3:AB$42+(ROW('DONNÉES BRUTES'!A$3:A$42)-ROW('DONNÉES BRUTES'!A$3))/1000,0),2),IF('DONNÉES BRUTES'!C$3:C$42="Energy",'DONNÉES BRUTES'!AB$3:AB$42+(ROW('DONNÉES BRUTES'!A$3:A$42)-ROW('DONNÉES BRUTES'!A$3))/1000,0),0))),"—")</f>
        <v/>
      </c>
      <c r="E12">
        <f t="array" ref="E12">IFERROR(IF(2&gt;COUNTIF('DONNÉES BRUTES'!C$3:C$42,"Energy"),"",INT(LARGE(IF('DONNÉES BRUTES'!C$3:C$42="Energy",'DONNÉES BRUTES'!AB$3:AB$42+(ROW('DONNÉES BRUTES'!A$3:A$42)-ROW('DONNÉES BRUTES'!A$3))/1000,0),2))&amp;"/100"),"—")</f>
        <v/>
      </c>
      <c r="F12">
        <f t="array" ref="F12">IFERROR(IF(2&gt;COUNTIF('DONNÉES BRUTES'!C$3:C$42,"Energy"),"",INDEX('DONNÉES BRUTES'!Y$3:Y$42,MATCH(LARGE(IF('DONNÉES BRUTES'!C$3:C$42="Energy",'DONNÉES BRUTES'!AB$3:AB$42+(ROW('DONNÉES BRUTES'!A$3:A$42)-ROW('DONNÉES BRUTES'!A$3))/1000,0),2),IF('DONNÉES BRUTES'!C$3:C$42="Energy",'DONNÉES BRUTES'!AB$3:AB$42+(ROW('DONNÉES BRUTES'!A$3:A$42)-ROW('DONNÉES BRUTES'!A$3))/1000,0),0))),"—")</f>
        <v/>
      </c>
      <c r="G12">
        <f t="array" ref="G12">IFERROR(IF(2&gt;COUNTIF('DONNÉES BRUTES'!C$3:C$42,"Energy"),"",INDEX('DONNÉES BRUTES'!Z$3:Z$42,MATCH(LARGE(IF('DONNÉES BRUTES'!C$3:C$42="Energy",'DONNÉES BRUTES'!AB$3:AB$42+(ROW('DONNÉES BRUTES'!A$3:A$42)-ROW('DONNÉES BRUTES'!A$3))/1000,0),2),IF('DONNÉES BRUTES'!C$3:C$42="Energy",'DONNÉES BRUTES'!AB$3:AB$42+(ROW('DONNÉES BRUTES'!A$3:A$42)-ROW('DONNÉES BRUTES'!A$3))/1000,0),0))),"—")</f>
        <v/>
      </c>
      <c r="H12">
        <f t="array" ref="H12">IFERROR(IF(2&gt;COUNTIF('DONNÉES BRUTES'!C$3:C$42,"Energy"),"",INDEX('DONNÉES BRUTES'!AA$3:AA$42,MATCH(LARGE(IF('DONNÉES BRUTES'!C$3:C$42="Energy",'DONNÉES BRUTES'!AB$3:AB$42+(ROW('DONNÉES BRUTES'!A$3:A$42)-ROW('DONNÉES BRUTES'!A$3))/1000,0),2),IF('DONNÉES BRUTES'!C$3:C$42="Energy",'DONNÉES BRUTES'!AB$3:AB$42+(ROW('DONNÉES BRUTES'!A$3:A$42)-ROW('DONNÉES BRUTES'!A$3))/1000,0),0))),"—")</f>
        <v/>
      </c>
      <c r="I12">
        <f t="array" ref="I12">IFERROR(IF(2&gt;COUNTIF('DONNÉES BRUTES'!C$3:C$42,"Energy"),"",INDEX('DONNÉES BRUTES'!M$3:M$42,MATCH(LARGE(IF('DONNÉES BRUTES'!C$3:C$42="Energy",'DONNÉES BRUTES'!AB$3:AB$42+(ROW('DONNÉES BRUTES'!A$3:A$42)-ROW('DONNÉES BRUTES'!A$3))/1000,0),2),IF('DONNÉES BRUTES'!C$3:C$42="Energy",'DONNÉES BRUTES'!AB$3:AB$42+(ROW('DONNÉES BRUTES'!A$3:A$42)-ROW('DONNÉES BRUTES'!A$3))/1000,0),0))),"—")</f>
        <v/>
      </c>
      <c r="J12">
        <f t="array" ref="J12">IFERROR(IF(2&gt;COUNTIF('DONNÉES BRUTES'!C$3:C$42,"Energy"),"",INDEX('DONNÉES BRUTES'!N$3:N$42,MATCH(LARGE(IF('DONNÉES BRUTES'!C$3:C$42="Energy",'DONNÉES BRUTES'!AB$3:AB$42+(ROW('DONNÉES BRUTES'!A$3:A$42)-ROW('DONNÉES BRUTES'!A$3))/1000,0),2),IF('DONNÉES BRUTES'!C$3:C$42="Energy",'DONNÉES BRUTES'!AB$3:AB$42+(ROW('DONNÉES BRUTES'!A$3:A$42)-ROW('DONNÉES BRUTES'!A$3))/1000,0),0))),"—")</f>
        <v/>
      </c>
      <c r="K12">
        <f t="array" ref="K12">IFERROR(IF(2&gt;COUNTIF('DONNÉES BRUTES'!C$3:C$42,"Energy"),"",INDEX('DONNÉES BRUTES'!O$3:O$42,MATCH(LARGE(IF('DONNÉES BRUTES'!C$3:C$42="Energy",'DONNÉES BRUTES'!AB$3:AB$42+(ROW('DONNÉES BRUTES'!A$3:A$42)-ROW('DONNÉES BRUTES'!A$3))/1000,0),2),IF('DONNÉES BRUTES'!C$3:C$42="Energy",'DONNÉES BRUTES'!AB$3:AB$42+(ROW('DONNÉES BRUTES'!A$3:A$42)-ROW('DONNÉES BRUTES'!A$3))/1000,0),0))),"—")</f>
        <v/>
      </c>
      <c r="L12">
        <f t="array" ref="L12">IFERROR(IF(2&gt;COUNTIF('DONNÉES BRUTES'!C$3:C$42,"Energy"),"",INDEX('DONNÉES BRUTES'!P$3:P$42,MATCH(LARGE(IF('DONNÉES BRUTES'!C$3:C$42="Energy",'DONNÉES BRUTES'!AB$3:AB$42+(ROW('DONNÉES BRUTES'!A$3:A$42)-ROW('DONNÉES BRUTES'!A$3))/1000,0),2),IF('DONNÉES BRUTES'!C$3:C$42="Energy",'DONNÉES BRUTES'!AB$3:AB$42+(ROW('DONNÉES BRUTES'!A$3:A$42)-ROW('DONNÉES BRUTES'!A$3))/1000,0),0))),"—")</f>
        <v/>
      </c>
      <c r="M12">
        <f t="array" ref="M12">IFERROR(IF(2&gt;COUNTIF('DONNÉES BRUTES'!C$3:C$42,"Energy"),"",INDEX('DONNÉES BRUTES'!Q$3:Q$42,MATCH(LARGE(IF('DONNÉES BRUTES'!C$3:C$42="Energy",'DONNÉES BRUTES'!AB$3:AB$42+(ROW('DONNÉES BRUTES'!A$3:A$42)-ROW('DONNÉES BRUTES'!A$3))/1000,0),2),IF('DONNÉES BRUTES'!C$3:C$42="Energy",'DONNÉES BRUTES'!AB$3:AB$42+(ROW('DONNÉES BRUTES'!A$3:A$42)-ROW('DONNÉES BRUTES'!A$3))/1000,0),0))),"—")</f>
        <v/>
      </c>
      <c r="N12">
        <f t="array" ref="N12">IFERROR(IF(2&gt;COUNTIF('DONNÉES BRUTES'!C$3:C$42,"Energy"),"",INDEX('DONNÉES BRUTES'!S$3:S$42,MATCH(LARGE(IF('DONNÉES BRUTES'!C$3:C$42="Energy",'DONNÉES BRUTES'!AB$3:AB$42+(ROW('DONNÉES BRUTES'!A$3:A$42)-ROW('DONNÉES BRUTES'!A$3))/1000,0),2),IF('DONNÉES BRUTES'!C$3:C$42="Energy",'DONNÉES BRUTES'!AB$3:AB$42+(ROW('DONNÉES BRUTES'!A$3:A$42)-ROW('DONNÉES BRUTES'!A$3))/1000,0),0))),"—")</f>
        <v/>
      </c>
      <c r="O12">
        <f t="array" ref="O12">IFERROR(IF(2&gt;COUNTIF('DONNÉES BRUTES'!C$3:C$42,"Energy"),"",INDEX('DONNÉES BRUTES'!T$3:T$42,MATCH(LARGE(IF('DONNÉES BRUTES'!C$3:C$42="Energy",'DONNÉES BRUTES'!AB$3:AB$42+(ROW('DONNÉES BRUTES'!A$3:A$42)-ROW('DONNÉES BRUTES'!A$3))/1000,0),2),IF('DONNÉES BRUTES'!C$3:C$42="Energy",'DONNÉES BRUTES'!AB$3:AB$42+(ROW('DONNÉES BRUTES'!A$3:A$42)-ROW('DONNÉES BRUTES'!A$3))/1000,0),0))),"—")</f>
        <v/>
      </c>
      <c r="P12">
        <f t="array" ref="P12">IFERROR(IF(2&gt;COUNTIF('DONNÉES BRUTES'!C$3:C$42,"Energy"),"",INDEX('DONNÉES BRUTES'!U$3:U$42,MATCH(LARGE(IF('DONNÉES BRUTES'!C$3:C$42="Energy",'DONNÉES BRUTES'!AB$3:AB$42+(ROW('DONNÉES BRUTES'!A$3:A$42)-ROW('DONNÉES BRUTES'!A$3))/1000,0),2),IF('DONNÉES BRUTES'!C$3:C$42="Energy",'DONNÉES BRUTES'!AB$3:AB$42+(ROW('DONNÉES BRUTES'!A$3:A$42)-ROW('DONNÉES BRUTES'!A$3))/1000,0),0))),"—")</f>
        <v/>
      </c>
      <c r="Q12">
        <f t="array" ref="Q12">IFERROR(IF(2&gt;COUNTIF('DONNÉES BRUTES'!C$3:C$42,"Energy"),"",INDEX('DONNÉES BRUTES'!AD$3:AD$42,MATCH(LARGE(IF('DONNÉES BRUTES'!C$3:C$42="Energy",'DONNÉES BRUTES'!AB$3:AB$42+(ROW('DONNÉES BRUTES'!A$3:A$42)-ROW('DONNÉES BRUTES'!A$3))/1000,0),2),IF('DONNÉES BRUTES'!C$3:C$42="Energy",'DONNÉES BRUTES'!AB$3:AB$42+(ROW('DONNÉES BRUTES'!A$3:A$42)-ROW('DONNÉES BRUTES'!A$3))/1000,0),0))),"—")</f>
        <v/>
      </c>
    </row>
    <row r="13" ht="15.95" customHeight="1">
      <c r="B13">
        <f>IF(3&gt;COUNTIF('DONNÉES BRUTES'!C$3:C$42,"Energy"),"",3)</f>
        <v/>
      </c>
      <c r="C13">
        <f t="array" ref="C13">IFERROR(IF(3&gt;COUNTIF('DONNÉES BRUTES'!C$3:C$42,"Energy"),"",INDEX('DONNÉES BRUTES'!A$3:A$42,MATCH(LARGE(IF('DONNÉES BRUTES'!C$3:C$42="Energy",'DONNÉES BRUTES'!AB$3:AB$42+(ROW('DONNÉES BRUTES'!A$3:A$42)-ROW('DONNÉES BRUTES'!A$3))/1000,0),3),IF('DONNÉES BRUTES'!C$3:C$42="Energy",'DONNÉES BRUTES'!AB$3:AB$42+(ROW('DONNÉES BRUTES'!A$3:A$42)-ROW('DONNÉES BRUTES'!A$3))/1000,0),0))),"—")</f>
        <v/>
      </c>
      <c r="D13">
        <f t="array" ref="D13">IFERROR(IF(3&gt;COUNTIF('DONNÉES BRUTES'!C$3:C$42,"Energy"),"",INDEX('DONNÉES BRUTES'!B$3:B$42,MATCH(LARGE(IF('DONNÉES BRUTES'!C$3:C$42="Energy",'DONNÉES BRUTES'!AB$3:AB$42+(ROW('DONNÉES BRUTES'!A$3:A$42)-ROW('DONNÉES BRUTES'!A$3))/1000,0),3),IF('DONNÉES BRUTES'!C$3:C$42="Energy",'DONNÉES BRUTES'!AB$3:AB$42+(ROW('DONNÉES BRUTES'!A$3:A$42)-ROW('DONNÉES BRUTES'!A$3))/1000,0),0))),"—")</f>
        <v/>
      </c>
      <c r="E13">
        <f t="array" ref="E13">IFERROR(IF(3&gt;COUNTIF('DONNÉES BRUTES'!C$3:C$42,"Energy"),"",INT(LARGE(IF('DONNÉES BRUTES'!C$3:C$42="Energy",'DONNÉES BRUTES'!AB$3:AB$42+(ROW('DONNÉES BRUTES'!A$3:A$42)-ROW('DONNÉES BRUTES'!A$3))/1000,0),3))&amp;"/100"),"—")</f>
        <v/>
      </c>
      <c r="F13">
        <f t="array" ref="F13">IFERROR(IF(3&gt;COUNTIF('DONNÉES BRUTES'!C$3:C$42,"Energy"),"",INDEX('DONNÉES BRUTES'!Y$3:Y$42,MATCH(LARGE(IF('DONNÉES BRUTES'!C$3:C$42="Energy",'DONNÉES BRUTES'!AB$3:AB$42+(ROW('DONNÉES BRUTES'!A$3:A$42)-ROW('DONNÉES BRUTES'!A$3))/1000,0),3),IF('DONNÉES BRUTES'!C$3:C$42="Energy",'DONNÉES BRUTES'!AB$3:AB$42+(ROW('DONNÉES BRUTES'!A$3:A$42)-ROW('DONNÉES BRUTES'!A$3))/1000,0),0))),"—")</f>
        <v/>
      </c>
      <c r="G13">
        <f t="array" ref="G13">IFERROR(IF(3&gt;COUNTIF('DONNÉES BRUTES'!C$3:C$42,"Energy"),"",INDEX('DONNÉES BRUTES'!Z$3:Z$42,MATCH(LARGE(IF('DONNÉES BRUTES'!C$3:C$42="Energy",'DONNÉES BRUTES'!AB$3:AB$42+(ROW('DONNÉES BRUTES'!A$3:A$42)-ROW('DONNÉES BRUTES'!A$3))/1000,0),3),IF('DONNÉES BRUTES'!C$3:C$42="Energy",'DONNÉES BRUTES'!AB$3:AB$42+(ROW('DONNÉES BRUTES'!A$3:A$42)-ROW('DONNÉES BRUTES'!A$3))/1000,0),0))),"—")</f>
        <v/>
      </c>
      <c r="H13">
        <f t="array" ref="H13">IFERROR(IF(3&gt;COUNTIF('DONNÉES BRUTES'!C$3:C$42,"Energy"),"",INDEX('DONNÉES BRUTES'!AA$3:AA$42,MATCH(LARGE(IF('DONNÉES BRUTES'!C$3:C$42="Energy",'DONNÉES BRUTES'!AB$3:AB$42+(ROW('DONNÉES BRUTES'!A$3:A$42)-ROW('DONNÉES BRUTES'!A$3))/1000,0),3),IF('DONNÉES BRUTES'!C$3:C$42="Energy",'DONNÉES BRUTES'!AB$3:AB$42+(ROW('DONNÉES BRUTES'!A$3:A$42)-ROW('DONNÉES BRUTES'!A$3))/1000,0),0))),"—")</f>
        <v/>
      </c>
      <c r="I13">
        <f t="array" ref="I13">IFERROR(IF(3&gt;COUNTIF('DONNÉES BRUTES'!C$3:C$42,"Energy"),"",INDEX('DONNÉES BRUTES'!M$3:M$42,MATCH(LARGE(IF('DONNÉES BRUTES'!C$3:C$42="Energy",'DONNÉES BRUTES'!AB$3:AB$42+(ROW('DONNÉES BRUTES'!A$3:A$42)-ROW('DONNÉES BRUTES'!A$3))/1000,0),3),IF('DONNÉES BRUTES'!C$3:C$42="Energy",'DONNÉES BRUTES'!AB$3:AB$42+(ROW('DONNÉES BRUTES'!A$3:A$42)-ROW('DONNÉES BRUTES'!A$3))/1000,0),0))),"—")</f>
        <v/>
      </c>
      <c r="J13">
        <f t="array" ref="J13">IFERROR(IF(3&gt;COUNTIF('DONNÉES BRUTES'!C$3:C$42,"Energy"),"",INDEX('DONNÉES BRUTES'!N$3:N$42,MATCH(LARGE(IF('DONNÉES BRUTES'!C$3:C$42="Energy",'DONNÉES BRUTES'!AB$3:AB$42+(ROW('DONNÉES BRUTES'!A$3:A$42)-ROW('DONNÉES BRUTES'!A$3))/1000,0),3),IF('DONNÉES BRUTES'!C$3:C$42="Energy",'DONNÉES BRUTES'!AB$3:AB$42+(ROW('DONNÉES BRUTES'!A$3:A$42)-ROW('DONNÉES BRUTES'!A$3))/1000,0),0))),"—")</f>
        <v/>
      </c>
      <c r="K13">
        <f t="array" ref="K13">IFERROR(IF(3&gt;COUNTIF('DONNÉES BRUTES'!C$3:C$42,"Energy"),"",INDEX('DONNÉES BRUTES'!O$3:O$42,MATCH(LARGE(IF('DONNÉES BRUTES'!C$3:C$42="Energy",'DONNÉES BRUTES'!AB$3:AB$42+(ROW('DONNÉES BRUTES'!A$3:A$42)-ROW('DONNÉES BRUTES'!A$3))/1000,0),3),IF('DONNÉES BRUTES'!C$3:C$42="Energy",'DONNÉES BRUTES'!AB$3:AB$42+(ROW('DONNÉES BRUTES'!A$3:A$42)-ROW('DONNÉES BRUTES'!A$3))/1000,0),0))),"—")</f>
        <v/>
      </c>
      <c r="L13">
        <f t="array" ref="L13">IFERROR(IF(3&gt;COUNTIF('DONNÉES BRUTES'!C$3:C$42,"Energy"),"",INDEX('DONNÉES BRUTES'!P$3:P$42,MATCH(LARGE(IF('DONNÉES BRUTES'!C$3:C$42="Energy",'DONNÉES BRUTES'!AB$3:AB$42+(ROW('DONNÉES BRUTES'!A$3:A$42)-ROW('DONNÉES BRUTES'!A$3))/1000,0),3),IF('DONNÉES BRUTES'!C$3:C$42="Energy",'DONNÉES BRUTES'!AB$3:AB$42+(ROW('DONNÉES BRUTES'!A$3:A$42)-ROW('DONNÉES BRUTES'!A$3))/1000,0),0))),"—")</f>
        <v/>
      </c>
      <c r="M13">
        <f t="array" ref="M13">IFERROR(IF(3&gt;COUNTIF('DONNÉES BRUTES'!C$3:C$42,"Energy"),"",INDEX('DONNÉES BRUTES'!Q$3:Q$42,MATCH(LARGE(IF('DONNÉES BRUTES'!C$3:C$42="Energy",'DONNÉES BRUTES'!AB$3:AB$42+(ROW('DONNÉES BRUTES'!A$3:A$42)-ROW('DONNÉES BRUTES'!A$3))/1000,0),3),IF('DONNÉES BRUTES'!C$3:C$42="Energy",'DONNÉES BRUTES'!AB$3:AB$42+(ROW('DONNÉES BRUTES'!A$3:A$42)-ROW('DONNÉES BRUTES'!A$3))/1000,0),0))),"—")</f>
        <v/>
      </c>
      <c r="N13">
        <f t="array" ref="N13">IFERROR(IF(3&gt;COUNTIF('DONNÉES BRUTES'!C$3:C$42,"Energy"),"",INDEX('DONNÉES BRUTES'!S$3:S$42,MATCH(LARGE(IF('DONNÉES BRUTES'!C$3:C$42="Energy",'DONNÉES BRUTES'!AB$3:AB$42+(ROW('DONNÉES BRUTES'!A$3:A$42)-ROW('DONNÉES BRUTES'!A$3))/1000,0),3),IF('DONNÉES BRUTES'!C$3:C$42="Energy",'DONNÉES BRUTES'!AB$3:AB$42+(ROW('DONNÉES BRUTES'!A$3:A$42)-ROW('DONNÉES BRUTES'!A$3))/1000,0),0))),"—")</f>
        <v/>
      </c>
      <c r="O13">
        <f t="array" ref="O13">IFERROR(IF(3&gt;COUNTIF('DONNÉES BRUTES'!C$3:C$42,"Energy"),"",INDEX('DONNÉES BRUTES'!T$3:T$42,MATCH(LARGE(IF('DONNÉES BRUTES'!C$3:C$42="Energy",'DONNÉES BRUTES'!AB$3:AB$42+(ROW('DONNÉES BRUTES'!A$3:A$42)-ROW('DONNÉES BRUTES'!A$3))/1000,0),3),IF('DONNÉES BRUTES'!C$3:C$42="Energy",'DONNÉES BRUTES'!AB$3:AB$42+(ROW('DONNÉES BRUTES'!A$3:A$42)-ROW('DONNÉES BRUTES'!A$3))/1000,0),0))),"—")</f>
        <v/>
      </c>
      <c r="P13">
        <f t="array" ref="P13">IFERROR(IF(3&gt;COUNTIF('DONNÉES BRUTES'!C$3:C$42,"Energy"),"",INDEX('DONNÉES BRUTES'!U$3:U$42,MATCH(LARGE(IF('DONNÉES BRUTES'!C$3:C$42="Energy",'DONNÉES BRUTES'!AB$3:AB$42+(ROW('DONNÉES BRUTES'!A$3:A$42)-ROW('DONNÉES BRUTES'!A$3))/1000,0),3),IF('DONNÉES BRUTES'!C$3:C$42="Energy",'DONNÉES BRUTES'!AB$3:AB$42+(ROW('DONNÉES BRUTES'!A$3:A$42)-ROW('DONNÉES BRUTES'!A$3))/1000,0),0))),"—")</f>
        <v/>
      </c>
      <c r="Q13">
        <f t="array" ref="Q13">IFERROR(IF(3&gt;COUNTIF('DONNÉES BRUTES'!C$3:C$42,"Energy"),"",INDEX('DONNÉES BRUTES'!AD$3:AD$42,MATCH(LARGE(IF('DONNÉES BRUTES'!C$3:C$42="Energy",'DONNÉES BRUTES'!AB$3:AB$42+(ROW('DONNÉES BRUTES'!A$3:A$42)-ROW('DONNÉES BRUTES'!A$3))/1000,0),3),IF('DONNÉES BRUTES'!C$3:C$42="Energy",'DONNÉES BRUTES'!AB$3:AB$42+(ROW('DONNÉES BRUTES'!A$3:A$42)-ROW('DONNÉES BRUTES'!A$3))/1000,0),0))),"—")</f>
        <v/>
      </c>
    </row>
    <row r="14" ht="15.95" customHeight="1">
      <c r="B14">
        <f>IF(4&gt;COUNTIF('DONNÉES BRUTES'!C$3:C$42,"Energy"),"",4)</f>
        <v/>
      </c>
      <c r="C14">
        <f t="array" ref="C14">IFERROR(IF(4&gt;COUNTIF('DONNÉES BRUTES'!C$3:C$42,"Energy"),"",INDEX('DONNÉES BRUTES'!A$3:A$42,MATCH(LARGE(IF('DONNÉES BRUTES'!C$3:C$42="Energy",'DONNÉES BRUTES'!AB$3:AB$42+(ROW('DONNÉES BRUTES'!A$3:A$42)-ROW('DONNÉES BRUTES'!A$3))/1000,0),4),IF('DONNÉES BRUTES'!C$3:C$42="Energy",'DONNÉES BRUTES'!AB$3:AB$42+(ROW('DONNÉES BRUTES'!A$3:A$42)-ROW('DONNÉES BRUTES'!A$3))/1000,0),0))),"—")</f>
        <v/>
      </c>
      <c r="D14">
        <f t="array" ref="D14">IFERROR(IF(4&gt;COUNTIF('DONNÉES BRUTES'!C$3:C$42,"Energy"),"",INDEX('DONNÉES BRUTES'!B$3:B$42,MATCH(LARGE(IF('DONNÉES BRUTES'!C$3:C$42="Energy",'DONNÉES BRUTES'!AB$3:AB$42+(ROW('DONNÉES BRUTES'!A$3:A$42)-ROW('DONNÉES BRUTES'!A$3))/1000,0),4),IF('DONNÉES BRUTES'!C$3:C$42="Energy",'DONNÉES BRUTES'!AB$3:AB$42+(ROW('DONNÉES BRUTES'!A$3:A$42)-ROW('DONNÉES BRUTES'!A$3))/1000,0),0))),"—")</f>
        <v/>
      </c>
      <c r="E14">
        <f t="array" ref="E14">IFERROR(IF(4&gt;COUNTIF('DONNÉES BRUTES'!C$3:C$42,"Energy"),"",INT(LARGE(IF('DONNÉES BRUTES'!C$3:C$42="Energy",'DONNÉES BRUTES'!AB$3:AB$42+(ROW('DONNÉES BRUTES'!A$3:A$42)-ROW('DONNÉES BRUTES'!A$3))/1000,0),4))&amp;"/100"),"—")</f>
        <v/>
      </c>
      <c r="F14">
        <f t="array" ref="F14">IFERROR(IF(4&gt;COUNTIF('DONNÉES BRUTES'!C$3:C$42,"Energy"),"",INDEX('DONNÉES BRUTES'!Y$3:Y$42,MATCH(LARGE(IF('DONNÉES BRUTES'!C$3:C$42="Energy",'DONNÉES BRUTES'!AB$3:AB$42+(ROW('DONNÉES BRUTES'!A$3:A$42)-ROW('DONNÉES BRUTES'!A$3))/1000,0),4),IF('DONNÉES BRUTES'!C$3:C$42="Energy",'DONNÉES BRUTES'!AB$3:AB$42+(ROW('DONNÉES BRUTES'!A$3:A$42)-ROW('DONNÉES BRUTES'!A$3))/1000,0),0))),"—")</f>
        <v/>
      </c>
      <c r="G14">
        <f t="array" ref="G14">IFERROR(IF(4&gt;COUNTIF('DONNÉES BRUTES'!C$3:C$42,"Energy"),"",INDEX('DONNÉES BRUTES'!Z$3:Z$42,MATCH(LARGE(IF('DONNÉES BRUTES'!C$3:C$42="Energy",'DONNÉES BRUTES'!AB$3:AB$42+(ROW('DONNÉES BRUTES'!A$3:A$42)-ROW('DONNÉES BRUTES'!A$3))/1000,0),4),IF('DONNÉES BRUTES'!C$3:C$42="Energy",'DONNÉES BRUTES'!AB$3:AB$42+(ROW('DONNÉES BRUTES'!A$3:A$42)-ROW('DONNÉES BRUTES'!A$3))/1000,0),0))),"—")</f>
        <v/>
      </c>
      <c r="H14">
        <f t="array" ref="H14">IFERROR(IF(4&gt;COUNTIF('DONNÉES BRUTES'!C$3:C$42,"Energy"),"",INDEX('DONNÉES BRUTES'!AA$3:AA$42,MATCH(LARGE(IF('DONNÉES BRUTES'!C$3:C$42="Energy",'DONNÉES BRUTES'!AB$3:AB$42+(ROW('DONNÉES BRUTES'!A$3:A$42)-ROW('DONNÉES BRUTES'!A$3))/1000,0),4),IF('DONNÉES BRUTES'!C$3:C$42="Energy",'DONNÉES BRUTES'!AB$3:AB$42+(ROW('DONNÉES BRUTES'!A$3:A$42)-ROW('DONNÉES BRUTES'!A$3))/1000,0),0))),"—")</f>
        <v/>
      </c>
      <c r="I14">
        <f t="array" ref="I14">IFERROR(IF(4&gt;COUNTIF('DONNÉES BRUTES'!C$3:C$42,"Energy"),"",INDEX('DONNÉES BRUTES'!M$3:M$42,MATCH(LARGE(IF('DONNÉES BRUTES'!C$3:C$42="Energy",'DONNÉES BRUTES'!AB$3:AB$42+(ROW('DONNÉES BRUTES'!A$3:A$42)-ROW('DONNÉES BRUTES'!A$3))/1000,0),4),IF('DONNÉES BRUTES'!C$3:C$42="Energy",'DONNÉES BRUTES'!AB$3:AB$42+(ROW('DONNÉES BRUTES'!A$3:A$42)-ROW('DONNÉES BRUTES'!A$3))/1000,0),0))),"—")</f>
        <v/>
      </c>
      <c r="J14">
        <f t="array" ref="J14">IFERROR(IF(4&gt;COUNTIF('DONNÉES BRUTES'!C$3:C$42,"Energy"),"",INDEX('DONNÉES BRUTES'!N$3:N$42,MATCH(LARGE(IF('DONNÉES BRUTES'!C$3:C$42="Energy",'DONNÉES BRUTES'!AB$3:AB$42+(ROW('DONNÉES BRUTES'!A$3:A$42)-ROW('DONNÉES BRUTES'!A$3))/1000,0),4),IF('DONNÉES BRUTES'!C$3:C$42="Energy",'DONNÉES BRUTES'!AB$3:AB$42+(ROW('DONNÉES BRUTES'!A$3:A$42)-ROW('DONNÉES BRUTES'!A$3))/1000,0),0))),"—")</f>
        <v/>
      </c>
      <c r="K14">
        <f t="array" ref="K14">IFERROR(IF(4&gt;COUNTIF('DONNÉES BRUTES'!C$3:C$42,"Energy"),"",INDEX('DONNÉES BRUTES'!O$3:O$42,MATCH(LARGE(IF('DONNÉES BRUTES'!C$3:C$42="Energy",'DONNÉES BRUTES'!AB$3:AB$42+(ROW('DONNÉES BRUTES'!A$3:A$42)-ROW('DONNÉES BRUTES'!A$3))/1000,0),4),IF('DONNÉES BRUTES'!C$3:C$42="Energy",'DONNÉES BRUTES'!AB$3:AB$42+(ROW('DONNÉES BRUTES'!A$3:A$42)-ROW('DONNÉES BRUTES'!A$3))/1000,0),0))),"—")</f>
        <v/>
      </c>
      <c r="L14">
        <f t="array" ref="L14">IFERROR(IF(4&gt;COUNTIF('DONNÉES BRUTES'!C$3:C$42,"Energy"),"",INDEX('DONNÉES BRUTES'!P$3:P$42,MATCH(LARGE(IF('DONNÉES BRUTES'!C$3:C$42="Energy",'DONNÉES BRUTES'!AB$3:AB$42+(ROW('DONNÉES BRUTES'!A$3:A$42)-ROW('DONNÉES BRUTES'!A$3))/1000,0),4),IF('DONNÉES BRUTES'!C$3:C$42="Energy",'DONNÉES BRUTES'!AB$3:AB$42+(ROW('DONNÉES BRUTES'!A$3:A$42)-ROW('DONNÉES BRUTES'!A$3))/1000,0),0))),"—")</f>
        <v/>
      </c>
      <c r="M14">
        <f t="array" ref="M14">IFERROR(IF(4&gt;COUNTIF('DONNÉES BRUTES'!C$3:C$42,"Energy"),"",INDEX('DONNÉES BRUTES'!Q$3:Q$42,MATCH(LARGE(IF('DONNÉES BRUTES'!C$3:C$42="Energy",'DONNÉES BRUTES'!AB$3:AB$42+(ROW('DONNÉES BRUTES'!A$3:A$42)-ROW('DONNÉES BRUTES'!A$3))/1000,0),4),IF('DONNÉES BRUTES'!C$3:C$42="Energy",'DONNÉES BRUTES'!AB$3:AB$42+(ROW('DONNÉES BRUTES'!A$3:A$42)-ROW('DONNÉES BRUTES'!A$3))/1000,0),0))),"—")</f>
        <v/>
      </c>
      <c r="N14">
        <f t="array" ref="N14">IFERROR(IF(4&gt;COUNTIF('DONNÉES BRUTES'!C$3:C$42,"Energy"),"",INDEX('DONNÉES BRUTES'!S$3:S$42,MATCH(LARGE(IF('DONNÉES BRUTES'!C$3:C$42="Energy",'DONNÉES BRUTES'!AB$3:AB$42+(ROW('DONNÉES BRUTES'!A$3:A$42)-ROW('DONNÉES BRUTES'!A$3))/1000,0),4),IF('DONNÉES BRUTES'!C$3:C$42="Energy",'DONNÉES BRUTES'!AB$3:AB$42+(ROW('DONNÉES BRUTES'!A$3:A$42)-ROW('DONNÉES BRUTES'!A$3))/1000,0),0))),"—")</f>
        <v/>
      </c>
      <c r="O14">
        <f t="array" ref="O14">IFERROR(IF(4&gt;COUNTIF('DONNÉES BRUTES'!C$3:C$42,"Energy"),"",INDEX('DONNÉES BRUTES'!T$3:T$42,MATCH(LARGE(IF('DONNÉES BRUTES'!C$3:C$42="Energy",'DONNÉES BRUTES'!AB$3:AB$42+(ROW('DONNÉES BRUTES'!A$3:A$42)-ROW('DONNÉES BRUTES'!A$3))/1000,0),4),IF('DONNÉES BRUTES'!C$3:C$42="Energy",'DONNÉES BRUTES'!AB$3:AB$42+(ROW('DONNÉES BRUTES'!A$3:A$42)-ROW('DONNÉES BRUTES'!A$3))/1000,0),0))),"—")</f>
        <v/>
      </c>
      <c r="P14">
        <f t="array" ref="P14">IFERROR(IF(4&gt;COUNTIF('DONNÉES BRUTES'!C$3:C$42,"Energy"),"",INDEX('DONNÉES BRUTES'!U$3:U$42,MATCH(LARGE(IF('DONNÉES BRUTES'!C$3:C$42="Energy",'DONNÉES BRUTES'!AB$3:AB$42+(ROW('DONNÉES BRUTES'!A$3:A$42)-ROW('DONNÉES BRUTES'!A$3))/1000,0),4),IF('DONNÉES BRUTES'!C$3:C$42="Energy",'DONNÉES BRUTES'!AB$3:AB$42+(ROW('DONNÉES BRUTES'!A$3:A$42)-ROW('DONNÉES BRUTES'!A$3))/1000,0),0))),"—")</f>
        <v/>
      </c>
      <c r="Q14">
        <f t="array" ref="Q14">IFERROR(IF(4&gt;COUNTIF('DONNÉES BRUTES'!C$3:C$42,"Energy"),"",INDEX('DONNÉES BRUTES'!AD$3:AD$42,MATCH(LARGE(IF('DONNÉES BRUTES'!C$3:C$42="Energy",'DONNÉES BRUTES'!AB$3:AB$42+(ROW('DONNÉES BRUTES'!A$3:A$42)-ROW('DONNÉES BRUTES'!A$3))/1000,0),4),IF('DONNÉES BRUTES'!C$3:C$42="Energy",'DONNÉES BRUTES'!AB$3:AB$42+(ROW('DONNÉES BRUTES'!A$3:A$42)-ROW('DONNÉES BRUTES'!A$3))/1000,0),0))),"—")</f>
        <v/>
      </c>
    </row>
    <row r="15" ht="15.95" customHeight="1">
      <c r="B15">
        <f>IF(5&gt;COUNTIF('DONNÉES BRUTES'!C$3:C$42,"Energy"),"",5)</f>
        <v/>
      </c>
      <c r="C15">
        <f t="array" ref="C15">IFERROR(IF(5&gt;COUNTIF('DONNÉES BRUTES'!C$3:C$42,"Energy"),"",INDEX('DONNÉES BRUTES'!A$3:A$42,MATCH(LARGE(IF('DONNÉES BRUTES'!C$3:C$42="Energy",'DONNÉES BRUTES'!AB$3:AB$42+(ROW('DONNÉES BRUTES'!A$3:A$42)-ROW('DONNÉES BRUTES'!A$3))/1000,0),5),IF('DONNÉES BRUTES'!C$3:C$42="Energy",'DONNÉES BRUTES'!AB$3:AB$42+(ROW('DONNÉES BRUTES'!A$3:A$42)-ROW('DONNÉES BRUTES'!A$3))/1000,0),0))),"—")</f>
        <v/>
      </c>
      <c r="D15">
        <f t="array" ref="D15">IFERROR(IF(5&gt;COUNTIF('DONNÉES BRUTES'!C$3:C$42,"Energy"),"",INDEX('DONNÉES BRUTES'!B$3:B$42,MATCH(LARGE(IF('DONNÉES BRUTES'!C$3:C$42="Energy",'DONNÉES BRUTES'!AB$3:AB$42+(ROW('DONNÉES BRUTES'!A$3:A$42)-ROW('DONNÉES BRUTES'!A$3))/1000,0),5),IF('DONNÉES BRUTES'!C$3:C$42="Energy",'DONNÉES BRUTES'!AB$3:AB$42+(ROW('DONNÉES BRUTES'!A$3:A$42)-ROW('DONNÉES BRUTES'!A$3))/1000,0),0))),"—")</f>
        <v/>
      </c>
      <c r="E15">
        <f t="array" ref="E15">IFERROR(IF(5&gt;COUNTIF('DONNÉES BRUTES'!C$3:C$42,"Energy"),"",INT(LARGE(IF('DONNÉES BRUTES'!C$3:C$42="Energy",'DONNÉES BRUTES'!AB$3:AB$42+(ROW('DONNÉES BRUTES'!A$3:A$42)-ROW('DONNÉES BRUTES'!A$3))/1000,0),5))&amp;"/100"),"—")</f>
        <v/>
      </c>
      <c r="F15">
        <f t="array" ref="F15">IFERROR(IF(5&gt;COUNTIF('DONNÉES BRUTES'!C$3:C$42,"Energy"),"",INDEX('DONNÉES BRUTES'!Y$3:Y$42,MATCH(LARGE(IF('DONNÉES BRUTES'!C$3:C$42="Energy",'DONNÉES BRUTES'!AB$3:AB$42+(ROW('DONNÉES BRUTES'!A$3:A$42)-ROW('DONNÉES BRUTES'!A$3))/1000,0),5),IF('DONNÉES BRUTES'!C$3:C$42="Energy",'DONNÉES BRUTES'!AB$3:AB$42+(ROW('DONNÉES BRUTES'!A$3:A$42)-ROW('DONNÉES BRUTES'!A$3))/1000,0),0))),"—")</f>
        <v/>
      </c>
      <c r="G15">
        <f t="array" ref="G15">IFERROR(IF(5&gt;COUNTIF('DONNÉES BRUTES'!C$3:C$42,"Energy"),"",INDEX('DONNÉES BRUTES'!Z$3:Z$42,MATCH(LARGE(IF('DONNÉES BRUTES'!C$3:C$42="Energy",'DONNÉES BRUTES'!AB$3:AB$42+(ROW('DONNÉES BRUTES'!A$3:A$42)-ROW('DONNÉES BRUTES'!A$3))/1000,0),5),IF('DONNÉES BRUTES'!C$3:C$42="Energy",'DONNÉES BRUTES'!AB$3:AB$42+(ROW('DONNÉES BRUTES'!A$3:A$42)-ROW('DONNÉES BRUTES'!A$3))/1000,0),0))),"—")</f>
        <v/>
      </c>
      <c r="H15">
        <f t="array" ref="H15">IFERROR(IF(5&gt;COUNTIF('DONNÉES BRUTES'!C$3:C$42,"Energy"),"",INDEX('DONNÉES BRUTES'!AA$3:AA$42,MATCH(LARGE(IF('DONNÉES BRUTES'!C$3:C$42="Energy",'DONNÉES BRUTES'!AB$3:AB$42+(ROW('DONNÉES BRUTES'!A$3:A$42)-ROW('DONNÉES BRUTES'!A$3))/1000,0),5),IF('DONNÉES BRUTES'!C$3:C$42="Energy",'DONNÉES BRUTES'!AB$3:AB$42+(ROW('DONNÉES BRUTES'!A$3:A$42)-ROW('DONNÉES BRUTES'!A$3))/1000,0),0))),"—")</f>
        <v/>
      </c>
      <c r="I15">
        <f t="array" ref="I15">IFERROR(IF(5&gt;COUNTIF('DONNÉES BRUTES'!C$3:C$42,"Energy"),"",INDEX('DONNÉES BRUTES'!M$3:M$42,MATCH(LARGE(IF('DONNÉES BRUTES'!C$3:C$42="Energy",'DONNÉES BRUTES'!AB$3:AB$42+(ROW('DONNÉES BRUTES'!A$3:A$42)-ROW('DONNÉES BRUTES'!A$3))/1000,0),5),IF('DONNÉES BRUTES'!C$3:C$42="Energy",'DONNÉES BRUTES'!AB$3:AB$42+(ROW('DONNÉES BRUTES'!A$3:A$42)-ROW('DONNÉES BRUTES'!A$3))/1000,0),0))),"—")</f>
        <v/>
      </c>
      <c r="J15">
        <f t="array" ref="J15">IFERROR(IF(5&gt;COUNTIF('DONNÉES BRUTES'!C$3:C$42,"Energy"),"",INDEX('DONNÉES BRUTES'!N$3:N$42,MATCH(LARGE(IF('DONNÉES BRUTES'!C$3:C$42="Energy",'DONNÉES BRUTES'!AB$3:AB$42+(ROW('DONNÉES BRUTES'!A$3:A$42)-ROW('DONNÉES BRUTES'!A$3))/1000,0),5),IF('DONNÉES BRUTES'!C$3:C$42="Energy",'DONNÉES BRUTES'!AB$3:AB$42+(ROW('DONNÉES BRUTES'!A$3:A$42)-ROW('DONNÉES BRUTES'!A$3))/1000,0),0))),"—")</f>
        <v/>
      </c>
      <c r="K15">
        <f t="array" ref="K15">IFERROR(IF(5&gt;COUNTIF('DONNÉES BRUTES'!C$3:C$42,"Energy"),"",INDEX('DONNÉES BRUTES'!O$3:O$42,MATCH(LARGE(IF('DONNÉES BRUTES'!C$3:C$42="Energy",'DONNÉES BRUTES'!AB$3:AB$42+(ROW('DONNÉES BRUTES'!A$3:A$42)-ROW('DONNÉES BRUTES'!A$3))/1000,0),5),IF('DONNÉES BRUTES'!C$3:C$42="Energy",'DONNÉES BRUTES'!AB$3:AB$42+(ROW('DONNÉES BRUTES'!A$3:A$42)-ROW('DONNÉES BRUTES'!A$3))/1000,0),0))),"—")</f>
        <v/>
      </c>
      <c r="L15">
        <f t="array" ref="L15">IFERROR(IF(5&gt;COUNTIF('DONNÉES BRUTES'!C$3:C$42,"Energy"),"",INDEX('DONNÉES BRUTES'!P$3:P$42,MATCH(LARGE(IF('DONNÉES BRUTES'!C$3:C$42="Energy",'DONNÉES BRUTES'!AB$3:AB$42+(ROW('DONNÉES BRUTES'!A$3:A$42)-ROW('DONNÉES BRUTES'!A$3))/1000,0),5),IF('DONNÉES BRUTES'!C$3:C$42="Energy",'DONNÉES BRUTES'!AB$3:AB$42+(ROW('DONNÉES BRUTES'!A$3:A$42)-ROW('DONNÉES BRUTES'!A$3))/1000,0),0))),"—")</f>
        <v/>
      </c>
      <c r="M15">
        <f t="array" ref="M15">IFERROR(IF(5&gt;COUNTIF('DONNÉES BRUTES'!C$3:C$42,"Energy"),"",INDEX('DONNÉES BRUTES'!Q$3:Q$42,MATCH(LARGE(IF('DONNÉES BRUTES'!C$3:C$42="Energy",'DONNÉES BRUTES'!AB$3:AB$42+(ROW('DONNÉES BRUTES'!A$3:A$42)-ROW('DONNÉES BRUTES'!A$3))/1000,0),5),IF('DONNÉES BRUTES'!C$3:C$42="Energy",'DONNÉES BRUTES'!AB$3:AB$42+(ROW('DONNÉES BRUTES'!A$3:A$42)-ROW('DONNÉES BRUTES'!A$3))/1000,0),0))),"—")</f>
        <v/>
      </c>
      <c r="N15">
        <f t="array" ref="N15">IFERROR(IF(5&gt;COUNTIF('DONNÉES BRUTES'!C$3:C$42,"Energy"),"",INDEX('DONNÉES BRUTES'!S$3:S$42,MATCH(LARGE(IF('DONNÉES BRUTES'!C$3:C$42="Energy",'DONNÉES BRUTES'!AB$3:AB$42+(ROW('DONNÉES BRUTES'!A$3:A$42)-ROW('DONNÉES BRUTES'!A$3))/1000,0),5),IF('DONNÉES BRUTES'!C$3:C$42="Energy",'DONNÉES BRUTES'!AB$3:AB$42+(ROW('DONNÉES BRUTES'!A$3:A$42)-ROW('DONNÉES BRUTES'!A$3))/1000,0),0))),"—")</f>
        <v/>
      </c>
      <c r="O15">
        <f t="array" ref="O15">IFERROR(IF(5&gt;COUNTIF('DONNÉES BRUTES'!C$3:C$42,"Energy"),"",INDEX('DONNÉES BRUTES'!T$3:T$42,MATCH(LARGE(IF('DONNÉES BRUTES'!C$3:C$42="Energy",'DONNÉES BRUTES'!AB$3:AB$42+(ROW('DONNÉES BRUTES'!A$3:A$42)-ROW('DONNÉES BRUTES'!A$3))/1000,0),5),IF('DONNÉES BRUTES'!C$3:C$42="Energy",'DONNÉES BRUTES'!AB$3:AB$42+(ROW('DONNÉES BRUTES'!A$3:A$42)-ROW('DONNÉES BRUTES'!A$3))/1000,0),0))),"—")</f>
        <v/>
      </c>
      <c r="P15">
        <f t="array" ref="P15">IFERROR(IF(5&gt;COUNTIF('DONNÉES BRUTES'!C$3:C$42,"Energy"),"",INDEX('DONNÉES BRUTES'!U$3:U$42,MATCH(LARGE(IF('DONNÉES BRUTES'!C$3:C$42="Energy",'DONNÉES BRUTES'!AB$3:AB$42+(ROW('DONNÉES BRUTES'!A$3:A$42)-ROW('DONNÉES BRUTES'!A$3))/1000,0),5),IF('DONNÉES BRUTES'!C$3:C$42="Energy",'DONNÉES BRUTES'!AB$3:AB$42+(ROW('DONNÉES BRUTES'!A$3:A$42)-ROW('DONNÉES BRUTES'!A$3))/1000,0),0))),"—")</f>
        <v/>
      </c>
      <c r="Q15">
        <f t="array" ref="Q15">IFERROR(IF(5&gt;COUNTIF('DONNÉES BRUTES'!C$3:C$42,"Energy"),"",INDEX('DONNÉES BRUTES'!AD$3:AD$42,MATCH(LARGE(IF('DONNÉES BRUTES'!C$3:C$42="Energy",'DONNÉES BRUTES'!AB$3:AB$42+(ROW('DONNÉES BRUTES'!A$3:A$42)-ROW('DONNÉES BRUTES'!A$3))/1000,0),5),IF('DONNÉES BRUTES'!C$3:C$42="Energy",'DONNÉES BRUTES'!AB$3:AB$42+(ROW('DONNÉES BRUTES'!A$3:A$42)-ROW('DONNÉES BRUTES'!A$3))/1000,0),0))),"—")</f>
        <v/>
      </c>
    </row>
    <row r="16" ht="15.95" customHeight="1">
      <c r="B16">
        <f>IF(6&gt;COUNTIF('DONNÉES BRUTES'!C$3:C$42,"Energy"),"",6)</f>
        <v/>
      </c>
      <c r="C16">
        <f t="array" ref="C16">IFERROR(IF(6&gt;COUNTIF('DONNÉES BRUTES'!C$3:C$42,"Energy"),"",INDEX('DONNÉES BRUTES'!A$3:A$42,MATCH(LARGE(IF('DONNÉES BRUTES'!C$3:C$42="Energy",'DONNÉES BRUTES'!AB$3:AB$42+(ROW('DONNÉES BRUTES'!A$3:A$42)-ROW('DONNÉES BRUTES'!A$3))/1000,0),6),IF('DONNÉES BRUTES'!C$3:C$42="Energy",'DONNÉES BRUTES'!AB$3:AB$42+(ROW('DONNÉES BRUTES'!A$3:A$42)-ROW('DONNÉES BRUTES'!A$3))/1000,0),0))),"—")</f>
        <v/>
      </c>
      <c r="D16">
        <f t="array" ref="D16">IFERROR(IF(6&gt;COUNTIF('DONNÉES BRUTES'!C$3:C$42,"Energy"),"",INDEX('DONNÉES BRUTES'!B$3:B$42,MATCH(LARGE(IF('DONNÉES BRUTES'!C$3:C$42="Energy",'DONNÉES BRUTES'!AB$3:AB$42+(ROW('DONNÉES BRUTES'!A$3:A$42)-ROW('DONNÉES BRUTES'!A$3))/1000,0),6),IF('DONNÉES BRUTES'!C$3:C$42="Energy",'DONNÉES BRUTES'!AB$3:AB$42+(ROW('DONNÉES BRUTES'!A$3:A$42)-ROW('DONNÉES BRUTES'!A$3))/1000,0),0))),"—")</f>
        <v/>
      </c>
      <c r="E16">
        <f t="array" ref="E16">IFERROR(IF(6&gt;COUNTIF('DONNÉES BRUTES'!C$3:C$42,"Energy"),"",INT(LARGE(IF('DONNÉES BRUTES'!C$3:C$42="Energy",'DONNÉES BRUTES'!AB$3:AB$42+(ROW('DONNÉES BRUTES'!A$3:A$42)-ROW('DONNÉES BRUTES'!A$3))/1000,0),6))&amp;"/100"),"—")</f>
        <v/>
      </c>
      <c r="F16">
        <f t="array" ref="F16">IFERROR(IF(6&gt;COUNTIF('DONNÉES BRUTES'!C$3:C$42,"Energy"),"",INDEX('DONNÉES BRUTES'!Y$3:Y$42,MATCH(LARGE(IF('DONNÉES BRUTES'!C$3:C$42="Energy",'DONNÉES BRUTES'!AB$3:AB$42+(ROW('DONNÉES BRUTES'!A$3:A$42)-ROW('DONNÉES BRUTES'!A$3))/1000,0),6),IF('DONNÉES BRUTES'!C$3:C$42="Energy",'DONNÉES BRUTES'!AB$3:AB$42+(ROW('DONNÉES BRUTES'!A$3:A$42)-ROW('DONNÉES BRUTES'!A$3))/1000,0),0))),"—")</f>
        <v/>
      </c>
      <c r="G16">
        <f t="array" ref="G16">IFERROR(IF(6&gt;COUNTIF('DONNÉES BRUTES'!C$3:C$42,"Energy"),"",INDEX('DONNÉES BRUTES'!Z$3:Z$42,MATCH(LARGE(IF('DONNÉES BRUTES'!C$3:C$42="Energy",'DONNÉES BRUTES'!AB$3:AB$42+(ROW('DONNÉES BRUTES'!A$3:A$42)-ROW('DONNÉES BRUTES'!A$3))/1000,0),6),IF('DONNÉES BRUTES'!C$3:C$42="Energy",'DONNÉES BRUTES'!AB$3:AB$42+(ROW('DONNÉES BRUTES'!A$3:A$42)-ROW('DONNÉES BRUTES'!A$3))/1000,0),0))),"—")</f>
        <v/>
      </c>
      <c r="H16">
        <f t="array" ref="H16">IFERROR(IF(6&gt;COUNTIF('DONNÉES BRUTES'!C$3:C$42,"Energy"),"",INDEX('DONNÉES BRUTES'!AA$3:AA$42,MATCH(LARGE(IF('DONNÉES BRUTES'!C$3:C$42="Energy",'DONNÉES BRUTES'!AB$3:AB$42+(ROW('DONNÉES BRUTES'!A$3:A$42)-ROW('DONNÉES BRUTES'!A$3))/1000,0),6),IF('DONNÉES BRUTES'!C$3:C$42="Energy",'DONNÉES BRUTES'!AB$3:AB$42+(ROW('DONNÉES BRUTES'!A$3:A$42)-ROW('DONNÉES BRUTES'!A$3))/1000,0),0))),"—")</f>
        <v/>
      </c>
      <c r="I16">
        <f t="array" ref="I16">IFERROR(IF(6&gt;COUNTIF('DONNÉES BRUTES'!C$3:C$42,"Energy"),"",INDEX('DONNÉES BRUTES'!M$3:M$42,MATCH(LARGE(IF('DONNÉES BRUTES'!C$3:C$42="Energy",'DONNÉES BRUTES'!AB$3:AB$42+(ROW('DONNÉES BRUTES'!A$3:A$42)-ROW('DONNÉES BRUTES'!A$3))/1000,0),6),IF('DONNÉES BRUTES'!C$3:C$42="Energy",'DONNÉES BRUTES'!AB$3:AB$42+(ROW('DONNÉES BRUTES'!A$3:A$42)-ROW('DONNÉES BRUTES'!A$3))/1000,0),0))),"—")</f>
        <v/>
      </c>
      <c r="J16">
        <f t="array" ref="J16">IFERROR(IF(6&gt;COUNTIF('DONNÉES BRUTES'!C$3:C$42,"Energy"),"",INDEX('DONNÉES BRUTES'!N$3:N$42,MATCH(LARGE(IF('DONNÉES BRUTES'!C$3:C$42="Energy",'DONNÉES BRUTES'!AB$3:AB$42+(ROW('DONNÉES BRUTES'!A$3:A$42)-ROW('DONNÉES BRUTES'!A$3))/1000,0),6),IF('DONNÉES BRUTES'!C$3:C$42="Energy",'DONNÉES BRUTES'!AB$3:AB$42+(ROW('DONNÉES BRUTES'!A$3:A$42)-ROW('DONNÉES BRUTES'!A$3))/1000,0),0))),"—")</f>
        <v/>
      </c>
      <c r="K16">
        <f t="array" ref="K16">IFERROR(IF(6&gt;COUNTIF('DONNÉES BRUTES'!C$3:C$42,"Energy"),"",INDEX('DONNÉES BRUTES'!O$3:O$42,MATCH(LARGE(IF('DONNÉES BRUTES'!C$3:C$42="Energy",'DONNÉES BRUTES'!AB$3:AB$42+(ROW('DONNÉES BRUTES'!A$3:A$42)-ROW('DONNÉES BRUTES'!A$3))/1000,0),6),IF('DONNÉES BRUTES'!C$3:C$42="Energy",'DONNÉES BRUTES'!AB$3:AB$42+(ROW('DONNÉES BRUTES'!A$3:A$42)-ROW('DONNÉES BRUTES'!A$3))/1000,0),0))),"—")</f>
        <v/>
      </c>
      <c r="L16">
        <f t="array" ref="L16">IFERROR(IF(6&gt;COUNTIF('DONNÉES BRUTES'!C$3:C$42,"Energy"),"",INDEX('DONNÉES BRUTES'!P$3:P$42,MATCH(LARGE(IF('DONNÉES BRUTES'!C$3:C$42="Energy",'DONNÉES BRUTES'!AB$3:AB$42+(ROW('DONNÉES BRUTES'!A$3:A$42)-ROW('DONNÉES BRUTES'!A$3))/1000,0),6),IF('DONNÉES BRUTES'!C$3:C$42="Energy",'DONNÉES BRUTES'!AB$3:AB$42+(ROW('DONNÉES BRUTES'!A$3:A$42)-ROW('DONNÉES BRUTES'!A$3))/1000,0),0))),"—")</f>
        <v/>
      </c>
      <c r="M16">
        <f t="array" ref="M16">IFERROR(IF(6&gt;COUNTIF('DONNÉES BRUTES'!C$3:C$42,"Energy"),"",INDEX('DONNÉES BRUTES'!Q$3:Q$42,MATCH(LARGE(IF('DONNÉES BRUTES'!C$3:C$42="Energy",'DONNÉES BRUTES'!AB$3:AB$42+(ROW('DONNÉES BRUTES'!A$3:A$42)-ROW('DONNÉES BRUTES'!A$3))/1000,0),6),IF('DONNÉES BRUTES'!C$3:C$42="Energy",'DONNÉES BRUTES'!AB$3:AB$42+(ROW('DONNÉES BRUTES'!A$3:A$42)-ROW('DONNÉES BRUTES'!A$3))/1000,0),0))),"—")</f>
        <v/>
      </c>
      <c r="N16">
        <f t="array" ref="N16">IFERROR(IF(6&gt;COUNTIF('DONNÉES BRUTES'!C$3:C$42,"Energy"),"",INDEX('DONNÉES BRUTES'!S$3:S$42,MATCH(LARGE(IF('DONNÉES BRUTES'!C$3:C$42="Energy",'DONNÉES BRUTES'!AB$3:AB$42+(ROW('DONNÉES BRUTES'!A$3:A$42)-ROW('DONNÉES BRUTES'!A$3))/1000,0),6),IF('DONNÉES BRUTES'!C$3:C$42="Energy",'DONNÉES BRUTES'!AB$3:AB$42+(ROW('DONNÉES BRUTES'!A$3:A$42)-ROW('DONNÉES BRUTES'!A$3))/1000,0),0))),"—")</f>
        <v/>
      </c>
      <c r="O16">
        <f t="array" ref="O16">IFERROR(IF(6&gt;COUNTIF('DONNÉES BRUTES'!C$3:C$42,"Energy"),"",INDEX('DONNÉES BRUTES'!T$3:T$42,MATCH(LARGE(IF('DONNÉES BRUTES'!C$3:C$42="Energy",'DONNÉES BRUTES'!AB$3:AB$42+(ROW('DONNÉES BRUTES'!A$3:A$42)-ROW('DONNÉES BRUTES'!A$3))/1000,0),6),IF('DONNÉES BRUTES'!C$3:C$42="Energy",'DONNÉES BRUTES'!AB$3:AB$42+(ROW('DONNÉES BRUTES'!A$3:A$42)-ROW('DONNÉES BRUTES'!A$3))/1000,0),0))),"—")</f>
        <v/>
      </c>
      <c r="P16">
        <f t="array" ref="P16">IFERROR(IF(6&gt;COUNTIF('DONNÉES BRUTES'!C$3:C$42,"Energy"),"",INDEX('DONNÉES BRUTES'!U$3:U$42,MATCH(LARGE(IF('DONNÉES BRUTES'!C$3:C$42="Energy",'DONNÉES BRUTES'!AB$3:AB$42+(ROW('DONNÉES BRUTES'!A$3:A$42)-ROW('DONNÉES BRUTES'!A$3))/1000,0),6),IF('DONNÉES BRUTES'!C$3:C$42="Energy",'DONNÉES BRUTES'!AB$3:AB$42+(ROW('DONNÉES BRUTES'!A$3:A$42)-ROW('DONNÉES BRUTES'!A$3))/1000,0),0))),"—")</f>
        <v/>
      </c>
      <c r="Q16">
        <f t="array" ref="Q16">IFERROR(IF(6&gt;COUNTIF('DONNÉES BRUTES'!C$3:C$42,"Energy"),"",INDEX('DONNÉES BRUTES'!AD$3:AD$42,MATCH(LARGE(IF('DONNÉES BRUTES'!C$3:C$42="Energy",'DONNÉES BRUTES'!AB$3:AB$42+(ROW('DONNÉES BRUTES'!A$3:A$42)-ROW('DONNÉES BRUTES'!A$3))/1000,0),6),IF('DONNÉES BRUTES'!C$3:C$42="Energy",'DONNÉES BRUTES'!AB$3:AB$42+(ROW('DONNÉES BRUTES'!A$3:A$42)-ROW('DONNÉES BRUTES'!A$3))/1000,0),0))),"—")</f>
        <v/>
      </c>
    </row>
    <row r="17" ht="15.95" customHeight="1">
      <c r="B17">
        <f>IF(7&gt;COUNTIF('DONNÉES BRUTES'!C$3:C$42,"Energy"),"",7)</f>
        <v/>
      </c>
      <c r="C17">
        <f t="array" ref="C17">IFERROR(IF(7&gt;COUNTIF('DONNÉES BRUTES'!C$3:C$42,"Energy"),"",INDEX('DONNÉES BRUTES'!A$3:A$42,MATCH(LARGE(IF('DONNÉES BRUTES'!C$3:C$42="Energy",'DONNÉES BRUTES'!AB$3:AB$42+(ROW('DONNÉES BRUTES'!A$3:A$42)-ROW('DONNÉES BRUTES'!A$3))/1000,0),7),IF('DONNÉES BRUTES'!C$3:C$42="Energy",'DONNÉES BRUTES'!AB$3:AB$42+(ROW('DONNÉES BRUTES'!A$3:A$42)-ROW('DONNÉES BRUTES'!A$3))/1000,0),0))),"—")</f>
        <v/>
      </c>
      <c r="D17">
        <f t="array" ref="D17">IFERROR(IF(7&gt;COUNTIF('DONNÉES BRUTES'!C$3:C$42,"Energy"),"",INDEX('DONNÉES BRUTES'!B$3:B$42,MATCH(LARGE(IF('DONNÉES BRUTES'!C$3:C$42="Energy",'DONNÉES BRUTES'!AB$3:AB$42+(ROW('DONNÉES BRUTES'!A$3:A$42)-ROW('DONNÉES BRUTES'!A$3))/1000,0),7),IF('DONNÉES BRUTES'!C$3:C$42="Energy",'DONNÉES BRUTES'!AB$3:AB$42+(ROW('DONNÉES BRUTES'!A$3:A$42)-ROW('DONNÉES BRUTES'!A$3))/1000,0),0))),"—")</f>
        <v/>
      </c>
      <c r="E17">
        <f t="array" ref="E17">IFERROR(IF(7&gt;COUNTIF('DONNÉES BRUTES'!C$3:C$42,"Energy"),"",INT(LARGE(IF('DONNÉES BRUTES'!C$3:C$42="Energy",'DONNÉES BRUTES'!AB$3:AB$42+(ROW('DONNÉES BRUTES'!A$3:A$42)-ROW('DONNÉES BRUTES'!A$3))/1000,0),7))&amp;"/100"),"—")</f>
        <v/>
      </c>
      <c r="F17">
        <f t="array" ref="F17">IFERROR(IF(7&gt;COUNTIF('DONNÉES BRUTES'!C$3:C$42,"Energy"),"",INDEX('DONNÉES BRUTES'!Y$3:Y$42,MATCH(LARGE(IF('DONNÉES BRUTES'!C$3:C$42="Energy",'DONNÉES BRUTES'!AB$3:AB$42+(ROW('DONNÉES BRUTES'!A$3:A$42)-ROW('DONNÉES BRUTES'!A$3))/1000,0),7),IF('DONNÉES BRUTES'!C$3:C$42="Energy",'DONNÉES BRUTES'!AB$3:AB$42+(ROW('DONNÉES BRUTES'!A$3:A$42)-ROW('DONNÉES BRUTES'!A$3))/1000,0),0))),"—")</f>
        <v/>
      </c>
      <c r="G17">
        <f t="array" ref="G17">IFERROR(IF(7&gt;COUNTIF('DONNÉES BRUTES'!C$3:C$42,"Energy"),"",INDEX('DONNÉES BRUTES'!Z$3:Z$42,MATCH(LARGE(IF('DONNÉES BRUTES'!C$3:C$42="Energy",'DONNÉES BRUTES'!AB$3:AB$42+(ROW('DONNÉES BRUTES'!A$3:A$42)-ROW('DONNÉES BRUTES'!A$3))/1000,0),7),IF('DONNÉES BRUTES'!C$3:C$42="Energy",'DONNÉES BRUTES'!AB$3:AB$42+(ROW('DONNÉES BRUTES'!A$3:A$42)-ROW('DONNÉES BRUTES'!A$3))/1000,0),0))),"—")</f>
        <v/>
      </c>
      <c r="H17">
        <f t="array" ref="H17">IFERROR(IF(7&gt;COUNTIF('DONNÉES BRUTES'!C$3:C$42,"Energy"),"",INDEX('DONNÉES BRUTES'!AA$3:AA$42,MATCH(LARGE(IF('DONNÉES BRUTES'!C$3:C$42="Energy",'DONNÉES BRUTES'!AB$3:AB$42+(ROW('DONNÉES BRUTES'!A$3:A$42)-ROW('DONNÉES BRUTES'!A$3))/1000,0),7),IF('DONNÉES BRUTES'!C$3:C$42="Energy",'DONNÉES BRUTES'!AB$3:AB$42+(ROW('DONNÉES BRUTES'!A$3:A$42)-ROW('DONNÉES BRUTES'!A$3))/1000,0),0))),"—")</f>
        <v/>
      </c>
      <c r="I17">
        <f t="array" ref="I17">IFERROR(IF(7&gt;COUNTIF('DONNÉES BRUTES'!C$3:C$42,"Energy"),"",INDEX('DONNÉES BRUTES'!M$3:M$42,MATCH(LARGE(IF('DONNÉES BRUTES'!C$3:C$42="Energy",'DONNÉES BRUTES'!AB$3:AB$42+(ROW('DONNÉES BRUTES'!A$3:A$42)-ROW('DONNÉES BRUTES'!A$3))/1000,0),7),IF('DONNÉES BRUTES'!C$3:C$42="Energy",'DONNÉES BRUTES'!AB$3:AB$42+(ROW('DONNÉES BRUTES'!A$3:A$42)-ROW('DONNÉES BRUTES'!A$3))/1000,0),0))),"—")</f>
        <v/>
      </c>
      <c r="J17">
        <f t="array" ref="J17">IFERROR(IF(7&gt;COUNTIF('DONNÉES BRUTES'!C$3:C$42,"Energy"),"",INDEX('DONNÉES BRUTES'!N$3:N$42,MATCH(LARGE(IF('DONNÉES BRUTES'!C$3:C$42="Energy",'DONNÉES BRUTES'!AB$3:AB$42+(ROW('DONNÉES BRUTES'!A$3:A$42)-ROW('DONNÉES BRUTES'!A$3))/1000,0),7),IF('DONNÉES BRUTES'!C$3:C$42="Energy",'DONNÉES BRUTES'!AB$3:AB$42+(ROW('DONNÉES BRUTES'!A$3:A$42)-ROW('DONNÉES BRUTES'!A$3))/1000,0),0))),"—")</f>
        <v/>
      </c>
      <c r="K17">
        <f t="array" ref="K17">IFERROR(IF(7&gt;COUNTIF('DONNÉES BRUTES'!C$3:C$42,"Energy"),"",INDEX('DONNÉES BRUTES'!O$3:O$42,MATCH(LARGE(IF('DONNÉES BRUTES'!C$3:C$42="Energy",'DONNÉES BRUTES'!AB$3:AB$42+(ROW('DONNÉES BRUTES'!A$3:A$42)-ROW('DONNÉES BRUTES'!A$3))/1000,0),7),IF('DONNÉES BRUTES'!C$3:C$42="Energy",'DONNÉES BRUTES'!AB$3:AB$42+(ROW('DONNÉES BRUTES'!A$3:A$42)-ROW('DONNÉES BRUTES'!A$3))/1000,0),0))),"—")</f>
        <v/>
      </c>
      <c r="L17">
        <f t="array" ref="L17">IFERROR(IF(7&gt;COUNTIF('DONNÉES BRUTES'!C$3:C$42,"Energy"),"",INDEX('DONNÉES BRUTES'!P$3:P$42,MATCH(LARGE(IF('DONNÉES BRUTES'!C$3:C$42="Energy",'DONNÉES BRUTES'!AB$3:AB$42+(ROW('DONNÉES BRUTES'!A$3:A$42)-ROW('DONNÉES BRUTES'!A$3))/1000,0),7),IF('DONNÉES BRUTES'!C$3:C$42="Energy",'DONNÉES BRUTES'!AB$3:AB$42+(ROW('DONNÉES BRUTES'!A$3:A$42)-ROW('DONNÉES BRUTES'!A$3))/1000,0),0))),"—")</f>
        <v/>
      </c>
      <c r="M17">
        <f t="array" ref="M17">IFERROR(IF(7&gt;COUNTIF('DONNÉES BRUTES'!C$3:C$42,"Energy"),"",INDEX('DONNÉES BRUTES'!Q$3:Q$42,MATCH(LARGE(IF('DONNÉES BRUTES'!C$3:C$42="Energy",'DONNÉES BRUTES'!AB$3:AB$42+(ROW('DONNÉES BRUTES'!A$3:A$42)-ROW('DONNÉES BRUTES'!A$3))/1000,0),7),IF('DONNÉES BRUTES'!C$3:C$42="Energy",'DONNÉES BRUTES'!AB$3:AB$42+(ROW('DONNÉES BRUTES'!A$3:A$42)-ROW('DONNÉES BRUTES'!A$3))/1000,0),0))),"—")</f>
        <v/>
      </c>
      <c r="N17">
        <f t="array" ref="N17">IFERROR(IF(7&gt;COUNTIF('DONNÉES BRUTES'!C$3:C$42,"Energy"),"",INDEX('DONNÉES BRUTES'!S$3:S$42,MATCH(LARGE(IF('DONNÉES BRUTES'!C$3:C$42="Energy",'DONNÉES BRUTES'!AB$3:AB$42+(ROW('DONNÉES BRUTES'!A$3:A$42)-ROW('DONNÉES BRUTES'!A$3))/1000,0),7),IF('DONNÉES BRUTES'!C$3:C$42="Energy",'DONNÉES BRUTES'!AB$3:AB$42+(ROW('DONNÉES BRUTES'!A$3:A$42)-ROW('DONNÉES BRUTES'!A$3))/1000,0),0))),"—")</f>
        <v/>
      </c>
      <c r="O17">
        <f t="array" ref="O17">IFERROR(IF(7&gt;COUNTIF('DONNÉES BRUTES'!C$3:C$42,"Energy"),"",INDEX('DONNÉES BRUTES'!T$3:T$42,MATCH(LARGE(IF('DONNÉES BRUTES'!C$3:C$42="Energy",'DONNÉES BRUTES'!AB$3:AB$42+(ROW('DONNÉES BRUTES'!A$3:A$42)-ROW('DONNÉES BRUTES'!A$3))/1000,0),7),IF('DONNÉES BRUTES'!C$3:C$42="Energy",'DONNÉES BRUTES'!AB$3:AB$42+(ROW('DONNÉES BRUTES'!A$3:A$42)-ROW('DONNÉES BRUTES'!A$3))/1000,0),0))),"—")</f>
        <v/>
      </c>
      <c r="P17">
        <f t="array" ref="P17">IFERROR(IF(7&gt;COUNTIF('DONNÉES BRUTES'!C$3:C$42,"Energy"),"",INDEX('DONNÉES BRUTES'!U$3:U$42,MATCH(LARGE(IF('DONNÉES BRUTES'!C$3:C$42="Energy",'DONNÉES BRUTES'!AB$3:AB$42+(ROW('DONNÉES BRUTES'!A$3:A$42)-ROW('DONNÉES BRUTES'!A$3))/1000,0),7),IF('DONNÉES BRUTES'!C$3:C$42="Energy",'DONNÉES BRUTES'!AB$3:AB$42+(ROW('DONNÉES BRUTES'!A$3:A$42)-ROW('DONNÉES BRUTES'!A$3))/1000,0),0))),"—")</f>
        <v/>
      </c>
      <c r="Q17">
        <f t="array" ref="Q17">IFERROR(IF(7&gt;COUNTIF('DONNÉES BRUTES'!C$3:C$42,"Energy"),"",INDEX('DONNÉES BRUTES'!AD$3:AD$42,MATCH(LARGE(IF('DONNÉES BRUTES'!C$3:C$42="Energy",'DONNÉES BRUTES'!AB$3:AB$42+(ROW('DONNÉES BRUTES'!A$3:A$42)-ROW('DONNÉES BRUTES'!A$3))/1000,0),7),IF('DONNÉES BRUTES'!C$3:C$42="Energy",'DONNÉES BRUTES'!AB$3:AB$42+(ROW('DONNÉES BRUTES'!A$3:A$42)-ROW('DONNÉES BRUTES'!A$3))/1000,0),0))),"—")</f>
        <v/>
      </c>
    </row>
    <row r="18" ht="15.95" customHeight="1">
      <c r="B18">
        <f>IF(8&gt;COUNTIF('DONNÉES BRUTES'!C$3:C$42,"Energy"),"",8)</f>
        <v/>
      </c>
      <c r="C18">
        <f t="array" ref="C18">IFERROR(IF(8&gt;COUNTIF('DONNÉES BRUTES'!C$3:C$42,"Energy"),"",INDEX('DONNÉES BRUTES'!A$3:A$42,MATCH(LARGE(IF('DONNÉES BRUTES'!C$3:C$42="Energy",'DONNÉES BRUTES'!AB$3:AB$42+(ROW('DONNÉES BRUTES'!A$3:A$42)-ROW('DONNÉES BRUTES'!A$3))/1000,0),8),IF('DONNÉES BRUTES'!C$3:C$42="Energy",'DONNÉES BRUTES'!AB$3:AB$42+(ROW('DONNÉES BRUTES'!A$3:A$42)-ROW('DONNÉES BRUTES'!A$3))/1000,0),0))),"—")</f>
        <v/>
      </c>
      <c r="D18">
        <f t="array" ref="D18">IFERROR(IF(8&gt;COUNTIF('DONNÉES BRUTES'!C$3:C$42,"Energy"),"",INDEX('DONNÉES BRUTES'!B$3:B$42,MATCH(LARGE(IF('DONNÉES BRUTES'!C$3:C$42="Energy",'DONNÉES BRUTES'!AB$3:AB$42+(ROW('DONNÉES BRUTES'!A$3:A$42)-ROW('DONNÉES BRUTES'!A$3))/1000,0),8),IF('DONNÉES BRUTES'!C$3:C$42="Energy",'DONNÉES BRUTES'!AB$3:AB$42+(ROW('DONNÉES BRUTES'!A$3:A$42)-ROW('DONNÉES BRUTES'!A$3))/1000,0),0))),"—")</f>
        <v/>
      </c>
      <c r="E18">
        <f t="array" ref="E18">IFERROR(IF(8&gt;COUNTIF('DONNÉES BRUTES'!C$3:C$42,"Energy"),"",INT(LARGE(IF('DONNÉES BRUTES'!C$3:C$42="Energy",'DONNÉES BRUTES'!AB$3:AB$42+(ROW('DONNÉES BRUTES'!A$3:A$42)-ROW('DONNÉES BRUTES'!A$3))/1000,0),8))&amp;"/100"),"—")</f>
        <v/>
      </c>
      <c r="F18">
        <f t="array" ref="F18">IFERROR(IF(8&gt;COUNTIF('DONNÉES BRUTES'!C$3:C$42,"Energy"),"",INDEX('DONNÉES BRUTES'!Y$3:Y$42,MATCH(LARGE(IF('DONNÉES BRUTES'!C$3:C$42="Energy",'DONNÉES BRUTES'!AB$3:AB$42+(ROW('DONNÉES BRUTES'!A$3:A$42)-ROW('DONNÉES BRUTES'!A$3))/1000,0),8),IF('DONNÉES BRUTES'!C$3:C$42="Energy",'DONNÉES BRUTES'!AB$3:AB$42+(ROW('DONNÉES BRUTES'!A$3:A$42)-ROW('DONNÉES BRUTES'!A$3))/1000,0),0))),"—")</f>
        <v/>
      </c>
      <c r="G18">
        <f t="array" ref="G18">IFERROR(IF(8&gt;COUNTIF('DONNÉES BRUTES'!C$3:C$42,"Energy"),"",INDEX('DONNÉES BRUTES'!Z$3:Z$42,MATCH(LARGE(IF('DONNÉES BRUTES'!C$3:C$42="Energy",'DONNÉES BRUTES'!AB$3:AB$42+(ROW('DONNÉES BRUTES'!A$3:A$42)-ROW('DONNÉES BRUTES'!A$3))/1000,0),8),IF('DONNÉES BRUTES'!C$3:C$42="Energy",'DONNÉES BRUTES'!AB$3:AB$42+(ROW('DONNÉES BRUTES'!A$3:A$42)-ROW('DONNÉES BRUTES'!A$3))/1000,0),0))),"—")</f>
        <v/>
      </c>
      <c r="H18">
        <f t="array" ref="H18">IFERROR(IF(8&gt;COUNTIF('DONNÉES BRUTES'!C$3:C$42,"Energy"),"",INDEX('DONNÉES BRUTES'!AA$3:AA$42,MATCH(LARGE(IF('DONNÉES BRUTES'!C$3:C$42="Energy",'DONNÉES BRUTES'!AB$3:AB$42+(ROW('DONNÉES BRUTES'!A$3:A$42)-ROW('DONNÉES BRUTES'!A$3))/1000,0),8),IF('DONNÉES BRUTES'!C$3:C$42="Energy",'DONNÉES BRUTES'!AB$3:AB$42+(ROW('DONNÉES BRUTES'!A$3:A$42)-ROW('DONNÉES BRUTES'!A$3))/1000,0),0))),"—")</f>
        <v/>
      </c>
      <c r="I18">
        <f t="array" ref="I18">IFERROR(IF(8&gt;COUNTIF('DONNÉES BRUTES'!C$3:C$42,"Energy"),"",INDEX('DONNÉES BRUTES'!M$3:M$42,MATCH(LARGE(IF('DONNÉES BRUTES'!C$3:C$42="Energy",'DONNÉES BRUTES'!AB$3:AB$42+(ROW('DONNÉES BRUTES'!A$3:A$42)-ROW('DONNÉES BRUTES'!A$3))/1000,0),8),IF('DONNÉES BRUTES'!C$3:C$42="Energy",'DONNÉES BRUTES'!AB$3:AB$42+(ROW('DONNÉES BRUTES'!A$3:A$42)-ROW('DONNÉES BRUTES'!A$3))/1000,0),0))),"—")</f>
        <v/>
      </c>
      <c r="J18">
        <f t="array" ref="J18">IFERROR(IF(8&gt;COUNTIF('DONNÉES BRUTES'!C$3:C$42,"Energy"),"",INDEX('DONNÉES BRUTES'!N$3:N$42,MATCH(LARGE(IF('DONNÉES BRUTES'!C$3:C$42="Energy",'DONNÉES BRUTES'!AB$3:AB$42+(ROW('DONNÉES BRUTES'!A$3:A$42)-ROW('DONNÉES BRUTES'!A$3))/1000,0),8),IF('DONNÉES BRUTES'!C$3:C$42="Energy",'DONNÉES BRUTES'!AB$3:AB$42+(ROW('DONNÉES BRUTES'!A$3:A$42)-ROW('DONNÉES BRUTES'!A$3))/1000,0),0))),"—")</f>
        <v/>
      </c>
      <c r="K18">
        <f t="array" ref="K18">IFERROR(IF(8&gt;COUNTIF('DONNÉES BRUTES'!C$3:C$42,"Energy"),"",INDEX('DONNÉES BRUTES'!O$3:O$42,MATCH(LARGE(IF('DONNÉES BRUTES'!C$3:C$42="Energy",'DONNÉES BRUTES'!AB$3:AB$42+(ROW('DONNÉES BRUTES'!A$3:A$42)-ROW('DONNÉES BRUTES'!A$3))/1000,0),8),IF('DONNÉES BRUTES'!C$3:C$42="Energy",'DONNÉES BRUTES'!AB$3:AB$42+(ROW('DONNÉES BRUTES'!A$3:A$42)-ROW('DONNÉES BRUTES'!A$3))/1000,0),0))),"—")</f>
        <v/>
      </c>
      <c r="L18">
        <f t="array" ref="L18">IFERROR(IF(8&gt;COUNTIF('DONNÉES BRUTES'!C$3:C$42,"Energy"),"",INDEX('DONNÉES BRUTES'!P$3:P$42,MATCH(LARGE(IF('DONNÉES BRUTES'!C$3:C$42="Energy",'DONNÉES BRUTES'!AB$3:AB$42+(ROW('DONNÉES BRUTES'!A$3:A$42)-ROW('DONNÉES BRUTES'!A$3))/1000,0),8),IF('DONNÉES BRUTES'!C$3:C$42="Energy",'DONNÉES BRUTES'!AB$3:AB$42+(ROW('DONNÉES BRUTES'!A$3:A$42)-ROW('DONNÉES BRUTES'!A$3))/1000,0),0))),"—")</f>
        <v/>
      </c>
      <c r="M18">
        <f t="array" ref="M18">IFERROR(IF(8&gt;COUNTIF('DONNÉES BRUTES'!C$3:C$42,"Energy"),"",INDEX('DONNÉES BRUTES'!Q$3:Q$42,MATCH(LARGE(IF('DONNÉES BRUTES'!C$3:C$42="Energy",'DONNÉES BRUTES'!AB$3:AB$42+(ROW('DONNÉES BRUTES'!A$3:A$42)-ROW('DONNÉES BRUTES'!A$3))/1000,0),8),IF('DONNÉES BRUTES'!C$3:C$42="Energy",'DONNÉES BRUTES'!AB$3:AB$42+(ROW('DONNÉES BRUTES'!A$3:A$42)-ROW('DONNÉES BRUTES'!A$3))/1000,0),0))),"—")</f>
        <v/>
      </c>
      <c r="N18">
        <f t="array" ref="N18">IFERROR(IF(8&gt;COUNTIF('DONNÉES BRUTES'!C$3:C$42,"Energy"),"",INDEX('DONNÉES BRUTES'!S$3:S$42,MATCH(LARGE(IF('DONNÉES BRUTES'!C$3:C$42="Energy",'DONNÉES BRUTES'!AB$3:AB$42+(ROW('DONNÉES BRUTES'!A$3:A$42)-ROW('DONNÉES BRUTES'!A$3))/1000,0),8),IF('DONNÉES BRUTES'!C$3:C$42="Energy",'DONNÉES BRUTES'!AB$3:AB$42+(ROW('DONNÉES BRUTES'!A$3:A$42)-ROW('DONNÉES BRUTES'!A$3))/1000,0),0))),"—")</f>
        <v/>
      </c>
      <c r="O18">
        <f t="array" ref="O18">IFERROR(IF(8&gt;COUNTIF('DONNÉES BRUTES'!C$3:C$42,"Energy"),"",INDEX('DONNÉES BRUTES'!T$3:T$42,MATCH(LARGE(IF('DONNÉES BRUTES'!C$3:C$42="Energy",'DONNÉES BRUTES'!AB$3:AB$42+(ROW('DONNÉES BRUTES'!A$3:A$42)-ROW('DONNÉES BRUTES'!A$3))/1000,0),8),IF('DONNÉES BRUTES'!C$3:C$42="Energy",'DONNÉES BRUTES'!AB$3:AB$42+(ROW('DONNÉES BRUTES'!A$3:A$42)-ROW('DONNÉES BRUTES'!A$3))/1000,0),0))),"—")</f>
        <v/>
      </c>
      <c r="P18">
        <f t="array" ref="P18">IFERROR(IF(8&gt;COUNTIF('DONNÉES BRUTES'!C$3:C$42,"Energy"),"",INDEX('DONNÉES BRUTES'!U$3:U$42,MATCH(LARGE(IF('DONNÉES BRUTES'!C$3:C$42="Energy",'DONNÉES BRUTES'!AB$3:AB$42+(ROW('DONNÉES BRUTES'!A$3:A$42)-ROW('DONNÉES BRUTES'!A$3))/1000,0),8),IF('DONNÉES BRUTES'!C$3:C$42="Energy",'DONNÉES BRUTES'!AB$3:AB$42+(ROW('DONNÉES BRUTES'!A$3:A$42)-ROW('DONNÉES BRUTES'!A$3))/1000,0),0))),"—")</f>
        <v/>
      </c>
      <c r="Q18">
        <f t="array" ref="Q18">IFERROR(IF(8&gt;COUNTIF('DONNÉES BRUTES'!C$3:C$42,"Energy"),"",INDEX('DONNÉES BRUTES'!AD$3:AD$42,MATCH(LARGE(IF('DONNÉES BRUTES'!C$3:C$42="Energy",'DONNÉES BRUTES'!AB$3:AB$42+(ROW('DONNÉES BRUTES'!A$3:A$42)-ROW('DONNÉES BRUTES'!A$3))/1000,0),8),IF('DONNÉES BRUTES'!C$3:C$42="Energy",'DONNÉES BRUTES'!AB$3:AB$42+(ROW('DONNÉES BRUTES'!A$3:A$42)-ROW('DONNÉES BRUTES'!A$3))/1000,0),0))),"—")</f>
        <v/>
      </c>
    </row>
    <row r="19" ht="15.95" customHeight="1">
      <c r="B19">
        <f>IF(9&gt;COUNTIF('DONNÉES BRUTES'!C$3:C$42,"Energy"),"",9)</f>
        <v/>
      </c>
      <c r="C19">
        <f t="array" ref="C19">IFERROR(IF(9&gt;COUNTIF('DONNÉES BRUTES'!C$3:C$42,"Energy"),"",INDEX('DONNÉES BRUTES'!A$3:A$42,MATCH(LARGE(IF('DONNÉES BRUTES'!C$3:C$42="Energy",'DONNÉES BRUTES'!AB$3:AB$42+(ROW('DONNÉES BRUTES'!A$3:A$42)-ROW('DONNÉES BRUTES'!A$3))/1000,0),9),IF('DONNÉES BRUTES'!C$3:C$42="Energy",'DONNÉES BRUTES'!AB$3:AB$42+(ROW('DONNÉES BRUTES'!A$3:A$42)-ROW('DONNÉES BRUTES'!A$3))/1000,0),0))),"—")</f>
        <v/>
      </c>
      <c r="D19">
        <f t="array" ref="D19">IFERROR(IF(9&gt;COUNTIF('DONNÉES BRUTES'!C$3:C$42,"Energy"),"",INDEX('DONNÉES BRUTES'!B$3:B$42,MATCH(LARGE(IF('DONNÉES BRUTES'!C$3:C$42="Energy",'DONNÉES BRUTES'!AB$3:AB$42+(ROW('DONNÉES BRUTES'!A$3:A$42)-ROW('DONNÉES BRUTES'!A$3))/1000,0),9),IF('DONNÉES BRUTES'!C$3:C$42="Energy",'DONNÉES BRUTES'!AB$3:AB$42+(ROW('DONNÉES BRUTES'!A$3:A$42)-ROW('DONNÉES BRUTES'!A$3))/1000,0),0))),"—")</f>
        <v/>
      </c>
      <c r="E19">
        <f t="array" ref="E19">IFERROR(IF(9&gt;COUNTIF('DONNÉES BRUTES'!C$3:C$42,"Energy"),"",INT(LARGE(IF('DONNÉES BRUTES'!C$3:C$42="Energy",'DONNÉES BRUTES'!AB$3:AB$42+(ROW('DONNÉES BRUTES'!A$3:A$42)-ROW('DONNÉES BRUTES'!A$3))/1000,0),9))&amp;"/100"),"—")</f>
        <v/>
      </c>
      <c r="F19">
        <f t="array" ref="F19">IFERROR(IF(9&gt;COUNTIF('DONNÉES BRUTES'!C$3:C$42,"Energy"),"",INDEX('DONNÉES BRUTES'!Y$3:Y$42,MATCH(LARGE(IF('DONNÉES BRUTES'!C$3:C$42="Energy",'DONNÉES BRUTES'!AB$3:AB$42+(ROW('DONNÉES BRUTES'!A$3:A$42)-ROW('DONNÉES BRUTES'!A$3))/1000,0),9),IF('DONNÉES BRUTES'!C$3:C$42="Energy",'DONNÉES BRUTES'!AB$3:AB$42+(ROW('DONNÉES BRUTES'!A$3:A$42)-ROW('DONNÉES BRUTES'!A$3))/1000,0),0))),"—")</f>
        <v/>
      </c>
      <c r="G19">
        <f t="array" ref="G19">IFERROR(IF(9&gt;COUNTIF('DONNÉES BRUTES'!C$3:C$42,"Energy"),"",INDEX('DONNÉES BRUTES'!Z$3:Z$42,MATCH(LARGE(IF('DONNÉES BRUTES'!C$3:C$42="Energy",'DONNÉES BRUTES'!AB$3:AB$42+(ROW('DONNÉES BRUTES'!A$3:A$42)-ROW('DONNÉES BRUTES'!A$3))/1000,0),9),IF('DONNÉES BRUTES'!C$3:C$42="Energy",'DONNÉES BRUTES'!AB$3:AB$42+(ROW('DONNÉES BRUTES'!A$3:A$42)-ROW('DONNÉES BRUTES'!A$3))/1000,0),0))),"—")</f>
        <v/>
      </c>
      <c r="H19">
        <f t="array" ref="H19">IFERROR(IF(9&gt;COUNTIF('DONNÉES BRUTES'!C$3:C$42,"Energy"),"",INDEX('DONNÉES BRUTES'!AA$3:AA$42,MATCH(LARGE(IF('DONNÉES BRUTES'!C$3:C$42="Energy",'DONNÉES BRUTES'!AB$3:AB$42+(ROW('DONNÉES BRUTES'!A$3:A$42)-ROW('DONNÉES BRUTES'!A$3))/1000,0),9),IF('DONNÉES BRUTES'!C$3:C$42="Energy",'DONNÉES BRUTES'!AB$3:AB$42+(ROW('DONNÉES BRUTES'!A$3:A$42)-ROW('DONNÉES BRUTES'!A$3))/1000,0),0))),"—")</f>
        <v/>
      </c>
      <c r="I19">
        <f t="array" ref="I19">IFERROR(IF(9&gt;COUNTIF('DONNÉES BRUTES'!C$3:C$42,"Energy"),"",INDEX('DONNÉES BRUTES'!M$3:M$42,MATCH(LARGE(IF('DONNÉES BRUTES'!C$3:C$42="Energy",'DONNÉES BRUTES'!AB$3:AB$42+(ROW('DONNÉES BRUTES'!A$3:A$42)-ROW('DONNÉES BRUTES'!A$3))/1000,0),9),IF('DONNÉES BRUTES'!C$3:C$42="Energy",'DONNÉES BRUTES'!AB$3:AB$42+(ROW('DONNÉES BRUTES'!A$3:A$42)-ROW('DONNÉES BRUTES'!A$3))/1000,0),0))),"—")</f>
        <v/>
      </c>
      <c r="J19">
        <f t="array" ref="J19">IFERROR(IF(9&gt;COUNTIF('DONNÉES BRUTES'!C$3:C$42,"Energy"),"",INDEX('DONNÉES BRUTES'!N$3:N$42,MATCH(LARGE(IF('DONNÉES BRUTES'!C$3:C$42="Energy",'DONNÉES BRUTES'!AB$3:AB$42+(ROW('DONNÉES BRUTES'!A$3:A$42)-ROW('DONNÉES BRUTES'!A$3))/1000,0),9),IF('DONNÉES BRUTES'!C$3:C$42="Energy",'DONNÉES BRUTES'!AB$3:AB$42+(ROW('DONNÉES BRUTES'!A$3:A$42)-ROW('DONNÉES BRUTES'!A$3))/1000,0),0))),"—")</f>
        <v/>
      </c>
      <c r="K19">
        <f t="array" ref="K19">IFERROR(IF(9&gt;COUNTIF('DONNÉES BRUTES'!C$3:C$42,"Energy"),"",INDEX('DONNÉES BRUTES'!O$3:O$42,MATCH(LARGE(IF('DONNÉES BRUTES'!C$3:C$42="Energy",'DONNÉES BRUTES'!AB$3:AB$42+(ROW('DONNÉES BRUTES'!A$3:A$42)-ROW('DONNÉES BRUTES'!A$3))/1000,0),9),IF('DONNÉES BRUTES'!C$3:C$42="Energy",'DONNÉES BRUTES'!AB$3:AB$42+(ROW('DONNÉES BRUTES'!A$3:A$42)-ROW('DONNÉES BRUTES'!A$3))/1000,0),0))),"—")</f>
        <v/>
      </c>
      <c r="L19">
        <f t="array" ref="L19">IFERROR(IF(9&gt;COUNTIF('DONNÉES BRUTES'!C$3:C$42,"Energy"),"",INDEX('DONNÉES BRUTES'!P$3:P$42,MATCH(LARGE(IF('DONNÉES BRUTES'!C$3:C$42="Energy",'DONNÉES BRUTES'!AB$3:AB$42+(ROW('DONNÉES BRUTES'!A$3:A$42)-ROW('DONNÉES BRUTES'!A$3))/1000,0),9),IF('DONNÉES BRUTES'!C$3:C$42="Energy",'DONNÉES BRUTES'!AB$3:AB$42+(ROW('DONNÉES BRUTES'!A$3:A$42)-ROW('DONNÉES BRUTES'!A$3))/1000,0),0))),"—")</f>
        <v/>
      </c>
      <c r="M19">
        <f t="array" ref="M19">IFERROR(IF(9&gt;COUNTIF('DONNÉES BRUTES'!C$3:C$42,"Energy"),"",INDEX('DONNÉES BRUTES'!Q$3:Q$42,MATCH(LARGE(IF('DONNÉES BRUTES'!C$3:C$42="Energy",'DONNÉES BRUTES'!AB$3:AB$42+(ROW('DONNÉES BRUTES'!A$3:A$42)-ROW('DONNÉES BRUTES'!A$3))/1000,0),9),IF('DONNÉES BRUTES'!C$3:C$42="Energy",'DONNÉES BRUTES'!AB$3:AB$42+(ROW('DONNÉES BRUTES'!A$3:A$42)-ROW('DONNÉES BRUTES'!A$3))/1000,0),0))),"—")</f>
        <v/>
      </c>
      <c r="N19">
        <f t="array" ref="N19">IFERROR(IF(9&gt;COUNTIF('DONNÉES BRUTES'!C$3:C$42,"Energy"),"",INDEX('DONNÉES BRUTES'!S$3:S$42,MATCH(LARGE(IF('DONNÉES BRUTES'!C$3:C$42="Energy",'DONNÉES BRUTES'!AB$3:AB$42+(ROW('DONNÉES BRUTES'!A$3:A$42)-ROW('DONNÉES BRUTES'!A$3))/1000,0),9),IF('DONNÉES BRUTES'!C$3:C$42="Energy",'DONNÉES BRUTES'!AB$3:AB$42+(ROW('DONNÉES BRUTES'!A$3:A$42)-ROW('DONNÉES BRUTES'!A$3))/1000,0),0))),"—")</f>
        <v/>
      </c>
      <c r="O19">
        <f t="array" ref="O19">IFERROR(IF(9&gt;COUNTIF('DONNÉES BRUTES'!C$3:C$42,"Energy"),"",INDEX('DONNÉES BRUTES'!T$3:T$42,MATCH(LARGE(IF('DONNÉES BRUTES'!C$3:C$42="Energy",'DONNÉES BRUTES'!AB$3:AB$42+(ROW('DONNÉES BRUTES'!A$3:A$42)-ROW('DONNÉES BRUTES'!A$3))/1000,0),9),IF('DONNÉES BRUTES'!C$3:C$42="Energy",'DONNÉES BRUTES'!AB$3:AB$42+(ROW('DONNÉES BRUTES'!A$3:A$42)-ROW('DONNÉES BRUTES'!A$3))/1000,0),0))),"—")</f>
        <v/>
      </c>
      <c r="P19">
        <f t="array" ref="P19">IFERROR(IF(9&gt;COUNTIF('DONNÉES BRUTES'!C$3:C$42,"Energy"),"",INDEX('DONNÉES BRUTES'!U$3:U$42,MATCH(LARGE(IF('DONNÉES BRUTES'!C$3:C$42="Energy",'DONNÉES BRUTES'!AB$3:AB$42+(ROW('DONNÉES BRUTES'!A$3:A$42)-ROW('DONNÉES BRUTES'!A$3))/1000,0),9),IF('DONNÉES BRUTES'!C$3:C$42="Energy",'DONNÉES BRUTES'!AB$3:AB$42+(ROW('DONNÉES BRUTES'!A$3:A$42)-ROW('DONNÉES BRUTES'!A$3))/1000,0),0))),"—")</f>
        <v/>
      </c>
      <c r="Q19">
        <f t="array" ref="Q19">IFERROR(IF(9&gt;COUNTIF('DONNÉES BRUTES'!C$3:C$42,"Energy"),"",INDEX('DONNÉES BRUTES'!AD$3:AD$42,MATCH(LARGE(IF('DONNÉES BRUTES'!C$3:C$42="Energy",'DONNÉES BRUTES'!AB$3:AB$42+(ROW('DONNÉES BRUTES'!A$3:A$42)-ROW('DONNÉES BRUTES'!A$3))/1000,0),9),IF('DONNÉES BRUTES'!C$3:C$42="Energy",'DONNÉES BRUTES'!AB$3:AB$42+(ROW('DONNÉES BRUTES'!A$3:A$42)-ROW('DONNÉES BRUTES'!A$3))/1000,0),0))),"—")</f>
        <v/>
      </c>
    </row>
    <row r="20" ht="15.95" customHeight="1">
      <c r="B20">
        <f>IF(10&gt;COUNTIF('DONNÉES BRUTES'!C$3:C$42,"Energy"),"",10)</f>
        <v/>
      </c>
      <c r="C20">
        <f t="array" ref="C20">IFERROR(IF(10&gt;COUNTIF('DONNÉES BRUTES'!C$3:C$42,"Energy"),"",INDEX('DONNÉES BRUTES'!A$3:A$42,MATCH(LARGE(IF('DONNÉES BRUTES'!C$3:C$42="Energy",'DONNÉES BRUTES'!AB$3:AB$42+(ROW('DONNÉES BRUTES'!A$3:A$42)-ROW('DONNÉES BRUTES'!A$3))/1000,0),10),IF('DONNÉES BRUTES'!C$3:C$42="Energy",'DONNÉES BRUTES'!AB$3:AB$42+(ROW('DONNÉES BRUTES'!A$3:A$42)-ROW('DONNÉES BRUTES'!A$3))/1000,0),0))),"—")</f>
        <v/>
      </c>
      <c r="D20">
        <f t="array" ref="D20">IFERROR(IF(10&gt;COUNTIF('DONNÉES BRUTES'!C$3:C$42,"Energy"),"",INDEX('DONNÉES BRUTES'!B$3:B$42,MATCH(LARGE(IF('DONNÉES BRUTES'!C$3:C$42="Energy",'DONNÉES BRUTES'!AB$3:AB$42+(ROW('DONNÉES BRUTES'!A$3:A$42)-ROW('DONNÉES BRUTES'!A$3))/1000,0),10),IF('DONNÉES BRUTES'!C$3:C$42="Energy",'DONNÉES BRUTES'!AB$3:AB$42+(ROW('DONNÉES BRUTES'!A$3:A$42)-ROW('DONNÉES BRUTES'!A$3))/1000,0),0))),"—")</f>
        <v/>
      </c>
      <c r="E20">
        <f t="array" ref="E20">IFERROR(IF(10&gt;COUNTIF('DONNÉES BRUTES'!C$3:C$42,"Energy"),"",INT(LARGE(IF('DONNÉES BRUTES'!C$3:C$42="Energy",'DONNÉES BRUTES'!AB$3:AB$42+(ROW('DONNÉES BRUTES'!A$3:A$42)-ROW('DONNÉES BRUTES'!A$3))/1000,0),10))&amp;"/100"),"—")</f>
        <v/>
      </c>
      <c r="F20">
        <f t="array" ref="F20">IFERROR(IF(10&gt;COUNTIF('DONNÉES BRUTES'!C$3:C$42,"Energy"),"",INDEX('DONNÉES BRUTES'!Y$3:Y$42,MATCH(LARGE(IF('DONNÉES BRUTES'!C$3:C$42="Energy",'DONNÉES BRUTES'!AB$3:AB$42+(ROW('DONNÉES BRUTES'!A$3:A$42)-ROW('DONNÉES BRUTES'!A$3))/1000,0),10),IF('DONNÉES BRUTES'!C$3:C$42="Energy",'DONNÉES BRUTES'!AB$3:AB$42+(ROW('DONNÉES BRUTES'!A$3:A$42)-ROW('DONNÉES BRUTES'!A$3))/1000,0),0))),"—")</f>
        <v/>
      </c>
      <c r="G20">
        <f t="array" ref="G20">IFERROR(IF(10&gt;COUNTIF('DONNÉES BRUTES'!C$3:C$42,"Energy"),"",INDEX('DONNÉES BRUTES'!Z$3:Z$42,MATCH(LARGE(IF('DONNÉES BRUTES'!C$3:C$42="Energy",'DONNÉES BRUTES'!AB$3:AB$42+(ROW('DONNÉES BRUTES'!A$3:A$42)-ROW('DONNÉES BRUTES'!A$3))/1000,0),10),IF('DONNÉES BRUTES'!C$3:C$42="Energy",'DONNÉES BRUTES'!AB$3:AB$42+(ROW('DONNÉES BRUTES'!A$3:A$42)-ROW('DONNÉES BRUTES'!A$3))/1000,0),0))),"—")</f>
        <v/>
      </c>
      <c r="H20">
        <f t="array" ref="H20">IFERROR(IF(10&gt;COUNTIF('DONNÉES BRUTES'!C$3:C$42,"Energy"),"",INDEX('DONNÉES BRUTES'!AA$3:AA$42,MATCH(LARGE(IF('DONNÉES BRUTES'!C$3:C$42="Energy",'DONNÉES BRUTES'!AB$3:AB$42+(ROW('DONNÉES BRUTES'!A$3:A$42)-ROW('DONNÉES BRUTES'!A$3))/1000,0),10),IF('DONNÉES BRUTES'!C$3:C$42="Energy",'DONNÉES BRUTES'!AB$3:AB$42+(ROW('DONNÉES BRUTES'!A$3:A$42)-ROW('DONNÉES BRUTES'!A$3))/1000,0),0))),"—")</f>
        <v/>
      </c>
      <c r="I20">
        <f t="array" ref="I20">IFERROR(IF(10&gt;COUNTIF('DONNÉES BRUTES'!C$3:C$42,"Energy"),"",INDEX('DONNÉES BRUTES'!M$3:M$42,MATCH(LARGE(IF('DONNÉES BRUTES'!C$3:C$42="Energy",'DONNÉES BRUTES'!AB$3:AB$42+(ROW('DONNÉES BRUTES'!A$3:A$42)-ROW('DONNÉES BRUTES'!A$3))/1000,0),10),IF('DONNÉES BRUTES'!C$3:C$42="Energy",'DONNÉES BRUTES'!AB$3:AB$42+(ROW('DONNÉES BRUTES'!A$3:A$42)-ROW('DONNÉES BRUTES'!A$3))/1000,0),0))),"—")</f>
        <v/>
      </c>
      <c r="J20">
        <f t="array" ref="J20">IFERROR(IF(10&gt;COUNTIF('DONNÉES BRUTES'!C$3:C$42,"Energy"),"",INDEX('DONNÉES BRUTES'!N$3:N$42,MATCH(LARGE(IF('DONNÉES BRUTES'!C$3:C$42="Energy",'DONNÉES BRUTES'!AB$3:AB$42+(ROW('DONNÉES BRUTES'!A$3:A$42)-ROW('DONNÉES BRUTES'!A$3))/1000,0),10),IF('DONNÉES BRUTES'!C$3:C$42="Energy",'DONNÉES BRUTES'!AB$3:AB$42+(ROW('DONNÉES BRUTES'!A$3:A$42)-ROW('DONNÉES BRUTES'!A$3))/1000,0),0))),"—")</f>
        <v/>
      </c>
      <c r="K20">
        <f t="array" ref="K20">IFERROR(IF(10&gt;COUNTIF('DONNÉES BRUTES'!C$3:C$42,"Energy"),"",INDEX('DONNÉES BRUTES'!O$3:O$42,MATCH(LARGE(IF('DONNÉES BRUTES'!C$3:C$42="Energy",'DONNÉES BRUTES'!AB$3:AB$42+(ROW('DONNÉES BRUTES'!A$3:A$42)-ROW('DONNÉES BRUTES'!A$3))/1000,0),10),IF('DONNÉES BRUTES'!C$3:C$42="Energy",'DONNÉES BRUTES'!AB$3:AB$42+(ROW('DONNÉES BRUTES'!A$3:A$42)-ROW('DONNÉES BRUTES'!A$3))/1000,0),0))),"—")</f>
        <v/>
      </c>
      <c r="L20">
        <f t="array" ref="L20">IFERROR(IF(10&gt;COUNTIF('DONNÉES BRUTES'!C$3:C$42,"Energy"),"",INDEX('DONNÉES BRUTES'!P$3:P$42,MATCH(LARGE(IF('DONNÉES BRUTES'!C$3:C$42="Energy",'DONNÉES BRUTES'!AB$3:AB$42+(ROW('DONNÉES BRUTES'!A$3:A$42)-ROW('DONNÉES BRUTES'!A$3))/1000,0),10),IF('DONNÉES BRUTES'!C$3:C$42="Energy",'DONNÉES BRUTES'!AB$3:AB$42+(ROW('DONNÉES BRUTES'!A$3:A$42)-ROW('DONNÉES BRUTES'!A$3))/1000,0),0))),"—")</f>
        <v/>
      </c>
      <c r="M20">
        <f t="array" ref="M20">IFERROR(IF(10&gt;COUNTIF('DONNÉES BRUTES'!C$3:C$42,"Energy"),"",INDEX('DONNÉES BRUTES'!Q$3:Q$42,MATCH(LARGE(IF('DONNÉES BRUTES'!C$3:C$42="Energy",'DONNÉES BRUTES'!AB$3:AB$42+(ROW('DONNÉES BRUTES'!A$3:A$42)-ROW('DONNÉES BRUTES'!A$3))/1000,0),10),IF('DONNÉES BRUTES'!C$3:C$42="Energy",'DONNÉES BRUTES'!AB$3:AB$42+(ROW('DONNÉES BRUTES'!A$3:A$42)-ROW('DONNÉES BRUTES'!A$3))/1000,0),0))),"—")</f>
        <v/>
      </c>
      <c r="N20">
        <f t="array" ref="N20">IFERROR(IF(10&gt;COUNTIF('DONNÉES BRUTES'!C$3:C$42,"Energy"),"",INDEX('DONNÉES BRUTES'!S$3:S$42,MATCH(LARGE(IF('DONNÉES BRUTES'!C$3:C$42="Energy",'DONNÉES BRUTES'!AB$3:AB$42+(ROW('DONNÉES BRUTES'!A$3:A$42)-ROW('DONNÉES BRUTES'!A$3))/1000,0),10),IF('DONNÉES BRUTES'!C$3:C$42="Energy",'DONNÉES BRUTES'!AB$3:AB$42+(ROW('DONNÉES BRUTES'!A$3:A$42)-ROW('DONNÉES BRUTES'!A$3))/1000,0),0))),"—")</f>
        <v/>
      </c>
      <c r="O20">
        <f t="array" ref="O20">IFERROR(IF(10&gt;COUNTIF('DONNÉES BRUTES'!C$3:C$42,"Energy"),"",INDEX('DONNÉES BRUTES'!T$3:T$42,MATCH(LARGE(IF('DONNÉES BRUTES'!C$3:C$42="Energy",'DONNÉES BRUTES'!AB$3:AB$42+(ROW('DONNÉES BRUTES'!A$3:A$42)-ROW('DONNÉES BRUTES'!A$3))/1000,0),10),IF('DONNÉES BRUTES'!C$3:C$42="Energy",'DONNÉES BRUTES'!AB$3:AB$42+(ROW('DONNÉES BRUTES'!A$3:A$42)-ROW('DONNÉES BRUTES'!A$3))/1000,0),0))),"—")</f>
        <v/>
      </c>
      <c r="P20">
        <f t="array" ref="P20">IFERROR(IF(10&gt;COUNTIF('DONNÉES BRUTES'!C$3:C$42,"Energy"),"",INDEX('DONNÉES BRUTES'!U$3:U$42,MATCH(LARGE(IF('DONNÉES BRUTES'!C$3:C$42="Energy",'DONNÉES BRUTES'!AB$3:AB$42+(ROW('DONNÉES BRUTES'!A$3:A$42)-ROW('DONNÉES BRUTES'!A$3))/1000,0),10),IF('DONNÉES BRUTES'!C$3:C$42="Energy",'DONNÉES BRUTES'!AB$3:AB$42+(ROW('DONNÉES BRUTES'!A$3:A$42)-ROW('DONNÉES BRUTES'!A$3))/1000,0),0))),"—")</f>
        <v/>
      </c>
      <c r="Q20">
        <f t="array" ref="Q20">IFERROR(IF(10&gt;COUNTIF('DONNÉES BRUTES'!C$3:C$42,"Energy"),"",INDEX('DONNÉES BRUTES'!AD$3:AD$42,MATCH(LARGE(IF('DONNÉES BRUTES'!C$3:C$42="Energy",'DONNÉES BRUTES'!AB$3:AB$42+(ROW('DONNÉES BRUTES'!A$3:A$42)-ROW('DONNÉES BRUTES'!A$3))/1000,0),10),IF('DONNÉES BRUTES'!C$3:C$42="Energy",'DONNÉES BRUTES'!AB$3:AB$42+(ROW('DONNÉES BRUTES'!A$3:A$42)-ROW('DONNÉES BRUTES'!A$3))/1000,0),0))),"—")</f>
        <v/>
      </c>
    </row>
    <row r="21" ht="15.95" customHeight="1">
      <c r="B21">
        <f>IF(11&gt;COUNTIF('DONNÉES BRUTES'!C$3:C$42,"Energy"),"",11)</f>
        <v/>
      </c>
      <c r="C21">
        <f t="array" ref="C21">IFERROR(IF(11&gt;COUNTIF('DONNÉES BRUTES'!C$3:C$42,"Energy"),"",INDEX('DONNÉES BRUTES'!A$3:A$42,MATCH(LARGE(IF('DONNÉES BRUTES'!C$3:C$42="Energy",'DONNÉES BRUTES'!AB$3:AB$42+(ROW('DONNÉES BRUTES'!A$3:A$42)-ROW('DONNÉES BRUTES'!A$3))/1000,0),11),IF('DONNÉES BRUTES'!C$3:C$42="Energy",'DONNÉES BRUTES'!AB$3:AB$42+(ROW('DONNÉES BRUTES'!A$3:A$42)-ROW('DONNÉES BRUTES'!A$3))/1000,0),0))),"—")</f>
        <v/>
      </c>
      <c r="D21">
        <f t="array" ref="D21">IFERROR(IF(11&gt;COUNTIF('DONNÉES BRUTES'!C$3:C$42,"Energy"),"",INDEX('DONNÉES BRUTES'!B$3:B$42,MATCH(LARGE(IF('DONNÉES BRUTES'!C$3:C$42="Energy",'DONNÉES BRUTES'!AB$3:AB$42+(ROW('DONNÉES BRUTES'!A$3:A$42)-ROW('DONNÉES BRUTES'!A$3))/1000,0),11),IF('DONNÉES BRUTES'!C$3:C$42="Energy",'DONNÉES BRUTES'!AB$3:AB$42+(ROW('DONNÉES BRUTES'!A$3:A$42)-ROW('DONNÉES BRUTES'!A$3))/1000,0),0))),"—")</f>
        <v/>
      </c>
      <c r="E21">
        <f t="array" ref="E21">IFERROR(IF(11&gt;COUNTIF('DONNÉES BRUTES'!C$3:C$42,"Energy"),"",INT(LARGE(IF('DONNÉES BRUTES'!C$3:C$42="Energy",'DONNÉES BRUTES'!AB$3:AB$42+(ROW('DONNÉES BRUTES'!A$3:A$42)-ROW('DONNÉES BRUTES'!A$3))/1000,0),11))&amp;"/100"),"—")</f>
        <v/>
      </c>
      <c r="F21">
        <f t="array" ref="F21">IFERROR(IF(11&gt;COUNTIF('DONNÉES BRUTES'!C$3:C$42,"Energy"),"",INDEX('DONNÉES BRUTES'!Y$3:Y$42,MATCH(LARGE(IF('DONNÉES BRUTES'!C$3:C$42="Energy",'DONNÉES BRUTES'!AB$3:AB$42+(ROW('DONNÉES BRUTES'!A$3:A$42)-ROW('DONNÉES BRUTES'!A$3))/1000,0),11),IF('DONNÉES BRUTES'!C$3:C$42="Energy",'DONNÉES BRUTES'!AB$3:AB$42+(ROW('DONNÉES BRUTES'!A$3:A$42)-ROW('DONNÉES BRUTES'!A$3))/1000,0),0))),"—")</f>
        <v/>
      </c>
      <c r="G21">
        <f t="array" ref="G21">IFERROR(IF(11&gt;COUNTIF('DONNÉES BRUTES'!C$3:C$42,"Energy"),"",INDEX('DONNÉES BRUTES'!Z$3:Z$42,MATCH(LARGE(IF('DONNÉES BRUTES'!C$3:C$42="Energy",'DONNÉES BRUTES'!AB$3:AB$42+(ROW('DONNÉES BRUTES'!A$3:A$42)-ROW('DONNÉES BRUTES'!A$3))/1000,0),11),IF('DONNÉES BRUTES'!C$3:C$42="Energy",'DONNÉES BRUTES'!AB$3:AB$42+(ROW('DONNÉES BRUTES'!A$3:A$42)-ROW('DONNÉES BRUTES'!A$3))/1000,0),0))),"—")</f>
        <v/>
      </c>
      <c r="H21">
        <f t="array" ref="H21">IFERROR(IF(11&gt;COUNTIF('DONNÉES BRUTES'!C$3:C$42,"Energy"),"",INDEX('DONNÉES BRUTES'!AA$3:AA$42,MATCH(LARGE(IF('DONNÉES BRUTES'!C$3:C$42="Energy",'DONNÉES BRUTES'!AB$3:AB$42+(ROW('DONNÉES BRUTES'!A$3:A$42)-ROW('DONNÉES BRUTES'!A$3))/1000,0),11),IF('DONNÉES BRUTES'!C$3:C$42="Energy",'DONNÉES BRUTES'!AB$3:AB$42+(ROW('DONNÉES BRUTES'!A$3:A$42)-ROW('DONNÉES BRUTES'!A$3))/1000,0),0))),"—")</f>
        <v/>
      </c>
      <c r="I21">
        <f t="array" ref="I21">IFERROR(IF(11&gt;COUNTIF('DONNÉES BRUTES'!C$3:C$42,"Energy"),"",INDEX('DONNÉES BRUTES'!M$3:M$42,MATCH(LARGE(IF('DONNÉES BRUTES'!C$3:C$42="Energy",'DONNÉES BRUTES'!AB$3:AB$42+(ROW('DONNÉES BRUTES'!A$3:A$42)-ROW('DONNÉES BRUTES'!A$3))/1000,0),11),IF('DONNÉES BRUTES'!C$3:C$42="Energy",'DONNÉES BRUTES'!AB$3:AB$42+(ROW('DONNÉES BRUTES'!A$3:A$42)-ROW('DONNÉES BRUTES'!A$3))/1000,0),0))),"—")</f>
        <v/>
      </c>
      <c r="J21">
        <f t="array" ref="J21">IFERROR(IF(11&gt;COUNTIF('DONNÉES BRUTES'!C$3:C$42,"Energy"),"",INDEX('DONNÉES BRUTES'!N$3:N$42,MATCH(LARGE(IF('DONNÉES BRUTES'!C$3:C$42="Energy",'DONNÉES BRUTES'!AB$3:AB$42+(ROW('DONNÉES BRUTES'!A$3:A$42)-ROW('DONNÉES BRUTES'!A$3))/1000,0),11),IF('DONNÉES BRUTES'!C$3:C$42="Energy",'DONNÉES BRUTES'!AB$3:AB$42+(ROW('DONNÉES BRUTES'!A$3:A$42)-ROW('DONNÉES BRUTES'!A$3))/1000,0),0))),"—")</f>
        <v/>
      </c>
      <c r="K21">
        <f t="array" ref="K21">IFERROR(IF(11&gt;COUNTIF('DONNÉES BRUTES'!C$3:C$42,"Energy"),"",INDEX('DONNÉES BRUTES'!O$3:O$42,MATCH(LARGE(IF('DONNÉES BRUTES'!C$3:C$42="Energy",'DONNÉES BRUTES'!AB$3:AB$42+(ROW('DONNÉES BRUTES'!A$3:A$42)-ROW('DONNÉES BRUTES'!A$3))/1000,0),11),IF('DONNÉES BRUTES'!C$3:C$42="Energy",'DONNÉES BRUTES'!AB$3:AB$42+(ROW('DONNÉES BRUTES'!A$3:A$42)-ROW('DONNÉES BRUTES'!A$3))/1000,0),0))),"—")</f>
        <v/>
      </c>
      <c r="L21">
        <f t="array" ref="L21">IFERROR(IF(11&gt;COUNTIF('DONNÉES BRUTES'!C$3:C$42,"Energy"),"",INDEX('DONNÉES BRUTES'!P$3:P$42,MATCH(LARGE(IF('DONNÉES BRUTES'!C$3:C$42="Energy",'DONNÉES BRUTES'!AB$3:AB$42+(ROW('DONNÉES BRUTES'!A$3:A$42)-ROW('DONNÉES BRUTES'!A$3))/1000,0),11),IF('DONNÉES BRUTES'!C$3:C$42="Energy",'DONNÉES BRUTES'!AB$3:AB$42+(ROW('DONNÉES BRUTES'!A$3:A$42)-ROW('DONNÉES BRUTES'!A$3))/1000,0),0))),"—")</f>
        <v/>
      </c>
      <c r="M21">
        <f t="array" ref="M21">IFERROR(IF(11&gt;COUNTIF('DONNÉES BRUTES'!C$3:C$42,"Energy"),"",INDEX('DONNÉES BRUTES'!Q$3:Q$42,MATCH(LARGE(IF('DONNÉES BRUTES'!C$3:C$42="Energy",'DONNÉES BRUTES'!AB$3:AB$42+(ROW('DONNÉES BRUTES'!A$3:A$42)-ROW('DONNÉES BRUTES'!A$3))/1000,0),11),IF('DONNÉES BRUTES'!C$3:C$42="Energy",'DONNÉES BRUTES'!AB$3:AB$42+(ROW('DONNÉES BRUTES'!A$3:A$42)-ROW('DONNÉES BRUTES'!A$3))/1000,0),0))),"—")</f>
        <v/>
      </c>
      <c r="N21">
        <f t="array" ref="N21">IFERROR(IF(11&gt;COUNTIF('DONNÉES BRUTES'!C$3:C$42,"Energy"),"",INDEX('DONNÉES BRUTES'!S$3:S$42,MATCH(LARGE(IF('DONNÉES BRUTES'!C$3:C$42="Energy",'DONNÉES BRUTES'!AB$3:AB$42+(ROW('DONNÉES BRUTES'!A$3:A$42)-ROW('DONNÉES BRUTES'!A$3))/1000,0),11),IF('DONNÉES BRUTES'!C$3:C$42="Energy",'DONNÉES BRUTES'!AB$3:AB$42+(ROW('DONNÉES BRUTES'!A$3:A$42)-ROW('DONNÉES BRUTES'!A$3))/1000,0),0))),"—")</f>
        <v/>
      </c>
      <c r="O21">
        <f t="array" ref="O21">IFERROR(IF(11&gt;COUNTIF('DONNÉES BRUTES'!C$3:C$42,"Energy"),"",INDEX('DONNÉES BRUTES'!T$3:T$42,MATCH(LARGE(IF('DONNÉES BRUTES'!C$3:C$42="Energy",'DONNÉES BRUTES'!AB$3:AB$42+(ROW('DONNÉES BRUTES'!A$3:A$42)-ROW('DONNÉES BRUTES'!A$3))/1000,0),11),IF('DONNÉES BRUTES'!C$3:C$42="Energy",'DONNÉES BRUTES'!AB$3:AB$42+(ROW('DONNÉES BRUTES'!A$3:A$42)-ROW('DONNÉES BRUTES'!A$3))/1000,0),0))),"—")</f>
        <v/>
      </c>
      <c r="P21">
        <f t="array" ref="P21">IFERROR(IF(11&gt;COUNTIF('DONNÉES BRUTES'!C$3:C$42,"Energy"),"",INDEX('DONNÉES BRUTES'!U$3:U$42,MATCH(LARGE(IF('DONNÉES BRUTES'!C$3:C$42="Energy",'DONNÉES BRUTES'!AB$3:AB$42+(ROW('DONNÉES BRUTES'!A$3:A$42)-ROW('DONNÉES BRUTES'!A$3))/1000,0),11),IF('DONNÉES BRUTES'!C$3:C$42="Energy",'DONNÉES BRUTES'!AB$3:AB$42+(ROW('DONNÉES BRUTES'!A$3:A$42)-ROW('DONNÉES BRUTES'!A$3))/1000,0),0))),"—")</f>
        <v/>
      </c>
      <c r="Q21">
        <f t="array" ref="Q21">IFERROR(IF(11&gt;COUNTIF('DONNÉES BRUTES'!C$3:C$42,"Energy"),"",INDEX('DONNÉES BRUTES'!AD$3:AD$42,MATCH(LARGE(IF('DONNÉES BRUTES'!C$3:C$42="Energy",'DONNÉES BRUTES'!AB$3:AB$42+(ROW('DONNÉES BRUTES'!A$3:A$42)-ROW('DONNÉES BRUTES'!A$3))/1000,0),11),IF('DONNÉES BRUTES'!C$3:C$42="Energy",'DONNÉES BRUTES'!AB$3:AB$42+(ROW('DONNÉES BRUTES'!A$3:A$42)-ROW('DONNÉES BRUTES'!A$3))/1000,0),0))),"—")</f>
        <v/>
      </c>
    </row>
    <row r="22" ht="15.95" customHeight="1">
      <c r="B22">
        <f>IF(12&gt;COUNTIF('DONNÉES BRUTES'!C$3:C$42,"Energy"),"",12)</f>
        <v/>
      </c>
      <c r="C22">
        <f t="array" ref="C22">IFERROR(IF(12&gt;COUNTIF('DONNÉES BRUTES'!C$3:C$42,"Energy"),"",INDEX('DONNÉES BRUTES'!A$3:A$42,MATCH(LARGE(IF('DONNÉES BRUTES'!C$3:C$42="Energy",'DONNÉES BRUTES'!AB$3:AB$42+(ROW('DONNÉES BRUTES'!A$3:A$42)-ROW('DONNÉES BRUTES'!A$3))/1000,0),12),IF('DONNÉES BRUTES'!C$3:C$42="Energy",'DONNÉES BRUTES'!AB$3:AB$42+(ROW('DONNÉES BRUTES'!A$3:A$42)-ROW('DONNÉES BRUTES'!A$3))/1000,0),0))),"—")</f>
        <v/>
      </c>
      <c r="D22">
        <f t="array" ref="D22">IFERROR(IF(12&gt;COUNTIF('DONNÉES BRUTES'!C$3:C$42,"Energy"),"",INDEX('DONNÉES BRUTES'!B$3:B$42,MATCH(LARGE(IF('DONNÉES BRUTES'!C$3:C$42="Energy",'DONNÉES BRUTES'!AB$3:AB$42+(ROW('DONNÉES BRUTES'!A$3:A$42)-ROW('DONNÉES BRUTES'!A$3))/1000,0),12),IF('DONNÉES BRUTES'!C$3:C$42="Energy",'DONNÉES BRUTES'!AB$3:AB$42+(ROW('DONNÉES BRUTES'!A$3:A$42)-ROW('DONNÉES BRUTES'!A$3))/1000,0),0))),"—")</f>
        <v/>
      </c>
      <c r="E22">
        <f t="array" ref="E22">IFERROR(IF(12&gt;COUNTIF('DONNÉES BRUTES'!C$3:C$42,"Energy"),"",INT(LARGE(IF('DONNÉES BRUTES'!C$3:C$42="Energy",'DONNÉES BRUTES'!AB$3:AB$42+(ROW('DONNÉES BRUTES'!A$3:A$42)-ROW('DONNÉES BRUTES'!A$3))/1000,0),12))&amp;"/100"),"—")</f>
        <v/>
      </c>
      <c r="F22">
        <f t="array" ref="F22">IFERROR(IF(12&gt;COUNTIF('DONNÉES BRUTES'!C$3:C$42,"Energy"),"",INDEX('DONNÉES BRUTES'!Y$3:Y$42,MATCH(LARGE(IF('DONNÉES BRUTES'!C$3:C$42="Energy",'DONNÉES BRUTES'!AB$3:AB$42+(ROW('DONNÉES BRUTES'!A$3:A$42)-ROW('DONNÉES BRUTES'!A$3))/1000,0),12),IF('DONNÉES BRUTES'!C$3:C$42="Energy",'DONNÉES BRUTES'!AB$3:AB$42+(ROW('DONNÉES BRUTES'!A$3:A$42)-ROW('DONNÉES BRUTES'!A$3))/1000,0),0))),"—")</f>
        <v/>
      </c>
      <c r="G22">
        <f t="array" ref="G22">IFERROR(IF(12&gt;COUNTIF('DONNÉES BRUTES'!C$3:C$42,"Energy"),"",INDEX('DONNÉES BRUTES'!Z$3:Z$42,MATCH(LARGE(IF('DONNÉES BRUTES'!C$3:C$42="Energy",'DONNÉES BRUTES'!AB$3:AB$42+(ROW('DONNÉES BRUTES'!A$3:A$42)-ROW('DONNÉES BRUTES'!A$3))/1000,0),12),IF('DONNÉES BRUTES'!C$3:C$42="Energy",'DONNÉES BRUTES'!AB$3:AB$42+(ROW('DONNÉES BRUTES'!A$3:A$42)-ROW('DONNÉES BRUTES'!A$3))/1000,0),0))),"—")</f>
        <v/>
      </c>
      <c r="H22">
        <f t="array" ref="H22">IFERROR(IF(12&gt;COUNTIF('DONNÉES BRUTES'!C$3:C$42,"Energy"),"",INDEX('DONNÉES BRUTES'!AA$3:AA$42,MATCH(LARGE(IF('DONNÉES BRUTES'!C$3:C$42="Energy",'DONNÉES BRUTES'!AB$3:AB$42+(ROW('DONNÉES BRUTES'!A$3:A$42)-ROW('DONNÉES BRUTES'!A$3))/1000,0),12),IF('DONNÉES BRUTES'!C$3:C$42="Energy",'DONNÉES BRUTES'!AB$3:AB$42+(ROW('DONNÉES BRUTES'!A$3:A$42)-ROW('DONNÉES BRUTES'!A$3))/1000,0),0))),"—")</f>
        <v/>
      </c>
      <c r="I22">
        <f t="array" ref="I22">IFERROR(IF(12&gt;COUNTIF('DONNÉES BRUTES'!C$3:C$42,"Energy"),"",INDEX('DONNÉES BRUTES'!M$3:M$42,MATCH(LARGE(IF('DONNÉES BRUTES'!C$3:C$42="Energy",'DONNÉES BRUTES'!AB$3:AB$42+(ROW('DONNÉES BRUTES'!A$3:A$42)-ROW('DONNÉES BRUTES'!A$3))/1000,0),12),IF('DONNÉES BRUTES'!C$3:C$42="Energy",'DONNÉES BRUTES'!AB$3:AB$42+(ROW('DONNÉES BRUTES'!A$3:A$42)-ROW('DONNÉES BRUTES'!A$3))/1000,0),0))),"—")</f>
        <v/>
      </c>
      <c r="J22">
        <f t="array" ref="J22">IFERROR(IF(12&gt;COUNTIF('DONNÉES BRUTES'!C$3:C$42,"Energy"),"",INDEX('DONNÉES BRUTES'!N$3:N$42,MATCH(LARGE(IF('DONNÉES BRUTES'!C$3:C$42="Energy",'DONNÉES BRUTES'!AB$3:AB$42+(ROW('DONNÉES BRUTES'!A$3:A$42)-ROW('DONNÉES BRUTES'!A$3))/1000,0),12),IF('DONNÉES BRUTES'!C$3:C$42="Energy",'DONNÉES BRUTES'!AB$3:AB$42+(ROW('DONNÉES BRUTES'!A$3:A$42)-ROW('DONNÉES BRUTES'!A$3))/1000,0),0))),"—")</f>
        <v/>
      </c>
      <c r="K22">
        <f t="array" ref="K22">IFERROR(IF(12&gt;COUNTIF('DONNÉES BRUTES'!C$3:C$42,"Energy"),"",INDEX('DONNÉES BRUTES'!O$3:O$42,MATCH(LARGE(IF('DONNÉES BRUTES'!C$3:C$42="Energy",'DONNÉES BRUTES'!AB$3:AB$42+(ROW('DONNÉES BRUTES'!A$3:A$42)-ROW('DONNÉES BRUTES'!A$3))/1000,0),12),IF('DONNÉES BRUTES'!C$3:C$42="Energy",'DONNÉES BRUTES'!AB$3:AB$42+(ROW('DONNÉES BRUTES'!A$3:A$42)-ROW('DONNÉES BRUTES'!A$3))/1000,0),0))),"—")</f>
        <v/>
      </c>
      <c r="L22">
        <f t="array" ref="L22">IFERROR(IF(12&gt;COUNTIF('DONNÉES BRUTES'!C$3:C$42,"Energy"),"",INDEX('DONNÉES BRUTES'!P$3:P$42,MATCH(LARGE(IF('DONNÉES BRUTES'!C$3:C$42="Energy",'DONNÉES BRUTES'!AB$3:AB$42+(ROW('DONNÉES BRUTES'!A$3:A$42)-ROW('DONNÉES BRUTES'!A$3))/1000,0),12),IF('DONNÉES BRUTES'!C$3:C$42="Energy",'DONNÉES BRUTES'!AB$3:AB$42+(ROW('DONNÉES BRUTES'!A$3:A$42)-ROW('DONNÉES BRUTES'!A$3))/1000,0),0))),"—")</f>
        <v/>
      </c>
      <c r="M22">
        <f t="array" ref="M22">IFERROR(IF(12&gt;COUNTIF('DONNÉES BRUTES'!C$3:C$42,"Energy"),"",INDEX('DONNÉES BRUTES'!Q$3:Q$42,MATCH(LARGE(IF('DONNÉES BRUTES'!C$3:C$42="Energy",'DONNÉES BRUTES'!AB$3:AB$42+(ROW('DONNÉES BRUTES'!A$3:A$42)-ROW('DONNÉES BRUTES'!A$3))/1000,0),12),IF('DONNÉES BRUTES'!C$3:C$42="Energy",'DONNÉES BRUTES'!AB$3:AB$42+(ROW('DONNÉES BRUTES'!A$3:A$42)-ROW('DONNÉES BRUTES'!A$3))/1000,0),0))),"—")</f>
        <v/>
      </c>
      <c r="N22">
        <f t="array" ref="N22">IFERROR(IF(12&gt;COUNTIF('DONNÉES BRUTES'!C$3:C$42,"Energy"),"",INDEX('DONNÉES BRUTES'!S$3:S$42,MATCH(LARGE(IF('DONNÉES BRUTES'!C$3:C$42="Energy",'DONNÉES BRUTES'!AB$3:AB$42+(ROW('DONNÉES BRUTES'!A$3:A$42)-ROW('DONNÉES BRUTES'!A$3))/1000,0),12),IF('DONNÉES BRUTES'!C$3:C$42="Energy",'DONNÉES BRUTES'!AB$3:AB$42+(ROW('DONNÉES BRUTES'!A$3:A$42)-ROW('DONNÉES BRUTES'!A$3))/1000,0),0))),"—")</f>
        <v/>
      </c>
      <c r="O22">
        <f t="array" ref="O22">IFERROR(IF(12&gt;COUNTIF('DONNÉES BRUTES'!C$3:C$42,"Energy"),"",INDEX('DONNÉES BRUTES'!T$3:T$42,MATCH(LARGE(IF('DONNÉES BRUTES'!C$3:C$42="Energy",'DONNÉES BRUTES'!AB$3:AB$42+(ROW('DONNÉES BRUTES'!A$3:A$42)-ROW('DONNÉES BRUTES'!A$3))/1000,0),12),IF('DONNÉES BRUTES'!C$3:C$42="Energy",'DONNÉES BRUTES'!AB$3:AB$42+(ROW('DONNÉES BRUTES'!A$3:A$42)-ROW('DONNÉES BRUTES'!A$3))/1000,0),0))),"—")</f>
        <v/>
      </c>
      <c r="P22">
        <f t="array" ref="P22">IFERROR(IF(12&gt;COUNTIF('DONNÉES BRUTES'!C$3:C$42,"Energy"),"",INDEX('DONNÉES BRUTES'!U$3:U$42,MATCH(LARGE(IF('DONNÉES BRUTES'!C$3:C$42="Energy",'DONNÉES BRUTES'!AB$3:AB$42+(ROW('DONNÉES BRUTES'!A$3:A$42)-ROW('DONNÉES BRUTES'!A$3))/1000,0),12),IF('DONNÉES BRUTES'!C$3:C$42="Energy",'DONNÉES BRUTES'!AB$3:AB$42+(ROW('DONNÉES BRUTES'!A$3:A$42)-ROW('DONNÉES BRUTES'!A$3))/1000,0),0))),"—")</f>
        <v/>
      </c>
      <c r="Q22">
        <f t="array" ref="Q22">IFERROR(IF(12&gt;COUNTIF('DONNÉES BRUTES'!C$3:C$42,"Energy"),"",INDEX('DONNÉES BRUTES'!AD$3:AD$42,MATCH(LARGE(IF('DONNÉES BRUTES'!C$3:C$42="Energy",'DONNÉES BRUTES'!AB$3:AB$42+(ROW('DONNÉES BRUTES'!A$3:A$42)-ROW('DONNÉES BRUTES'!A$3))/1000,0),12),IF('DONNÉES BRUTES'!C$3:C$42="Energy",'DONNÉES BRUTES'!AB$3:AB$42+(ROW('DONNÉES BRUTES'!A$3:A$42)-ROW('DONNÉES BRUTES'!A$3))/1000,0),0))),"—")</f>
        <v/>
      </c>
    </row>
    <row r="23" ht="15.95" customHeight="1">
      <c r="B23">
        <f>IF(13&gt;COUNTIF('DONNÉES BRUTES'!C$3:C$42,"Energy"),"",13)</f>
        <v/>
      </c>
      <c r="C23">
        <f t="array" ref="C23">IFERROR(IF(13&gt;COUNTIF('DONNÉES BRUTES'!C$3:C$42,"Energy"),"",INDEX('DONNÉES BRUTES'!A$3:A$42,MATCH(LARGE(IF('DONNÉES BRUTES'!C$3:C$42="Energy",'DONNÉES BRUTES'!AB$3:AB$42+(ROW('DONNÉES BRUTES'!A$3:A$42)-ROW('DONNÉES BRUTES'!A$3))/1000,0),13),IF('DONNÉES BRUTES'!C$3:C$42="Energy",'DONNÉES BRUTES'!AB$3:AB$42+(ROW('DONNÉES BRUTES'!A$3:A$42)-ROW('DONNÉES BRUTES'!A$3))/1000,0),0))),"—")</f>
        <v/>
      </c>
      <c r="D23">
        <f t="array" ref="D23">IFERROR(IF(13&gt;COUNTIF('DONNÉES BRUTES'!C$3:C$42,"Energy"),"",INDEX('DONNÉES BRUTES'!B$3:B$42,MATCH(LARGE(IF('DONNÉES BRUTES'!C$3:C$42="Energy",'DONNÉES BRUTES'!AB$3:AB$42+(ROW('DONNÉES BRUTES'!A$3:A$42)-ROW('DONNÉES BRUTES'!A$3))/1000,0),13),IF('DONNÉES BRUTES'!C$3:C$42="Energy",'DONNÉES BRUTES'!AB$3:AB$42+(ROW('DONNÉES BRUTES'!A$3:A$42)-ROW('DONNÉES BRUTES'!A$3))/1000,0),0))),"—")</f>
        <v/>
      </c>
      <c r="E23">
        <f t="array" ref="E23">IFERROR(IF(13&gt;COUNTIF('DONNÉES BRUTES'!C$3:C$42,"Energy"),"",INT(LARGE(IF('DONNÉES BRUTES'!C$3:C$42="Energy",'DONNÉES BRUTES'!AB$3:AB$42+(ROW('DONNÉES BRUTES'!A$3:A$42)-ROW('DONNÉES BRUTES'!A$3))/1000,0),13))&amp;"/100"),"—")</f>
        <v/>
      </c>
      <c r="F23">
        <f t="array" ref="F23">IFERROR(IF(13&gt;COUNTIF('DONNÉES BRUTES'!C$3:C$42,"Energy"),"",INDEX('DONNÉES BRUTES'!Y$3:Y$42,MATCH(LARGE(IF('DONNÉES BRUTES'!C$3:C$42="Energy",'DONNÉES BRUTES'!AB$3:AB$42+(ROW('DONNÉES BRUTES'!A$3:A$42)-ROW('DONNÉES BRUTES'!A$3))/1000,0),13),IF('DONNÉES BRUTES'!C$3:C$42="Energy",'DONNÉES BRUTES'!AB$3:AB$42+(ROW('DONNÉES BRUTES'!A$3:A$42)-ROW('DONNÉES BRUTES'!A$3))/1000,0),0))),"—")</f>
        <v/>
      </c>
      <c r="G23">
        <f t="array" ref="G23">IFERROR(IF(13&gt;COUNTIF('DONNÉES BRUTES'!C$3:C$42,"Energy"),"",INDEX('DONNÉES BRUTES'!Z$3:Z$42,MATCH(LARGE(IF('DONNÉES BRUTES'!C$3:C$42="Energy",'DONNÉES BRUTES'!AB$3:AB$42+(ROW('DONNÉES BRUTES'!A$3:A$42)-ROW('DONNÉES BRUTES'!A$3))/1000,0),13),IF('DONNÉES BRUTES'!C$3:C$42="Energy",'DONNÉES BRUTES'!AB$3:AB$42+(ROW('DONNÉES BRUTES'!A$3:A$42)-ROW('DONNÉES BRUTES'!A$3))/1000,0),0))),"—")</f>
        <v/>
      </c>
      <c r="H23">
        <f t="array" ref="H23">IFERROR(IF(13&gt;COUNTIF('DONNÉES BRUTES'!C$3:C$42,"Energy"),"",INDEX('DONNÉES BRUTES'!AA$3:AA$42,MATCH(LARGE(IF('DONNÉES BRUTES'!C$3:C$42="Energy",'DONNÉES BRUTES'!AB$3:AB$42+(ROW('DONNÉES BRUTES'!A$3:A$42)-ROW('DONNÉES BRUTES'!A$3))/1000,0),13),IF('DONNÉES BRUTES'!C$3:C$42="Energy",'DONNÉES BRUTES'!AB$3:AB$42+(ROW('DONNÉES BRUTES'!A$3:A$42)-ROW('DONNÉES BRUTES'!A$3))/1000,0),0))),"—")</f>
        <v/>
      </c>
      <c r="I23">
        <f t="array" ref="I23">IFERROR(IF(13&gt;COUNTIF('DONNÉES BRUTES'!C$3:C$42,"Energy"),"",INDEX('DONNÉES BRUTES'!M$3:M$42,MATCH(LARGE(IF('DONNÉES BRUTES'!C$3:C$42="Energy",'DONNÉES BRUTES'!AB$3:AB$42+(ROW('DONNÉES BRUTES'!A$3:A$42)-ROW('DONNÉES BRUTES'!A$3))/1000,0),13),IF('DONNÉES BRUTES'!C$3:C$42="Energy",'DONNÉES BRUTES'!AB$3:AB$42+(ROW('DONNÉES BRUTES'!A$3:A$42)-ROW('DONNÉES BRUTES'!A$3))/1000,0),0))),"—")</f>
        <v/>
      </c>
      <c r="J23">
        <f t="array" ref="J23">IFERROR(IF(13&gt;COUNTIF('DONNÉES BRUTES'!C$3:C$42,"Energy"),"",INDEX('DONNÉES BRUTES'!N$3:N$42,MATCH(LARGE(IF('DONNÉES BRUTES'!C$3:C$42="Energy",'DONNÉES BRUTES'!AB$3:AB$42+(ROW('DONNÉES BRUTES'!A$3:A$42)-ROW('DONNÉES BRUTES'!A$3))/1000,0),13),IF('DONNÉES BRUTES'!C$3:C$42="Energy",'DONNÉES BRUTES'!AB$3:AB$42+(ROW('DONNÉES BRUTES'!A$3:A$42)-ROW('DONNÉES BRUTES'!A$3))/1000,0),0))),"—")</f>
        <v/>
      </c>
      <c r="K23">
        <f t="array" ref="K23">IFERROR(IF(13&gt;COUNTIF('DONNÉES BRUTES'!C$3:C$42,"Energy"),"",INDEX('DONNÉES BRUTES'!O$3:O$42,MATCH(LARGE(IF('DONNÉES BRUTES'!C$3:C$42="Energy",'DONNÉES BRUTES'!AB$3:AB$42+(ROW('DONNÉES BRUTES'!A$3:A$42)-ROW('DONNÉES BRUTES'!A$3))/1000,0),13),IF('DONNÉES BRUTES'!C$3:C$42="Energy",'DONNÉES BRUTES'!AB$3:AB$42+(ROW('DONNÉES BRUTES'!A$3:A$42)-ROW('DONNÉES BRUTES'!A$3))/1000,0),0))),"—")</f>
        <v/>
      </c>
      <c r="L23">
        <f t="array" ref="L23">IFERROR(IF(13&gt;COUNTIF('DONNÉES BRUTES'!C$3:C$42,"Energy"),"",INDEX('DONNÉES BRUTES'!P$3:P$42,MATCH(LARGE(IF('DONNÉES BRUTES'!C$3:C$42="Energy",'DONNÉES BRUTES'!AB$3:AB$42+(ROW('DONNÉES BRUTES'!A$3:A$42)-ROW('DONNÉES BRUTES'!A$3))/1000,0),13),IF('DONNÉES BRUTES'!C$3:C$42="Energy",'DONNÉES BRUTES'!AB$3:AB$42+(ROW('DONNÉES BRUTES'!A$3:A$42)-ROW('DONNÉES BRUTES'!A$3))/1000,0),0))),"—")</f>
        <v/>
      </c>
      <c r="M23">
        <f t="array" ref="M23">IFERROR(IF(13&gt;COUNTIF('DONNÉES BRUTES'!C$3:C$42,"Energy"),"",INDEX('DONNÉES BRUTES'!Q$3:Q$42,MATCH(LARGE(IF('DONNÉES BRUTES'!C$3:C$42="Energy",'DONNÉES BRUTES'!AB$3:AB$42+(ROW('DONNÉES BRUTES'!A$3:A$42)-ROW('DONNÉES BRUTES'!A$3))/1000,0),13),IF('DONNÉES BRUTES'!C$3:C$42="Energy",'DONNÉES BRUTES'!AB$3:AB$42+(ROW('DONNÉES BRUTES'!A$3:A$42)-ROW('DONNÉES BRUTES'!A$3))/1000,0),0))),"—")</f>
        <v/>
      </c>
      <c r="N23">
        <f t="array" ref="N23">IFERROR(IF(13&gt;COUNTIF('DONNÉES BRUTES'!C$3:C$42,"Energy"),"",INDEX('DONNÉES BRUTES'!S$3:S$42,MATCH(LARGE(IF('DONNÉES BRUTES'!C$3:C$42="Energy",'DONNÉES BRUTES'!AB$3:AB$42+(ROW('DONNÉES BRUTES'!A$3:A$42)-ROW('DONNÉES BRUTES'!A$3))/1000,0),13),IF('DONNÉES BRUTES'!C$3:C$42="Energy",'DONNÉES BRUTES'!AB$3:AB$42+(ROW('DONNÉES BRUTES'!A$3:A$42)-ROW('DONNÉES BRUTES'!A$3))/1000,0),0))),"—")</f>
        <v/>
      </c>
      <c r="O23">
        <f t="array" ref="O23">IFERROR(IF(13&gt;COUNTIF('DONNÉES BRUTES'!C$3:C$42,"Energy"),"",INDEX('DONNÉES BRUTES'!T$3:T$42,MATCH(LARGE(IF('DONNÉES BRUTES'!C$3:C$42="Energy",'DONNÉES BRUTES'!AB$3:AB$42+(ROW('DONNÉES BRUTES'!A$3:A$42)-ROW('DONNÉES BRUTES'!A$3))/1000,0),13),IF('DONNÉES BRUTES'!C$3:C$42="Energy",'DONNÉES BRUTES'!AB$3:AB$42+(ROW('DONNÉES BRUTES'!A$3:A$42)-ROW('DONNÉES BRUTES'!A$3))/1000,0),0))),"—")</f>
        <v/>
      </c>
      <c r="P23">
        <f t="array" ref="P23">IFERROR(IF(13&gt;COUNTIF('DONNÉES BRUTES'!C$3:C$42,"Energy"),"",INDEX('DONNÉES BRUTES'!U$3:U$42,MATCH(LARGE(IF('DONNÉES BRUTES'!C$3:C$42="Energy",'DONNÉES BRUTES'!AB$3:AB$42+(ROW('DONNÉES BRUTES'!A$3:A$42)-ROW('DONNÉES BRUTES'!A$3))/1000,0),13),IF('DONNÉES BRUTES'!C$3:C$42="Energy",'DONNÉES BRUTES'!AB$3:AB$42+(ROW('DONNÉES BRUTES'!A$3:A$42)-ROW('DONNÉES BRUTES'!A$3))/1000,0),0))),"—")</f>
        <v/>
      </c>
      <c r="Q23">
        <f t="array" ref="Q23">IFERROR(IF(13&gt;COUNTIF('DONNÉES BRUTES'!C$3:C$42,"Energy"),"",INDEX('DONNÉES BRUTES'!AD$3:AD$42,MATCH(LARGE(IF('DONNÉES BRUTES'!C$3:C$42="Energy",'DONNÉES BRUTES'!AB$3:AB$42+(ROW('DONNÉES BRUTES'!A$3:A$42)-ROW('DONNÉES BRUTES'!A$3))/1000,0),13),IF('DONNÉES BRUTES'!C$3:C$42="Energy",'DONNÉES BRUTES'!AB$3:AB$42+(ROW('DONNÉES BRUTES'!A$3:A$42)-ROW('DONNÉES BRUTES'!A$3))/1000,0),0))),"—")</f>
        <v/>
      </c>
    </row>
    <row r="24" ht="15.95" customHeight="1">
      <c r="B24">
        <f>IF(14&gt;COUNTIF('DONNÉES BRUTES'!C$3:C$42,"Energy"),"",14)</f>
        <v/>
      </c>
      <c r="C24">
        <f t="array" ref="C24">IFERROR(IF(14&gt;COUNTIF('DONNÉES BRUTES'!C$3:C$42,"Energy"),"",INDEX('DONNÉES BRUTES'!A$3:A$42,MATCH(LARGE(IF('DONNÉES BRUTES'!C$3:C$42="Energy",'DONNÉES BRUTES'!AB$3:AB$42+(ROW('DONNÉES BRUTES'!A$3:A$42)-ROW('DONNÉES BRUTES'!A$3))/1000,0),14),IF('DONNÉES BRUTES'!C$3:C$42="Energy",'DONNÉES BRUTES'!AB$3:AB$42+(ROW('DONNÉES BRUTES'!A$3:A$42)-ROW('DONNÉES BRUTES'!A$3))/1000,0),0))),"—")</f>
        <v/>
      </c>
      <c r="D24">
        <f t="array" ref="D24">IFERROR(IF(14&gt;COUNTIF('DONNÉES BRUTES'!C$3:C$42,"Energy"),"",INDEX('DONNÉES BRUTES'!B$3:B$42,MATCH(LARGE(IF('DONNÉES BRUTES'!C$3:C$42="Energy",'DONNÉES BRUTES'!AB$3:AB$42+(ROW('DONNÉES BRUTES'!A$3:A$42)-ROW('DONNÉES BRUTES'!A$3))/1000,0),14),IF('DONNÉES BRUTES'!C$3:C$42="Energy",'DONNÉES BRUTES'!AB$3:AB$42+(ROW('DONNÉES BRUTES'!A$3:A$42)-ROW('DONNÉES BRUTES'!A$3))/1000,0),0))),"—")</f>
        <v/>
      </c>
      <c r="E24">
        <f t="array" ref="E24">IFERROR(IF(14&gt;COUNTIF('DONNÉES BRUTES'!C$3:C$42,"Energy"),"",INT(LARGE(IF('DONNÉES BRUTES'!C$3:C$42="Energy",'DONNÉES BRUTES'!AB$3:AB$42+(ROW('DONNÉES BRUTES'!A$3:A$42)-ROW('DONNÉES BRUTES'!A$3))/1000,0),14))&amp;"/100"),"—")</f>
        <v/>
      </c>
      <c r="F24">
        <f t="array" ref="F24">IFERROR(IF(14&gt;COUNTIF('DONNÉES BRUTES'!C$3:C$42,"Energy"),"",INDEX('DONNÉES BRUTES'!Y$3:Y$42,MATCH(LARGE(IF('DONNÉES BRUTES'!C$3:C$42="Energy",'DONNÉES BRUTES'!AB$3:AB$42+(ROW('DONNÉES BRUTES'!A$3:A$42)-ROW('DONNÉES BRUTES'!A$3))/1000,0),14),IF('DONNÉES BRUTES'!C$3:C$42="Energy",'DONNÉES BRUTES'!AB$3:AB$42+(ROW('DONNÉES BRUTES'!A$3:A$42)-ROW('DONNÉES BRUTES'!A$3))/1000,0),0))),"—")</f>
        <v/>
      </c>
      <c r="G24">
        <f t="array" ref="G24">IFERROR(IF(14&gt;COUNTIF('DONNÉES BRUTES'!C$3:C$42,"Energy"),"",INDEX('DONNÉES BRUTES'!Z$3:Z$42,MATCH(LARGE(IF('DONNÉES BRUTES'!C$3:C$42="Energy",'DONNÉES BRUTES'!AB$3:AB$42+(ROW('DONNÉES BRUTES'!A$3:A$42)-ROW('DONNÉES BRUTES'!A$3))/1000,0),14),IF('DONNÉES BRUTES'!C$3:C$42="Energy",'DONNÉES BRUTES'!AB$3:AB$42+(ROW('DONNÉES BRUTES'!A$3:A$42)-ROW('DONNÉES BRUTES'!A$3))/1000,0),0))),"—")</f>
        <v/>
      </c>
      <c r="H24">
        <f t="array" ref="H24">IFERROR(IF(14&gt;COUNTIF('DONNÉES BRUTES'!C$3:C$42,"Energy"),"",INDEX('DONNÉES BRUTES'!AA$3:AA$42,MATCH(LARGE(IF('DONNÉES BRUTES'!C$3:C$42="Energy",'DONNÉES BRUTES'!AB$3:AB$42+(ROW('DONNÉES BRUTES'!A$3:A$42)-ROW('DONNÉES BRUTES'!A$3))/1000,0),14),IF('DONNÉES BRUTES'!C$3:C$42="Energy",'DONNÉES BRUTES'!AB$3:AB$42+(ROW('DONNÉES BRUTES'!A$3:A$42)-ROW('DONNÉES BRUTES'!A$3))/1000,0),0))),"—")</f>
        <v/>
      </c>
      <c r="I24">
        <f t="array" ref="I24">IFERROR(IF(14&gt;COUNTIF('DONNÉES BRUTES'!C$3:C$42,"Energy"),"",INDEX('DONNÉES BRUTES'!M$3:M$42,MATCH(LARGE(IF('DONNÉES BRUTES'!C$3:C$42="Energy",'DONNÉES BRUTES'!AB$3:AB$42+(ROW('DONNÉES BRUTES'!A$3:A$42)-ROW('DONNÉES BRUTES'!A$3))/1000,0),14),IF('DONNÉES BRUTES'!C$3:C$42="Energy",'DONNÉES BRUTES'!AB$3:AB$42+(ROW('DONNÉES BRUTES'!A$3:A$42)-ROW('DONNÉES BRUTES'!A$3))/1000,0),0))),"—")</f>
        <v/>
      </c>
      <c r="J24">
        <f t="array" ref="J24">IFERROR(IF(14&gt;COUNTIF('DONNÉES BRUTES'!C$3:C$42,"Energy"),"",INDEX('DONNÉES BRUTES'!N$3:N$42,MATCH(LARGE(IF('DONNÉES BRUTES'!C$3:C$42="Energy",'DONNÉES BRUTES'!AB$3:AB$42+(ROW('DONNÉES BRUTES'!A$3:A$42)-ROW('DONNÉES BRUTES'!A$3))/1000,0),14),IF('DONNÉES BRUTES'!C$3:C$42="Energy",'DONNÉES BRUTES'!AB$3:AB$42+(ROW('DONNÉES BRUTES'!A$3:A$42)-ROW('DONNÉES BRUTES'!A$3))/1000,0),0))),"—")</f>
        <v/>
      </c>
      <c r="K24">
        <f t="array" ref="K24">IFERROR(IF(14&gt;COUNTIF('DONNÉES BRUTES'!C$3:C$42,"Energy"),"",INDEX('DONNÉES BRUTES'!O$3:O$42,MATCH(LARGE(IF('DONNÉES BRUTES'!C$3:C$42="Energy",'DONNÉES BRUTES'!AB$3:AB$42+(ROW('DONNÉES BRUTES'!A$3:A$42)-ROW('DONNÉES BRUTES'!A$3))/1000,0),14),IF('DONNÉES BRUTES'!C$3:C$42="Energy",'DONNÉES BRUTES'!AB$3:AB$42+(ROW('DONNÉES BRUTES'!A$3:A$42)-ROW('DONNÉES BRUTES'!A$3))/1000,0),0))),"—")</f>
        <v/>
      </c>
      <c r="L24">
        <f t="array" ref="L24">IFERROR(IF(14&gt;COUNTIF('DONNÉES BRUTES'!C$3:C$42,"Energy"),"",INDEX('DONNÉES BRUTES'!P$3:P$42,MATCH(LARGE(IF('DONNÉES BRUTES'!C$3:C$42="Energy",'DONNÉES BRUTES'!AB$3:AB$42+(ROW('DONNÉES BRUTES'!A$3:A$42)-ROW('DONNÉES BRUTES'!A$3))/1000,0),14),IF('DONNÉES BRUTES'!C$3:C$42="Energy",'DONNÉES BRUTES'!AB$3:AB$42+(ROW('DONNÉES BRUTES'!A$3:A$42)-ROW('DONNÉES BRUTES'!A$3))/1000,0),0))),"—")</f>
        <v/>
      </c>
      <c r="M24">
        <f t="array" ref="M24">IFERROR(IF(14&gt;COUNTIF('DONNÉES BRUTES'!C$3:C$42,"Energy"),"",INDEX('DONNÉES BRUTES'!Q$3:Q$42,MATCH(LARGE(IF('DONNÉES BRUTES'!C$3:C$42="Energy",'DONNÉES BRUTES'!AB$3:AB$42+(ROW('DONNÉES BRUTES'!A$3:A$42)-ROW('DONNÉES BRUTES'!A$3))/1000,0),14),IF('DONNÉES BRUTES'!C$3:C$42="Energy",'DONNÉES BRUTES'!AB$3:AB$42+(ROW('DONNÉES BRUTES'!A$3:A$42)-ROW('DONNÉES BRUTES'!A$3))/1000,0),0))),"—")</f>
        <v/>
      </c>
      <c r="N24">
        <f t="array" ref="N24">IFERROR(IF(14&gt;COUNTIF('DONNÉES BRUTES'!C$3:C$42,"Energy"),"",INDEX('DONNÉES BRUTES'!S$3:S$42,MATCH(LARGE(IF('DONNÉES BRUTES'!C$3:C$42="Energy",'DONNÉES BRUTES'!AB$3:AB$42+(ROW('DONNÉES BRUTES'!A$3:A$42)-ROW('DONNÉES BRUTES'!A$3))/1000,0),14),IF('DONNÉES BRUTES'!C$3:C$42="Energy",'DONNÉES BRUTES'!AB$3:AB$42+(ROW('DONNÉES BRUTES'!A$3:A$42)-ROW('DONNÉES BRUTES'!A$3))/1000,0),0))),"—")</f>
        <v/>
      </c>
      <c r="O24">
        <f t="array" ref="O24">IFERROR(IF(14&gt;COUNTIF('DONNÉES BRUTES'!C$3:C$42,"Energy"),"",INDEX('DONNÉES BRUTES'!T$3:T$42,MATCH(LARGE(IF('DONNÉES BRUTES'!C$3:C$42="Energy",'DONNÉES BRUTES'!AB$3:AB$42+(ROW('DONNÉES BRUTES'!A$3:A$42)-ROW('DONNÉES BRUTES'!A$3))/1000,0),14),IF('DONNÉES BRUTES'!C$3:C$42="Energy",'DONNÉES BRUTES'!AB$3:AB$42+(ROW('DONNÉES BRUTES'!A$3:A$42)-ROW('DONNÉES BRUTES'!A$3))/1000,0),0))),"—")</f>
        <v/>
      </c>
      <c r="P24">
        <f t="array" ref="P24">IFERROR(IF(14&gt;COUNTIF('DONNÉES BRUTES'!C$3:C$42,"Energy"),"",INDEX('DONNÉES BRUTES'!U$3:U$42,MATCH(LARGE(IF('DONNÉES BRUTES'!C$3:C$42="Energy",'DONNÉES BRUTES'!AB$3:AB$42+(ROW('DONNÉES BRUTES'!A$3:A$42)-ROW('DONNÉES BRUTES'!A$3))/1000,0),14),IF('DONNÉES BRUTES'!C$3:C$42="Energy",'DONNÉES BRUTES'!AB$3:AB$42+(ROW('DONNÉES BRUTES'!A$3:A$42)-ROW('DONNÉES BRUTES'!A$3))/1000,0),0))),"—")</f>
        <v/>
      </c>
      <c r="Q24">
        <f t="array" ref="Q24">IFERROR(IF(14&gt;COUNTIF('DONNÉES BRUTES'!C$3:C$42,"Energy"),"",INDEX('DONNÉES BRUTES'!AD$3:AD$42,MATCH(LARGE(IF('DONNÉES BRUTES'!C$3:C$42="Energy",'DONNÉES BRUTES'!AB$3:AB$42+(ROW('DONNÉES BRUTES'!A$3:A$42)-ROW('DONNÉES BRUTES'!A$3))/1000,0),14),IF('DONNÉES BRUTES'!C$3:C$42="Energy",'DONNÉES BRUTES'!AB$3:AB$42+(ROW('DONNÉES BRUTES'!A$3:A$42)-ROW('DONNÉES BRUTES'!A$3))/1000,0),0))),"—")</f>
        <v/>
      </c>
    </row>
    <row r="25" ht="15.95" customHeight="1">
      <c r="B25">
        <f>IF(15&gt;COUNTIF('DONNÉES BRUTES'!C$3:C$42,"Energy"),"",15)</f>
        <v/>
      </c>
      <c r="C25">
        <f t="array" ref="C25">IFERROR(IF(15&gt;COUNTIF('DONNÉES BRUTES'!C$3:C$42,"Energy"),"",INDEX('DONNÉES BRUTES'!A$3:A$42,MATCH(LARGE(IF('DONNÉES BRUTES'!C$3:C$42="Energy",'DONNÉES BRUTES'!AB$3:AB$42+(ROW('DONNÉES BRUTES'!A$3:A$42)-ROW('DONNÉES BRUTES'!A$3))/1000,0),15),IF('DONNÉES BRUTES'!C$3:C$42="Energy",'DONNÉES BRUTES'!AB$3:AB$42+(ROW('DONNÉES BRUTES'!A$3:A$42)-ROW('DONNÉES BRUTES'!A$3))/1000,0),0))),"—")</f>
        <v/>
      </c>
      <c r="D25">
        <f t="array" ref="D25">IFERROR(IF(15&gt;COUNTIF('DONNÉES BRUTES'!C$3:C$42,"Energy"),"",INDEX('DONNÉES BRUTES'!B$3:B$42,MATCH(LARGE(IF('DONNÉES BRUTES'!C$3:C$42="Energy",'DONNÉES BRUTES'!AB$3:AB$42+(ROW('DONNÉES BRUTES'!A$3:A$42)-ROW('DONNÉES BRUTES'!A$3))/1000,0),15),IF('DONNÉES BRUTES'!C$3:C$42="Energy",'DONNÉES BRUTES'!AB$3:AB$42+(ROW('DONNÉES BRUTES'!A$3:A$42)-ROW('DONNÉES BRUTES'!A$3))/1000,0),0))),"—")</f>
        <v/>
      </c>
      <c r="E25">
        <f t="array" ref="E25">IFERROR(IF(15&gt;COUNTIF('DONNÉES BRUTES'!C$3:C$42,"Energy"),"",INT(LARGE(IF('DONNÉES BRUTES'!C$3:C$42="Energy",'DONNÉES BRUTES'!AB$3:AB$42+(ROW('DONNÉES BRUTES'!A$3:A$42)-ROW('DONNÉES BRUTES'!A$3))/1000,0),15))&amp;"/100"),"—")</f>
        <v/>
      </c>
      <c r="F25">
        <f t="array" ref="F25">IFERROR(IF(15&gt;COUNTIF('DONNÉES BRUTES'!C$3:C$42,"Energy"),"",INDEX('DONNÉES BRUTES'!Y$3:Y$42,MATCH(LARGE(IF('DONNÉES BRUTES'!C$3:C$42="Energy",'DONNÉES BRUTES'!AB$3:AB$42+(ROW('DONNÉES BRUTES'!A$3:A$42)-ROW('DONNÉES BRUTES'!A$3))/1000,0),15),IF('DONNÉES BRUTES'!C$3:C$42="Energy",'DONNÉES BRUTES'!AB$3:AB$42+(ROW('DONNÉES BRUTES'!A$3:A$42)-ROW('DONNÉES BRUTES'!A$3))/1000,0),0))),"—")</f>
        <v/>
      </c>
      <c r="G25">
        <f t="array" ref="G25">IFERROR(IF(15&gt;COUNTIF('DONNÉES BRUTES'!C$3:C$42,"Energy"),"",INDEX('DONNÉES BRUTES'!Z$3:Z$42,MATCH(LARGE(IF('DONNÉES BRUTES'!C$3:C$42="Energy",'DONNÉES BRUTES'!AB$3:AB$42+(ROW('DONNÉES BRUTES'!A$3:A$42)-ROW('DONNÉES BRUTES'!A$3))/1000,0),15),IF('DONNÉES BRUTES'!C$3:C$42="Energy",'DONNÉES BRUTES'!AB$3:AB$42+(ROW('DONNÉES BRUTES'!A$3:A$42)-ROW('DONNÉES BRUTES'!A$3))/1000,0),0))),"—")</f>
        <v/>
      </c>
      <c r="H25">
        <f t="array" ref="H25">IFERROR(IF(15&gt;COUNTIF('DONNÉES BRUTES'!C$3:C$42,"Energy"),"",INDEX('DONNÉES BRUTES'!AA$3:AA$42,MATCH(LARGE(IF('DONNÉES BRUTES'!C$3:C$42="Energy",'DONNÉES BRUTES'!AB$3:AB$42+(ROW('DONNÉES BRUTES'!A$3:A$42)-ROW('DONNÉES BRUTES'!A$3))/1000,0),15),IF('DONNÉES BRUTES'!C$3:C$42="Energy",'DONNÉES BRUTES'!AB$3:AB$42+(ROW('DONNÉES BRUTES'!A$3:A$42)-ROW('DONNÉES BRUTES'!A$3))/1000,0),0))),"—")</f>
        <v/>
      </c>
      <c r="I25">
        <f t="array" ref="I25">IFERROR(IF(15&gt;COUNTIF('DONNÉES BRUTES'!C$3:C$42,"Energy"),"",INDEX('DONNÉES BRUTES'!M$3:M$42,MATCH(LARGE(IF('DONNÉES BRUTES'!C$3:C$42="Energy",'DONNÉES BRUTES'!AB$3:AB$42+(ROW('DONNÉES BRUTES'!A$3:A$42)-ROW('DONNÉES BRUTES'!A$3))/1000,0),15),IF('DONNÉES BRUTES'!C$3:C$42="Energy",'DONNÉES BRUTES'!AB$3:AB$42+(ROW('DONNÉES BRUTES'!A$3:A$42)-ROW('DONNÉES BRUTES'!A$3))/1000,0),0))),"—")</f>
        <v/>
      </c>
      <c r="J25">
        <f t="array" ref="J25">IFERROR(IF(15&gt;COUNTIF('DONNÉES BRUTES'!C$3:C$42,"Energy"),"",INDEX('DONNÉES BRUTES'!N$3:N$42,MATCH(LARGE(IF('DONNÉES BRUTES'!C$3:C$42="Energy",'DONNÉES BRUTES'!AB$3:AB$42+(ROW('DONNÉES BRUTES'!A$3:A$42)-ROW('DONNÉES BRUTES'!A$3))/1000,0),15),IF('DONNÉES BRUTES'!C$3:C$42="Energy",'DONNÉES BRUTES'!AB$3:AB$42+(ROW('DONNÉES BRUTES'!A$3:A$42)-ROW('DONNÉES BRUTES'!A$3))/1000,0),0))),"—")</f>
        <v/>
      </c>
      <c r="K25">
        <f t="array" ref="K25">IFERROR(IF(15&gt;COUNTIF('DONNÉES BRUTES'!C$3:C$42,"Energy"),"",INDEX('DONNÉES BRUTES'!O$3:O$42,MATCH(LARGE(IF('DONNÉES BRUTES'!C$3:C$42="Energy",'DONNÉES BRUTES'!AB$3:AB$42+(ROW('DONNÉES BRUTES'!A$3:A$42)-ROW('DONNÉES BRUTES'!A$3))/1000,0),15),IF('DONNÉES BRUTES'!C$3:C$42="Energy",'DONNÉES BRUTES'!AB$3:AB$42+(ROW('DONNÉES BRUTES'!A$3:A$42)-ROW('DONNÉES BRUTES'!A$3))/1000,0),0))),"—")</f>
        <v/>
      </c>
      <c r="L25">
        <f t="array" ref="L25">IFERROR(IF(15&gt;COUNTIF('DONNÉES BRUTES'!C$3:C$42,"Energy"),"",INDEX('DONNÉES BRUTES'!P$3:P$42,MATCH(LARGE(IF('DONNÉES BRUTES'!C$3:C$42="Energy",'DONNÉES BRUTES'!AB$3:AB$42+(ROW('DONNÉES BRUTES'!A$3:A$42)-ROW('DONNÉES BRUTES'!A$3))/1000,0),15),IF('DONNÉES BRUTES'!C$3:C$42="Energy",'DONNÉES BRUTES'!AB$3:AB$42+(ROW('DONNÉES BRUTES'!A$3:A$42)-ROW('DONNÉES BRUTES'!A$3))/1000,0),0))),"—")</f>
        <v/>
      </c>
      <c r="M25">
        <f t="array" ref="M25">IFERROR(IF(15&gt;COUNTIF('DONNÉES BRUTES'!C$3:C$42,"Energy"),"",INDEX('DONNÉES BRUTES'!Q$3:Q$42,MATCH(LARGE(IF('DONNÉES BRUTES'!C$3:C$42="Energy",'DONNÉES BRUTES'!AB$3:AB$42+(ROW('DONNÉES BRUTES'!A$3:A$42)-ROW('DONNÉES BRUTES'!A$3))/1000,0),15),IF('DONNÉES BRUTES'!C$3:C$42="Energy",'DONNÉES BRUTES'!AB$3:AB$42+(ROW('DONNÉES BRUTES'!A$3:A$42)-ROW('DONNÉES BRUTES'!A$3))/1000,0),0))),"—")</f>
        <v/>
      </c>
      <c r="N25">
        <f t="array" ref="N25">IFERROR(IF(15&gt;COUNTIF('DONNÉES BRUTES'!C$3:C$42,"Energy"),"",INDEX('DONNÉES BRUTES'!S$3:S$42,MATCH(LARGE(IF('DONNÉES BRUTES'!C$3:C$42="Energy",'DONNÉES BRUTES'!AB$3:AB$42+(ROW('DONNÉES BRUTES'!A$3:A$42)-ROW('DONNÉES BRUTES'!A$3))/1000,0),15),IF('DONNÉES BRUTES'!C$3:C$42="Energy",'DONNÉES BRUTES'!AB$3:AB$42+(ROW('DONNÉES BRUTES'!A$3:A$42)-ROW('DONNÉES BRUTES'!A$3))/1000,0),0))),"—")</f>
        <v/>
      </c>
      <c r="O25">
        <f t="array" ref="O25">IFERROR(IF(15&gt;COUNTIF('DONNÉES BRUTES'!C$3:C$42,"Energy"),"",INDEX('DONNÉES BRUTES'!T$3:T$42,MATCH(LARGE(IF('DONNÉES BRUTES'!C$3:C$42="Energy",'DONNÉES BRUTES'!AB$3:AB$42+(ROW('DONNÉES BRUTES'!A$3:A$42)-ROW('DONNÉES BRUTES'!A$3))/1000,0),15),IF('DONNÉES BRUTES'!C$3:C$42="Energy",'DONNÉES BRUTES'!AB$3:AB$42+(ROW('DONNÉES BRUTES'!A$3:A$42)-ROW('DONNÉES BRUTES'!A$3))/1000,0),0))),"—")</f>
        <v/>
      </c>
      <c r="P25">
        <f t="array" ref="P25">IFERROR(IF(15&gt;COUNTIF('DONNÉES BRUTES'!C$3:C$42,"Energy"),"",INDEX('DONNÉES BRUTES'!U$3:U$42,MATCH(LARGE(IF('DONNÉES BRUTES'!C$3:C$42="Energy",'DONNÉES BRUTES'!AB$3:AB$42+(ROW('DONNÉES BRUTES'!A$3:A$42)-ROW('DONNÉES BRUTES'!A$3))/1000,0),15),IF('DONNÉES BRUTES'!C$3:C$42="Energy",'DONNÉES BRUTES'!AB$3:AB$42+(ROW('DONNÉES BRUTES'!A$3:A$42)-ROW('DONNÉES BRUTES'!A$3))/1000,0),0))),"—")</f>
        <v/>
      </c>
      <c r="Q25">
        <f t="array" ref="Q25">IFERROR(IF(15&gt;COUNTIF('DONNÉES BRUTES'!C$3:C$42,"Energy"),"",INDEX('DONNÉES BRUTES'!AD$3:AD$42,MATCH(LARGE(IF('DONNÉES BRUTES'!C$3:C$42="Energy",'DONNÉES BRUTES'!AB$3:AB$42+(ROW('DONNÉES BRUTES'!A$3:A$42)-ROW('DONNÉES BRUTES'!A$3))/1000,0),15),IF('DONNÉES BRUTES'!C$3:C$42="Energy",'DONNÉES BRUTES'!AB$3:AB$42+(ROW('DONNÉES BRUTES'!A$3:A$42)-ROW('DONNÉES BRUTES'!A$3))/1000,0),0))),"—")</f>
        <v/>
      </c>
    </row>
    <row r="26" ht="15.95" customHeight="1"/>
    <row r="27" ht="15.95" customHeight="1"/>
    <row r="28" ht="15.95" customHeight="1">
      <c r="S28" s="235" t="inlineStr">
        <is>
          <t>Société</t>
        </is>
      </c>
      <c r="T28" s="235" t="inlineStr">
        <is>
          <t>Score</t>
        </is>
      </c>
      <c r="U28" s="235" t="inlineStr">
        <is>
          <t>Growth</t>
        </is>
      </c>
      <c r="V28" s="235" t="inlineStr">
        <is>
          <t>Quality</t>
        </is>
      </c>
      <c r="W28" s="235" t="inlineStr">
        <is>
          <t>Momentum</t>
        </is>
      </c>
      <c r="X28" s="235" t="n"/>
      <c r="Y28" s="235" t="inlineStr">
        <is>
          <t>Société</t>
        </is>
      </c>
      <c r="Z28" s="235" t="inlineStr">
        <is>
          <t>Growth</t>
        </is>
      </c>
      <c r="AA28" s="235" t="inlineStr">
        <is>
          <t>Quality</t>
        </is>
      </c>
      <c r="AB28" s="235" t="inlineStr">
        <is>
          <t>Momentum</t>
        </is>
      </c>
    </row>
    <row r="29" ht="15.95" customHeight="1">
      <c r="S29" s="235">
        <f>IF(D11="","",LEFT(D11,14))</f>
        <v/>
      </c>
      <c r="T29" s="235">
        <f>IF(E11="","",IFERROR(VALUE(LEFT(E11,FIND("/",E11)-1)),0))</f>
        <v/>
      </c>
      <c r="U29" s="235">
        <f>IF(ISNUMBER(F11),F11,0)</f>
        <v/>
      </c>
      <c r="V29" s="235">
        <f>IF(ISNUMBER(G11),G11,0)</f>
        <v/>
      </c>
      <c r="W29" s="235">
        <f>IF(ISNUMBER(H11),H11,0)</f>
        <v/>
      </c>
      <c r="X29" s="235">
        <f>IF(ISNUMBER(F11),F11,"")</f>
        <v/>
      </c>
      <c r="Y29" s="235">
        <f>IF(ISNUMBER(G11),G11,"")</f>
        <v/>
      </c>
      <c r="Z29" s="235">
        <f>IF(ISNUMBER(H11),H11,"")</f>
        <v/>
      </c>
      <c r="AA29" s="235" t="n">
        <v>8</v>
      </c>
      <c r="AB29" s="235" t="n">
        <v>28</v>
      </c>
    </row>
    <row r="30" ht="15.95" customHeight="1"/>
    <row r="36">
      <c r="S36" s="281" t="n"/>
    </row>
  </sheetData>
  <mergeCells count="3">
    <mergeCell ref="B2:Q2"/>
    <mergeCell ref="B1:Q1"/>
    <mergeCell ref="B8:Q8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AB30"/>
  <sheetViews>
    <sheetView showGridLines="0" zoomScale="90" workbookViewId="0">
      <selection activeCell="Q12" sqref="Q12"/>
    </sheetView>
  </sheetViews>
  <sheetFormatPr baseColWidth="10" defaultColWidth="8.85546875" defaultRowHeight="15"/>
  <cols>
    <col width="1.5703125" customWidth="1" min="1" max="1"/>
    <col width="5.28515625" customWidth="1" min="2" max="2"/>
    <col width="10.42578125" customWidth="1" min="3" max="3"/>
    <col width="21.85546875" customWidth="1" min="4" max="4"/>
    <col width="10.42578125" customWidth="1" min="5" max="5"/>
    <col width="5.28515625" customWidth="1" min="6" max="8"/>
    <col width="8.85546875" bestFit="1" customWidth="1" min="9" max="9"/>
    <col width="10.7109375" bestFit="1" customWidth="1" min="10" max="10"/>
    <col width="8.85546875" bestFit="1" customWidth="1" min="11" max="11"/>
    <col width="10.7109375" bestFit="1" customWidth="1" min="12" max="12"/>
    <col width="8" customWidth="1" min="13" max="13"/>
    <col width="7.28515625" bestFit="1" customWidth="1" min="14" max="14"/>
    <col width="10.140625" bestFit="1" customWidth="1" min="15" max="15"/>
    <col width="8.140625" bestFit="1" customWidth="1" min="16" max="16"/>
    <col width="14.140625" bestFit="1" customWidth="1" min="17" max="17"/>
  </cols>
  <sheetData>
    <row r="1" ht="30" customHeight="1">
      <c r="B1" s="273">
        <f>"FinSight IA  ·  Materials  ·  CAC 40  ·  "&amp;COUNTIF('DONNÉES BRUTES'!C$3:C$42,"Materials")&amp;" sociétés  ·  22/03/2026"</f>
        <v/>
      </c>
    </row>
    <row r="2" ht="18" customHeight="1">
      <c r="B2" s="279" t="inlineStr">
        <is>
          <t>Zoom sectoriel  ·  Ratios clés  ·  Score FinSight  ·  Usage confidentiel</t>
        </is>
      </c>
    </row>
    <row r="3" ht="8.1" customHeight="1"/>
    <row r="4" ht="8.1" customHeight="1"/>
    <row r="5" ht="39.95" customHeight="1">
      <c r="B5" s="265" t="n"/>
      <c r="C5" s="246">
        <f>COUNTIF('DONNÉES BRUTES'!C$3:C$42,"Materials")</f>
        <v/>
      </c>
      <c r="D5" s="265" t="n"/>
      <c r="E5" s="282">
        <f>ROUND(AVERAGEIF('DONNÉES BRUTES'!C$3:C$42,"Materials",'DONNÉES BRUTES'!AB$3:AB$42),0)&amp;"/100"</f>
        <v/>
      </c>
      <c r="F5" s="282" t="n"/>
      <c r="G5" s="282" t="n"/>
      <c r="H5" s="249">
        <f t="array" ref="H5">IFERROR(INDEX('DONNÉES BRUTES'!B$3:B$42,MATCH(LARGE(IF('DONNÉES BRUTES'!C$3:C$42="Materials",'DONNÉES BRUTES'!AB$3:AB$42+(ROW('DONNÉES BRUTES'!A$3:A$42)-ROW('DONNÉES BRUTES'!A$3))/1000,0),1),IF('DONNÉES BRUTES'!C$3:C$42="Materials",'DONNÉES BRUTES'!AB$3:AB$42+(ROW('DONNÉES BRUTES'!A$3:A$42)-ROW('DONNÉES BRUTES'!A$3))/1000,0),0)),"—")</f>
        <v/>
      </c>
      <c r="I5" s="282" t="n"/>
      <c r="J5" s="282" t="n"/>
      <c r="K5" s="265" t="n"/>
      <c r="L5" s="251">
        <f>IFERROR(VLOOKUP("Materials",'SECTOR OVERVIEW'!B$8:G$19,6,0),"—")</f>
        <v/>
      </c>
      <c r="M5" s="265" t="n"/>
      <c r="N5" s="252">
        <f t="array" ref="N5">IFERROR(ROUND(MEDIAN(IF('DONNÉES BRUTES'!C$3:C$42="Materials",IF(ISNUMBER('DONNÉES BRUTES'!Y$3:Y$42),'DONNÉES BRUTES'!Y$3:Y$42))),0),"—")</f>
        <v/>
      </c>
      <c r="O5" s="265" t="n"/>
      <c r="P5" s="284">
        <f>IF(COUNTIFS('DONNÉES BRUTES'!C$3:C$42,"Materials",'DONNÉES BRUTES'!AD$3:AD$42,"Surpondérer")&gt;0,"Surpondérer",IF(COUNTIFS('DONNÉES BRUTES'!C$3:C$42,"Materials",'DONNÉES BRUTES'!AD$3:AD$42,"Neutre")&gt;=COUNTIFS('DONNÉES BRUTES'!C$3:C$42,"Materials",'DONNÉES BRUTES'!AD$3:AD$42,"Sous-pondérer"),"Neutre","Sous-pondérer"))</f>
        <v/>
      </c>
      <c r="Q5" s="282" t="n"/>
    </row>
    <row r="6" ht="15.95" customHeight="1">
      <c r="B6" s="248" t="n"/>
      <c r="C6" s="248" t="inlineStr">
        <is>
          <t>Sociétés</t>
        </is>
      </c>
      <c r="D6" s="248" t="n"/>
      <c r="E6" s="247" t="inlineStr">
        <is>
          <t>Score moyen</t>
        </is>
      </c>
      <c r="F6" s="247" t="n"/>
      <c r="G6" s="247" t="n"/>
      <c r="H6" s="250" t="inlineStr">
        <is>
          <t>Meilleure société</t>
        </is>
      </c>
      <c r="I6" s="247" t="n"/>
      <c r="J6" s="247" t="n"/>
      <c r="K6" s="248" t="n"/>
      <c r="L6" s="248" t="inlineStr">
        <is>
          <t>Mg. EBITDA Méd.</t>
        </is>
      </c>
      <c r="M6" s="248" t="n"/>
      <c r="N6" s="248" t="inlineStr">
        <is>
          <t>Score Growth Méd.</t>
        </is>
      </c>
      <c r="O6" s="248" t="n"/>
      <c r="P6" s="248" t="inlineStr">
        <is>
          <t>Signal</t>
        </is>
      </c>
      <c r="Q6" s="247" t="n"/>
    </row>
    <row r="7" ht="8.1" customHeight="1"/>
    <row r="8" ht="21.95" customHeight="1">
      <c r="B8" s="275">
        <f>"ANALYSE DÉTAILLÉE  ·  "&amp;UPPER("Materials")&amp;"  ·  "&amp;COUNTIF('DONNÉES BRUTES'!C$3:C$42,"Materials")&amp;" sociétés  ·  Triée par Score Global"</f>
        <v/>
      </c>
    </row>
    <row r="9" ht="6" customHeight="1"/>
    <row r="10" ht="20.1" customHeight="1">
      <c r="B10" s="266" t="inlineStr">
        <is>
          <t>#</t>
        </is>
      </c>
      <c r="C10" s="267" t="inlineStr">
        <is>
          <t>Ticker</t>
        </is>
      </c>
      <c r="D10" s="267" t="inlineStr">
        <is>
          <t>Société</t>
        </is>
      </c>
      <c r="E10" s="266" t="inlineStr">
        <is>
          <t>Score</t>
        </is>
      </c>
      <c r="F10" s="266" t="inlineStr">
        <is>
          <t>Gr.</t>
        </is>
      </c>
      <c r="G10" s="266" t="inlineStr">
        <is>
          <t>Qual.</t>
        </is>
      </c>
      <c r="H10" s="266" t="inlineStr">
        <is>
          <t>Mom.</t>
        </is>
      </c>
      <c r="I10" s="266" t="inlineStr">
        <is>
          <t>Mg. Brute</t>
        </is>
      </c>
      <c r="J10" s="266" t="inlineStr">
        <is>
          <t>Mg. EBITDA</t>
        </is>
      </c>
      <c r="K10" s="266" t="inlineStr">
        <is>
          <t>Mg. Nette</t>
        </is>
      </c>
      <c r="L10" s="266" t="inlineStr">
        <is>
          <t>Croiss. Rev.</t>
        </is>
      </c>
      <c r="M10" s="266" t="inlineStr">
        <is>
          <t>ROE</t>
        </is>
      </c>
      <c r="N10" s="266" t="inlineStr">
        <is>
          <t>Curr. R.</t>
        </is>
      </c>
      <c r="O10" s="266" t="inlineStr">
        <is>
          <t>ND/EBITDA</t>
        </is>
      </c>
      <c r="P10" s="266" t="inlineStr">
        <is>
          <t>Altman Z</t>
        </is>
      </c>
      <c r="Q10" s="266" t="inlineStr">
        <is>
          <t>Signal</t>
        </is>
      </c>
    </row>
    <row r="11" ht="18" customHeight="1">
      <c r="B11">
        <f>IF(1&gt;COUNTIF('DONNÉES BRUTES'!C$3:C$42,"Materials"),"",1)</f>
        <v/>
      </c>
      <c r="C11">
        <f t="array" ref="C11">IFERROR(IF(1&gt;COUNTIF('DONNÉES BRUTES'!C$3:C$42,"Materials"),"",INDEX('DONNÉES BRUTES'!A$3:A$42,MATCH(LARGE(IF('DONNÉES BRUTES'!C$3:C$42="Materials",'DONNÉES BRUTES'!AB$3:AB$42+(ROW('DONNÉES BRUTES'!A$3:A$42)-ROW('DONNÉES BRUTES'!A$3))/1000,0),1),IF('DONNÉES BRUTES'!C$3:C$42="Materials",'DONNÉES BRUTES'!AB$3:AB$42+(ROW('DONNÉES BRUTES'!A$3:A$42)-ROW('DONNÉES BRUTES'!A$3))/1000,0),0))),"—")</f>
        <v/>
      </c>
      <c r="D11">
        <f t="array" ref="D11">IFERROR(IF(1&gt;COUNTIF('DONNÉES BRUTES'!C$3:C$42,"Materials"),"",INDEX('DONNÉES BRUTES'!B$3:B$42,MATCH(LARGE(IF('DONNÉES BRUTES'!C$3:C$42="Materials",'DONNÉES BRUTES'!AB$3:AB$42+(ROW('DONNÉES BRUTES'!A$3:A$42)-ROW('DONNÉES BRUTES'!A$3))/1000,0),1),IF('DONNÉES BRUTES'!C$3:C$42="Materials",'DONNÉES BRUTES'!AB$3:AB$42+(ROW('DONNÉES BRUTES'!A$3:A$42)-ROW('DONNÉES BRUTES'!A$3))/1000,0),0))),"—")</f>
        <v/>
      </c>
      <c r="E11">
        <f t="array" ref="E11">IFERROR(IF(1&gt;COUNTIF('DONNÉES BRUTES'!C$3:C$42,"Materials"),"",INT(LARGE(IF('DONNÉES BRUTES'!C$3:C$42="Materials",'DONNÉES BRUTES'!AB$3:AB$42+(ROW('DONNÉES BRUTES'!A$3:A$42)-ROW('DONNÉES BRUTES'!A$3))/1000,0),1))&amp;"/100"),"—")</f>
        <v/>
      </c>
      <c r="F11">
        <f t="array" ref="F11">IFERROR(IF(1&gt;COUNTIF('DONNÉES BRUTES'!C$3:C$42,"Materials"),"",INDEX('DONNÉES BRUTES'!Y$3:Y$42,MATCH(LARGE(IF('DONNÉES BRUTES'!C$3:C$42="Materials",'DONNÉES BRUTES'!AB$3:AB$42+(ROW('DONNÉES BRUTES'!A$3:A$42)-ROW('DONNÉES BRUTES'!A$3))/1000,0),1),IF('DONNÉES BRUTES'!C$3:C$42="Materials",'DONNÉES BRUTES'!AB$3:AB$42+(ROW('DONNÉES BRUTES'!A$3:A$42)-ROW('DONNÉES BRUTES'!A$3))/1000,0),0))),"—")</f>
        <v/>
      </c>
      <c r="G11">
        <f t="array" ref="G11">IFERROR(IF(1&gt;COUNTIF('DONNÉES BRUTES'!C$3:C$42,"Materials"),"",INDEX('DONNÉES BRUTES'!Z$3:Z$42,MATCH(LARGE(IF('DONNÉES BRUTES'!C$3:C$42="Materials",'DONNÉES BRUTES'!AB$3:AB$42+(ROW('DONNÉES BRUTES'!A$3:A$42)-ROW('DONNÉES BRUTES'!A$3))/1000,0),1),IF('DONNÉES BRUTES'!C$3:C$42="Materials",'DONNÉES BRUTES'!AB$3:AB$42+(ROW('DONNÉES BRUTES'!A$3:A$42)-ROW('DONNÉES BRUTES'!A$3))/1000,0),0))),"—")</f>
        <v/>
      </c>
      <c r="H11">
        <f t="array" ref="H11">IFERROR(IF(1&gt;COUNTIF('DONNÉES BRUTES'!C$3:C$42,"Materials"),"",INDEX('DONNÉES BRUTES'!AA$3:AA$42,MATCH(LARGE(IF('DONNÉES BRUTES'!C$3:C$42="Materials",'DONNÉES BRUTES'!AB$3:AB$42+(ROW('DONNÉES BRUTES'!A$3:A$42)-ROW('DONNÉES BRUTES'!A$3))/1000,0),1),IF('DONNÉES BRUTES'!C$3:C$42="Materials",'DONNÉES BRUTES'!AB$3:AB$42+(ROW('DONNÉES BRUTES'!A$3:A$42)-ROW('DONNÉES BRUTES'!A$3))/1000,0),0))),"—")</f>
        <v/>
      </c>
      <c r="I11">
        <f t="array" ref="I11">IFERROR(IF(1&gt;COUNTIF('DONNÉES BRUTES'!C$3:C$42,"Materials"),"",INDEX('DONNÉES BRUTES'!M$3:M$42,MATCH(LARGE(IF('DONNÉES BRUTES'!C$3:C$42="Materials",'DONNÉES BRUTES'!AB$3:AB$42+(ROW('DONNÉES BRUTES'!A$3:A$42)-ROW('DONNÉES BRUTES'!A$3))/1000,0),1),IF('DONNÉES BRUTES'!C$3:C$42="Materials",'DONNÉES BRUTES'!AB$3:AB$42+(ROW('DONNÉES BRUTES'!A$3:A$42)-ROW('DONNÉES BRUTES'!A$3))/1000,0),0))),"—")</f>
        <v/>
      </c>
      <c r="J11">
        <f t="array" ref="J11">IFERROR(IF(1&gt;COUNTIF('DONNÉES BRUTES'!C$3:C$42,"Materials"),"",INDEX('DONNÉES BRUTES'!N$3:N$42,MATCH(LARGE(IF('DONNÉES BRUTES'!C$3:C$42="Materials",'DONNÉES BRUTES'!AB$3:AB$42+(ROW('DONNÉES BRUTES'!A$3:A$42)-ROW('DONNÉES BRUTES'!A$3))/1000,0),1),IF('DONNÉES BRUTES'!C$3:C$42="Materials",'DONNÉES BRUTES'!AB$3:AB$42+(ROW('DONNÉES BRUTES'!A$3:A$42)-ROW('DONNÉES BRUTES'!A$3))/1000,0),0))),"—")</f>
        <v/>
      </c>
      <c r="K11">
        <f t="array" ref="K11">IFERROR(IF(1&gt;COUNTIF('DONNÉES BRUTES'!C$3:C$42,"Materials"),"",INDEX('DONNÉES BRUTES'!O$3:O$42,MATCH(LARGE(IF('DONNÉES BRUTES'!C$3:C$42="Materials",'DONNÉES BRUTES'!AB$3:AB$42+(ROW('DONNÉES BRUTES'!A$3:A$42)-ROW('DONNÉES BRUTES'!A$3))/1000,0),1),IF('DONNÉES BRUTES'!C$3:C$42="Materials",'DONNÉES BRUTES'!AB$3:AB$42+(ROW('DONNÉES BRUTES'!A$3:A$42)-ROW('DONNÉES BRUTES'!A$3))/1000,0),0))),"—")</f>
        <v/>
      </c>
      <c r="L11">
        <f t="array" ref="L11">IFERROR(IF(1&gt;COUNTIF('DONNÉES BRUTES'!C$3:C$42,"Materials"),"",INDEX('DONNÉES BRUTES'!P$3:P$42,MATCH(LARGE(IF('DONNÉES BRUTES'!C$3:C$42="Materials",'DONNÉES BRUTES'!AB$3:AB$42+(ROW('DONNÉES BRUTES'!A$3:A$42)-ROW('DONNÉES BRUTES'!A$3))/1000,0),1),IF('DONNÉES BRUTES'!C$3:C$42="Materials",'DONNÉES BRUTES'!AB$3:AB$42+(ROW('DONNÉES BRUTES'!A$3:A$42)-ROW('DONNÉES BRUTES'!A$3))/1000,0),0))),"—")</f>
        <v/>
      </c>
      <c r="M11">
        <f t="array" ref="M11">IFERROR(IF(1&gt;COUNTIF('DONNÉES BRUTES'!C$3:C$42,"Materials"),"",INDEX('DONNÉES BRUTES'!Q$3:Q$42,MATCH(LARGE(IF('DONNÉES BRUTES'!C$3:C$42="Materials",'DONNÉES BRUTES'!AB$3:AB$42+(ROW('DONNÉES BRUTES'!A$3:A$42)-ROW('DONNÉES BRUTES'!A$3))/1000,0),1),IF('DONNÉES BRUTES'!C$3:C$42="Materials",'DONNÉES BRUTES'!AB$3:AB$42+(ROW('DONNÉES BRUTES'!A$3:A$42)-ROW('DONNÉES BRUTES'!A$3))/1000,0),0))),"—")</f>
        <v/>
      </c>
      <c r="N11">
        <f t="array" ref="N11">IFERROR(IF(1&gt;COUNTIF('DONNÉES BRUTES'!C$3:C$42,"Materials"),"",INDEX('DONNÉES BRUTES'!S$3:S$42,MATCH(LARGE(IF('DONNÉES BRUTES'!C$3:C$42="Materials",'DONNÉES BRUTES'!AB$3:AB$42+(ROW('DONNÉES BRUTES'!A$3:A$42)-ROW('DONNÉES BRUTES'!A$3))/1000,0),1),IF('DONNÉES BRUTES'!C$3:C$42="Materials",'DONNÉES BRUTES'!AB$3:AB$42+(ROW('DONNÉES BRUTES'!A$3:A$42)-ROW('DONNÉES BRUTES'!A$3))/1000,0),0))),"—")</f>
        <v/>
      </c>
      <c r="O11">
        <f t="array" ref="O11">IFERROR(IF(1&gt;COUNTIF('DONNÉES BRUTES'!C$3:C$42,"Materials"),"",INDEX('DONNÉES BRUTES'!T$3:T$42,MATCH(LARGE(IF('DONNÉES BRUTES'!C$3:C$42="Materials",'DONNÉES BRUTES'!AB$3:AB$42+(ROW('DONNÉES BRUTES'!A$3:A$42)-ROW('DONNÉES BRUTES'!A$3))/1000,0),1),IF('DONNÉES BRUTES'!C$3:C$42="Materials",'DONNÉES BRUTES'!AB$3:AB$42+(ROW('DONNÉES BRUTES'!A$3:A$42)-ROW('DONNÉES BRUTES'!A$3))/1000,0),0))),"—")</f>
        <v/>
      </c>
      <c r="P11">
        <f t="array" ref="P11">IFERROR(IF(1&gt;COUNTIF('DONNÉES BRUTES'!C$3:C$42,"Materials"),"",INDEX('DONNÉES BRUTES'!U$3:U$42,MATCH(LARGE(IF('DONNÉES BRUTES'!C$3:C$42="Materials",'DONNÉES BRUTES'!AB$3:AB$42+(ROW('DONNÉES BRUTES'!A$3:A$42)-ROW('DONNÉES BRUTES'!A$3))/1000,0),1),IF('DONNÉES BRUTES'!C$3:C$42="Materials",'DONNÉES BRUTES'!AB$3:AB$42+(ROW('DONNÉES BRUTES'!A$3:A$42)-ROW('DONNÉES BRUTES'!A$3))/1000,0),0))),"—")</f>
        <v/>
      </c>
      <c r="Q11">
        <f t="array" ref="Q11">IFERROR(IF(1&gt;COUNTIF('DONNÉES BRUTES'!C$3:C$42,"Materials"),"",INDEX('DONNÉES BRUTES'!AD$3:AD$42,MATCH(LARGE(IF('DONNÉES BRUTES'!C$3:C$42="Materials",'DONNÉES BRUTES'!AB$3:AB$42+(ROW('DONNÉES BRUTES'!A$3:A$42)-ROW('DONNÉES BRUTES'!A$3))/1000,0),1),IF('DONNÉES BRUTES'!C$3:C$42="Materials",'DONNÉES BRUTES'!AB$3:AB$42+(ROW('DONNÉES BRUTES'!A$3:A$42)-ROW('DONNÉES BRUTES'!A$3))/1000,0),0))),"—")</f>
        <v/>
      </c>
    </row>
    <row r="12" ht="15.95" customHeight="1">
      <c r="B12">
        <f>IF(2&gt;COUNTIF('DONNÉES BRUTES'!C$3:C$42,"Materials"),"",2)</f>
        <v/>
      </c>
      <c r="C12">
        <f t="array" ref="C12">IFERROR(IF(2&gt;COUNTIF('DONNÉES BRUTES'!C$3:C$42,"Materials"),"",INDEX('DONNÉES BRUTES'!A$3:A$42,MATCH(LARGE(IF('DONNÉES BRUTES'!C$3:C$42="Materials",'DONNÉES BRUTES'!AB$3:AB$42+(ROW('DONNÉES BRUTES'!A$3:A$42)-ROW('DONNÉES BRUTES'!A$3))/1000,0),2),IF('DONNÉES BRUTES'!C$3:C$42="Materials",'DONNÉES BRUTES'!AB$3:AB$42+(ROW('DONNÉES BRUTES'!A$3:A$42)-ROW('DONNÉES BRUTES'!A$3))/1000,0),0))),"—")</f>
        <v/>
      </c>
      <c r="D12">
        <f t="array" ref="D12">IFERROR(IF(2&gt;COUNTIF('DONNÉES BRUTES'!C$3:C$42,"Materials"),"",INDEX('DONNÉES BRUTES'!B$3:B$42,MATCH(LARGE(IF('DONNÉES BRUTES'!C$3:C$42="Materials",'DONNÉES BRUTES'!AB$3:AB$42+(ROW('DONNÉES BRUTES'!A$3:A$42)-ROW('DONNÉES BRUTES'!A$3))/1000,0),2),IF('DONNÉES BRUTES'!C$3:C$42="Materials",'DONNÉES BRUTES'!AB$3:AB$42+(ROW('DONNÉES BRUTES'!A$3:A$42)-ROW('DONNÉES BRUTES'!A$3))/1000,0),0))),"—")</f>
        <v/>
      </c>
      <c r="E12">
        <f t="array" ref="E12">IFERROR(IF(2&gt;COUNTIF('DONNÉES BRUTES'!C$3:C$42,"Materials"),"",INT(LARGE(IF('DONNÉES BRUTES'!C$3:C$42="Materials",'DONNÉES BRUTES'!AB$3:AB$42+(ROW('DONNÉES BRUTES'!A$3:A$42)-ROW('DONNÉES BRUTES'!A$3))/1000,0),2))&amp;"/100"),"—")</f>
        <v/>
      </c>
      <c r="F12">
        <f t="array" ref="F12">IFERROR(IF(2&gt;COUNTIF('DONNÉES BRUTES'!C$3:C$42,"Materials"),"",INDEX('DONNÉES BRUTES'!Y$3:Y$42,MATCH(LARGE(IF('DONNÉES BRUTES'!C$3:C$42="Materials",'DONNÉES BRUTES'!AB$3:AB$42+(ROW('DONNÉES BRUTES'!A$3:A$42)-ROW('DONNÉES BRUTES'!A$3))/1000,0),2),IF('DONNÉES BRUTES'!C$3:C$42="Materials",'DONNÉES BRUTES'!AB$3:AB$42+(ROW('DONNÉES BRUTES'!A$3:A$42)-ROW('DONNÉES BRUTES'!A$3))/1000,0),0))),"—")</f>
        <v/>
      </c>
      <c r="G12">
        <f t="array" ref="G12">IFERROR(IF(2&gt;COUNTIF('DONNÉES BRUTES'!C$3:C$42,"Materials"),"",INDEX('DONNÉES BRUTES'!Z$3:Z$42,MATCH(LARGE(IF('DONNÉES BRUTES'!C$3:C$42="Materials",'DONNÉES BRUTES'!AB$3:AB$42+(ROW('DONNÉES BRUTES'!A$3:A$42)-ROW('DONNÉES BRUTES'!A$3))/1000,0),2),IF('DONNÉES BRUTES'!C$3:C$42="Materials",'DONNÉES BRUTES'!AB$3:AB$42+(ROW('DONNÉES BRUTES'!A$3:A$42)-ROW('DONNÉES BRUTES'!A$3))/1000,0),0))),"—")</f>
        <v/>
      </c>
      <c r="H12">
        <f t="array" ref="H12">IFERROR(IF(2&gt;COUNTIF('DONNÉES BRUTES'!C$3:C$42,"Materials"),"",INDEX('DONNÉES BRUTES'!AA$3:AA$42,MATCH(LARGE(IF('DONNÉES BRUTES'!C$3:C$42="Materials",'DONNÉES BRUTES'!AB$3:AB$42+(ROW('DONNÉES BRUTES'!A$3:A$42)-ROW('DONNÉES BRUTES'!A$3))/1000,0),2),IF('DONNÉES BRUTES'!C$3:C$42="Materials",'DONNÉES BRUTES'!AB$3:AB$42+(ROW('DONNÉES BRUTES'!A$3:A$42)-ROW('DONNÉES BRUTES'!A$3))/1000,0),0))),"—")</f>
        <v/>
      </c>
      <c r="I12">
        <f t="array" ref="I12">IFERROR(IF(2&gt;COUNTIF('DONNÉES BRUTES'!C$3:C$42,"Materials"),"",INDEX('DONNÉES BRUTES'!M$3:M$42,MATCH(LARGE(IF('DONNÉES BRUTES'!C$3:C$42="Materials",'DONNÉES BRUTES'!AB$3:AB$42+(ROW('DONNÉES BRUTES'!A$3:A$42)-ROW('DONNÉES BRUTES'!A$3))/1000,0),2),IF('DONNÉES BRUTES'!C$3:C$42="Materials",'DONNÉES BRUTES'!AB$3:AB$42+(ROW('DONNÉES BRUTES'!A$3:A$42)-ROW('DONNÉES BRUTES'!A$3))/1000,0),0))),"—")</f>
        <v/>
      </c>
      <c r="J12">
        <f t="array" ref="J12">IFERROR(IF(2&gt;COUNTIF('DONNÉES BRUTES'!C$3:C$42,"Materials"),"",INDEX('DONNÉES BRUTES'!N$3:N$42,MATCH(LARGE(IF('DONNÉES BRUTES'!C$3:C$42="Materials",'DONNÉES BRUTES'!AB$3:AB$42+(ROW('DONNÉES BRUTES'!A$3:A$42)-ROW('DONNÉES BRUTES'!A$3))/1000,0),2),IF('DONNÉES BRUTES'!C$3:C$42="Materials",'DONNÉES BRUTES'!AB$3:AB$42+(ROW('DONNÉES BRUTES'!A$3:A$42)-ROW('DONNÉES BRUTES'!A$3))/1000,0),0))),"—")</f>
        <v/>
      </c>
      <c r="K12">
        <f t="array" ref="K12">IFERROR(IF(2&gt;COUNTIF('DONNÉES BRUTES'!C$3:C$42,"Materials"),"",INDEX('DONNÉES BRUTES'!O$3:O$42,MATCH(LARGE(IF('DONNÉES BRUTES'!C$3:C$42="Materials",'DONNÉES BRUTES'!AB$3:AB$42+(ROW('DONNÉES BRUTES'!A$3:A$42)-ROW('DONNÉES BRUTES'!A$3))/1000,0),2),IF('DONNÉES BRUTES'!C$3:C$42="Materials",'DONNÉES BRUTES'!AB$3:AB$42+(ROW('DONNÉES BRUTES'!A$3:A$42)-ROW('DONNÉES BRUTES'!A$3))/1000,0),0))),"—")</f>
        <v/>
      </c>
      <c r="L12">
        <f t="array" ref="L12">IFERROR(IF(2&gt;COUNTIF('DONNÉES BRUTES'!C$3:C$42,"Materials"),"",INDEX('DONNÉES BRUTES'!P$3:P$42,MATCH(LARGE(IF('DONNÉES BRUTES'!C$3:C$42="Materials",'DONNÉES BRUTES'!AB$3:AB$42+(ROW('DONNÉES BRUTES'!A$3:A$42)-ROW('DONNÉES BRUTES'!A$3))/1000,0),2),IF('DONNÉES BRUTES'!C$3:C$42="Materials",'DONNÉES BRUTES'!AB$3:AB$42+(ROW('DONNÉES BRUTES'!A$3:A$42)-ROW('DONNÉES BRUTES'!A$3))/1000,0),0))),"—")</f>
        <v/>
      </c>
      <c r="M12">
        <f t="array" ref="M12">IFERROR(IF(2&gt;COUNTIF('DONNÉES BRUTES'!C$3:C$42,"Materials"),"",INDEX('DONNÉES BRUTES'!Q$3:Q$42,MATCH(LARGE(IF('DONNÉES BRUTES'!C$3:C$42="Materials",'DONNÉES BRUTES'!AB$3:AB$42+(ROW('DONNÉES BRUTES'!A$3:A$42)-ROW('DONNÉES BRUTES'!A$3))/1000,0),2),IF('DONNÉES BRUTES'!C$3:C$42="Materials",'DONNÉES BRUTES'!AB$3:AB$42+(ROW('DONNÉES BRUTES'!A$3:A$42)-ROW('DONNÉES BRUTES'!A$3))/1000,0),0))),"—")</f>
        <v/>
      </c>
      <c r="N12">
        <f t="array" ref="N12">IFERROR(IF(2&gt;COUNTIF('DONNÉES BRUTES'!C$3:C$42,"Materials"),"",INDEX('DONNÉES BRUTES'!S$3:S$42,MATCH(LARGE(IF('DONNÉES BRUTES'!C$3:C$42="Materials",'DONNÉES BRUTES'!AB$3:AB$42+(ROW('DONNÉES BRUTES'!A$3:A$42)-ROW('DONNÉES BRUTES'!A$3))/1000,0),2),IF('DONNÉES BRUTES'!C$3:C$42="Materials",'DONNÉES BRUTES'!AB$3:AB$42+(ROW('DONNÉES BRUTES'!A$3:A$42)-ROW('DONNÉES BRUTES'!A$3))/1000,0),0))),"—")</f>
        <v/>
      </c>
      <c r="O12">
        <f t="array" ref="O12">IFERROR(IF(2&gt;COUNTIF('DONNÉES BRUTES'!C$3:C$42,"Materials"),"",INDEX('DONNÉES BRUTES'!T$3:T$42,MATCH(LARGE(IF('DONNÉES BRUTES'!C$3:C$42="Materials",'DONNÉES BRUTES'!AB$3:AB$42+(ROW('DONNÉES BRUTES'!A$3:A$42)-ROW('DONNÉES BRUTES'!A$3))/1000,0),2),IF('DONNÉES BRUTES'!C$3:C$42="Materials",'DONNÉES BRUTES'!AB$3:AB$42+(ROW('DONNÉES BRUTES'!A$3:A$42)-ROW('DONNÉES BRUTES'!A$3))/1000,0),0))),"—")</f>
        <v/>
      </c>
      <c r="P12">
        <f t="array" ref="P12">IFERROR(IF(2&gt;COUNTIF('DONNÉES BRUTES'!C$3:C$42,"Materials"),"",INDEX('DONNÉES BRUTES'!U$3:U$42,MATCH(LARGE(IF('DONNÉES BRUTES'!C$3:C$42="Materials",'DONNÉES BRUTES'!AB$3:AB$42+(ROW('DONNÉES BRUTES'!A$3:A$42)-ROW('DONNÉES BRUTES'!A$3))/1000,0),2),IF('DONNÉES BRUTES'!C$3:C$42="Materials",'DONNÉES BRUTES'!AB$3:AB$42+(ROW('DONNÉES BRUTES'!A$3:A$42)-ROW('DONNÉES BRUTES'!A$3))/1000,0),0))),"—")</f>
        <v/>
      </c>
      <c r="Q12">
        <f t="array" ref="Q12">IFERROR(IF(2&gt;COUNTIF('DONNÉES BRUTES'!C$3:C$42,"Materials"),"",INDEX('DONNÉES BRUTES'!AD$3:AD$42,MATCH(LARGE(IF('DONNÉES BRUTES'!C$3:C$42="Materials",'DONNÉES BRUTES'!AB$3:AB$42+(ROW('DONNÉES BRUTES'!A$3:A$42)-ROW('DONNÉES BRUTES'!A$3))/1000,0),2),IF('DONNÉES BRUTES'!C$3:C$42="Materials",'DONNÉES BRUTES'!AB$3:AB$42+(ROW('DONNÉES BRUTES'!A$3:A$42)-ROW('DONNÉES BRUTES'!A$3))/1000,0),0))),"—")</f>
        <v/>
      </c>
    </row>
    <row r="13" ht="15.95" customHeight="1">
      <c r="B13">
        <f>IF(3&gt;COUNTIF('DONNÉES BRUTES'!C$3:C$42,"Materials"),"",3)</f>
        <v/>
      </c>
      <c r="C13">
        <f t="array" ref="C13">IFERROR(IF(3&gt;COUNTIF('DONNÉES BRUTES'!C$3:C$42,"Materials"),"",INDEX('DONNÉES BRUTES'!A$3:A$42,MATCH(LARGE(IF('DONNÉES BRUTES'!C$3:C$42="Materials",'DONNÉES BRUTES'!AB$3:AB$42+(ROW('DONNÉES BRUTES'!A$3:A$42)-ROW('DONNÉES BRUTES'!A$3))/1000,0),3),IF('DONNÉES BRUTES'!C$3:C$42="Materials",'DONNÉES BRUTES'!AB$3:AB$42+(ROW('DONNÉES BRUTES'!A$3:A$42)-ROW('DONNÉES BRUTES'!A$3))/1000,0),0))),"—")</f>
        <v/>
      </c>
      <c r="D13">
        <f t="array" ref="D13">IFERROR(IF(3&gt;COUNTIF('DONNÉES BRUTES'!C$3:C$42,"Materials"),"",INDEX('DONNÉES BRUTES'!B$3:B$42,MATCH(LARGE(IF('DONNÉES BRUTES'!C$3:C$42="Materials",'DONNÉES BRUTES'!AB$3:AB$42+(ROW('DONNÉES BRUTES'!A$3:A$42)-ROW('DONNÉES BRUTES'!A$3))/1000,0),3),IF('DONNÉES BRUTES'!C$3:C$42="Materials",'DONNÉES BRUTES'!AB$3:AB$42+(ROW('DONNÉES BRUTES'!A$3:A$42)-ROW('DONNÉES BRUTES'!A$3))/1000,0),0))),"—")</f>
        <v/>
      </c>
      <c r="E13">
        <f t="array" ref="E13">IFERROR(IF(3&gt;COUNTIF('DONNÉES BRUTES'!C$3:C$42,"Materials"),"",INT(LARGE(IF('DONNÉES BRUTES'!C$3:C$42="Materials",'DONNÉES BRUTES'!AB$3:AB$42+(ROW('DONNÉES BRUTES'!A$3:A$42)-ROW('DONNÉES BRUTES'!A$3))/1000,0),3))&amp;"/100"),"—")</f>
        <v/>
      </c>
      <c r="F13">
        <f t="array" ref="F13">IFERROR(IF(3&gt;COUNTIF('DONNÉES BRUTES'!C$3:C$42,"Materials"),"",INDEX('DONNÉES BRUTES'!Y$3:Y$42,MATCH(LARGE(IF('DONNÉES BRUTES'!C$3:C$42="Materials",'DONNÉES BRUTES'!AB$3:AB$42+(ROW('DONNÉES BRUTES'!A$3:A$42)-ROW('DONNÉES BRUTES'!A$3))/1000,0),3),IF('DONNÉES BRUTES'!C$3:C$42="Materials",'DONNÉES BRUTES'!AB$3:AB$42+(ROW('DONNÉES BRUTES'!A$3:A$42)-ROW('DONNÉES BRUTES'!A$3))/1000,0),0))),"—")</f>
        <v/>
      </c>
      <c r="G13">
        <f t="array" ref="G13">IFERROR(IF(3&gt;COUNTIF('DONNÉES BRUTES'!C$3:C$42,"Materials"),"",INDEX('DONNÉES BRUTES'!Z$3:Z$42,MATCH(LARGE(IF('DONNÉES BRUTES'!C$3:C$42="Materials",'DONNÉES BRUTES'!AB$3:AB$42+(ROW('DONNÉES BRUTES'!A$3:A$42)-ROW('DONNÉES BRUTES'!A$3))/1000,0),3),IF('DONNÉES BRUTES'!C$3:C$42="Materials",'DONNÉES BRUTES'!AB$3:AB$42+(ROW('DONNÉES BRUTES'!A$3:A$42)-ROW('DONNÉES BRUTES'!A$3))/1000,0),0))),"—")</f>
        <v/>
      </c>
      <c r="H13">
        <f t="array" ref="H13">IFERROR(IF(3&gt;COUNTIF('DONNÉES BRUTES'!C$3:C$42,"Materials"),"",INDEX('DONNÉES BRUTES'!AA$3:AA$42,MATCH(LARGE(IF('DONNÉES BRUTES'!C$3:C$42="Materials",'DONNÉES BRUTES'!AB$3:AB$42+(ROW('DONNÉES BRUTES'!A$3:A$42)-ROW('DONNÉES BRUTES'!A$3))/1000,0),3),IF('DONNÉES BRUTES'!C$3:C$42="Materials",'DONNÉES BRUTES'!AB$3:AB$42+(ROW('DONNÉES BRUTES'!A$3:A$42)-ROW('DONNÉES BRUTES'!A$3))/1000,0),0))),"—")</f>
        <v/>
      </c>
      <c r="I13">
        <f t="array" ref="I13">IFERROR(IF(3&gt;COUNTIF('DONNÉES BRUTES'!C$3:C$42,"Materials"),"",INDEX('DONNÉES BRUTES'!M$3:M$42,MATCH(LARGE(IF('DONNÉES BRUTES'!C$3:C$42="Materials",'DONNÉES BRUTES'!AB$3:AB$42+(ROW('DONNÉES BRUTES'!A$3:A$42)-ROW('DONNÉES BRUTES'!A$3))/1000,0),3),IF('DONNÉES BRUTES'!C$3:C$42="Materials",'DONNÉES BRUTES'!AB$3:AB$42+(ROW('DONNÉES BRUTES'!A$3:A$42)-ROW('DONNÉES BRUTES'!A$3))/1000,0),0))),"—")</f>
        <v/>
      </c>
      <c r="J13">
        <f t="array" ref="J13">IFERROR(IF(3&gt;COUNTIF('DONNÉES BRUTES'!C$3:C$42,"Materials"),"",INDEX('DONNÉES BRUTES'!N$3:N$42,MATCH(LARGE(IF('DONNÉES BRUTES'!C$3:C$42="Materials",'DONNÉES BRUTES'!AB$3:AB$42+(ROW('DONNÉES BRUTES'!A$3:A$42)-ROW('DONNÉES BRUTES'!A$3))/1000,0),3),IF('DONNÉES BRUTES'!C$3:C$42="Materials",'DONNÉES BRUTES'!AB$3:AB$42+(ROW('DONNÉES BRUTES'!A$3:A$42)-ROW('DONNÉES BRUTES'!A$3))/1000,0),0))),"—")</f>
        <v/>
      </c>
      <c r="K13">
        <f t="array" ref="K13">IFERROR(IF(3&gt;COUNTIF('DONNÉES BRUTES'!C$3:C$42,"Materials"),"",INDEX('DONNÉES BRUTES'!O$3:O$42,MATCH(LARGE(IF('DONNÉES BRUTES'!C$3:C$42="Materials",'DONNÉES BRUTES'!AB$3:AB$42+(ROW('DONNÉES BRUTES'!A$3:A$42)-ROW('DONNÉES BRUTES'!A$3))/1000,0),3),IF('DONNÉES BRUTES'!C$3:C$42="Materials",'DONNÉES BRUTES'!AB$3:AB$42+(ROW('DONNÉES BRUTES'!A$3:A$42)-ROW('DONNÉES BRUTES'!A$3))/1000,0),0))),"—")</f>
        <v/>
      </c>
      <c r="L13">
        <f t="array" ref="L13">IFERROR(IF(3&gt;COUNTIF('DONNÉES BRUTES'!C$3:C$42,"Materials"),"",INDEX('DONNÉES BRUTES'!P$3:P$42,MATCH(LARGE(IF('DONNÉES BRUTES'!C$3:C$42="Materials",'DONNÉES BRUTES'!AB$3:AB$42+(ROW('DONNÉES BRUTES'!A$3:A$42)-ROW('DONNÉES BRUTES'!A$3))/1000,0),3),IF('DONNÉES BRUTES'!C$3:C$42="Materials",'DONNÉES BRUTES'!AB$3:AB$42+(ROW('DONNÉES BRUTES'!A$3:A$42)-ROW('DONNÉES BRUTES'!A$3))/1000,0),0))),"—")</f>
        <v/>
      </c>
      <c r="M13">
        <f t="array" ref="M13">IFERROR(IF(3&gt;COUNTIF('DONNÉES BRUTES'!C$3:C$42,"Materials"),"",INDEX('DONNÉES BRUTES'!Q$3:Q$42,MATCH(LARGE(IF('DONNÉES BRUTES'!C$3:C$42="Materials",'DONNÉES BRUTES'!AB$3:AB$42+(ROW('DONNÉES BRUTES'!A$3:A$42)-ROW('DONNÉES BRUTES'!A$3))/1000,0),3),IF('DONNÉES BRUTES'!C$3:C$42="Materials",'DONNÉES BRUTES'!AB$3:AB$42+(ROW('DONNÉES BRUTES'!A$3:A$42)-ROW('DONNÉES BRUTES'!A$3))/1000,0),0))),"—")</f>
        <v/>
      </c>
      <c r="N13">
        <f t="array" ref="N13">IFERROR(IF(3&gt;COUNTIF('DONNÉES BRUTES'!C$3:C$42,"Materials"),"",INDEX('DONNÉES BRUTES'!S$3:S$42,MATCH(LARGE(IF('DONNÉES BRUTES'!C$3:C$42="Materials",'DONNÉES BRUTES'!AB$3:AB$42+(ROW('DONNÉES BRUTES'!A$3:A$42)-ROW('DONNÉES BRUTES'!A$3))/1000,0),3),IF('DONNÉES BRUTES'!C$3:C$42="Materials",'DONNÉES BRUTES'!AB$3:AB$42+(ROW('DONNÉES BRUTES'!A$3:A$42)-ROW('DONNÉES BRUTES'!A$3))/1000,0),0))),"—")</f>
        <v/>
      </c>
      <c r="O13">
        <f t="array" ref="O13">IFERROR(IF(3&gt;COUNTIF('DONNÉES BRUTES'!C$3:C$42,"Materials"),"",INDEX('DONNÉES BRUTES'!T$3:T$42,MATCH(LARGE(IF('DONNÉES BRUTES'!C$3:C$42="Materials",'DONNÉES BRUTES'!AB$3:AB$42+(ROW('DONNÉES BRUTES'!A$3:A$42)-ROW('DONNÉES BRUTES'!A$3))/1000,0),3),IF('DONNÉES BRUTES'!C$3:C$42="Materials",'DONNÉES BRUTES'!AB$3:AB$42+(ROW('DONNÉES BRUTES'!A$3:A$42)-ROW('DONNÉES BRUTES'!A$3))/1000,0),0))),"—")</f>
        <v/>
      </c>
      <c r="P13">
        <f t="array" ref="P13">IFERROR(IF(3&gt;COUNTIF('DONNÉES BRUTES'!C$3:C$42,"Materials"),"",INDEX('DONNÉES BRUTES'!U$3:U$42,MATCH(LARGE(IF('DONNÉES BRUTES'!C$3:C$42="Materials",'DONNÉES BRUTES'!AB$3:AB$42+(ROW('DONNÉES BRUTES'!A$3:A$42)-ROW('DONNÉES BRUTES'!A$3))/1000,0),3),IF('DONNÉES BRUTES'!C$3:C$42="Materials",'DONNÉES BRUTES'!AB$3:AB$42+(ROW('DONNÉES BRUTES'!A$3:A$42)-ROW('DONNÉES BRUTES'!A$3))/1000,0),0))),"—")</f>
        <v/>
      </c>
      <c r="Q13">
        <f t="array" ref="Q13">IFERROR(IF(3&gt;COUNTIF('DONNÉES BRUTES'!C$3:C$42,"Materials"),"",INDEX('DONNÉES BRUTES'!AD$3:AD$42,MATCH(LARGE(IF('DONNÉES BRUTES'!C$3:C$42="Materials",'DONNÉES BRUTES'!AB$3:AB$42+(ROW('DONNÉES BRUTES'!A$3:A$42)-ROW('DONNÉES BRUTES'!A$3))/1000,0),3),IF('DONNÉES BRUTES'!C$3:C$42="Materials",'DONNÉES BRUTES'!AB$3:AB$42+(ROW('DONNÉES BRUTES'!A$3:A$42)-ROW('DONNÉES BRUTES'!A$3))/1000,0),0))),"—")</f>
        <v/>
      </c>
    </row>
    <row r="14" ht="15.95" customHeight="1">
      <c r="B14">
        <f>IF(4&gt;COUNTIF('DONNÉES BRUTES'!C$3:C$42,"Materials"),"",4)</f>
        <v/>
      </c>
      <c r="C14">
        <f t="array" ref="C14">IFERROR(IF(4&gt;COUNTIF('DONNÉES BRUTES'!C$3:C$42,"Materials"),"",INDEX('DONNÉES BRUTES'!A$3:A$42,MATCH(LARGE(IF('DONNÉES BRUTES'!C$3:C$42="Materials",'DONNÉES BRUTES'!AB$3:AB$42+(ROW('DONNÉES BRUTES'!A$3:A$42)-ROW('DONNÉES BRUTES'!A$3))/1000,0),4),IF('DONNÉES BRUTES'!C$3:C$42="Materials",'DONNÉES BRUTES'!AB$3:AB$42+(ROW('DONNÉES BRUTES'!A$3:A$42)-ROW('DONNÉES BRUTES'!A$3))/1000,0),0))),"—")</f>
        <v/>
      </c>
      <c r="D14">
        <f t="array" ref="D14">IFERROR(IF(4&gt;COUNTIF('DONNÉES BRUTES'!C$3:C$42,"Materials"),"",INDEX('DONNÉES BRUTES'!B$3:B$42,MATCH(LARGE(IF('DONNÉES BRUTES'!C$3:C$42="Materials",'DONNÉES BRUTES'!AB$3:AB$42+(ROW('DONNÉES BRUTES'!A$3:A$42)-ROW('DONNÉES BRUTES'!A$3))/1000,0),4),IF('DONNÉES BRUTES'!C$3:C$42="Materials",'DONNÉES BRUTES'!AB$3:AB$42+(ROW('DONNÉES BRUTES'!A$3:A$42)-ROW('DONNÉES BRUTES'!A$3))/1000,0),0))),"—")</f>
        <v/>
      </c>
      <c r="E14">
        <f t="array" ref="E14">IFERROR(IF(4&gt;COUNTIF('DONNÉES BRUTES'!C$3:C$42,"Materials"),"",INT(LARGE(IF('DONNÉES BRUTES'!C$3:C$42="Materials",'DONNÉES BRUTES'!AB$3:AB$42+(ROW('DONNÉES BRUTES'!A$3:A$42)-ROW('DONNÉES BRUTES'!A$3))/1000,0),4))&amp;"/100"),"—")</f>
        <v/>
      </c>
      <c r="F14">
        <f t="array" ref="F14">IFERROR(IF(4&gt;COUNTIF('DONNÉES BRUTES'!C$3:C$42,"Materials"),"",INDEX('DONNÉES BRUTES'!Y$3:Y$42,MATCH(LARGE(IF('DONNÉES BRUTES'!C$3:C$42="Materials",'DONNÉES BRUTES'!AB$3:AB$42+(ROW('DONNÉES BRUTES'!A$3:A$42)-ROW('DONNÉES BRUTES'!A$3))/1000,0),4),IF('DONNÉES BRUTES'!C$3:C$42="Materials",'DONNÉES BRUTES'!AB$3:AB$42+(ROW('DONNÉES BRUTES'!A$3:A$42)-ROW('DONNÉES BRUTES'!A$3))/1000,0),0))),"—")</f>
        <v/>
      </c>
      <c r="G14">
        <f t="array" ref="G14">IFERROR(IF(4&gt;COUNTIF('DONNÉES BRUTES'!C$3:C$42,"Materials"),"",INDEX('DONNÉES BRUTES'!Z$3:Z$42,MATCH(LARGE(IF('DONNÉES BRUTES'!C$3:C$42="Materials",'DONNÉES BRUTES'!AB$3:AB$42+(ROW('DONNÉES BRUTES'!A$3:A$42)-ROW('DONNÉES BRUTES'!A$3))/1000,0),4),IF('DONNÉES BRUTES'!C$3:C$42="Materials",'DONNÉES BRUTES'!AB$3:AB$42+(ROW('DONNÉES BRUTES'!A$3:A$42)-ROW('DONNÉES BRUTES'!A$3))/1000,0),0))),"—")</f>
        <v/>
      </c>
      <c r="H14">
        <f t="array" ref="H14">IFERROR(IF(4&gt;COUNTIF('DONNÉES BRUTES'!C$3:C$42,"Materials"),"",INDEX('DONNÉES BRUTES'!AA$3:AA$42,MATCH(LARGE(IF('DONNÉES BRUTES'!C$3:C$42="Materials",'DONNÉES BRUTES'!AB$3:AB$42+(ROW('DONNÉES BRUTES'!A$3:A$42)-ROW('DONNÉES BRUTES'!A$3))/1000,0),4),IF('DONNÉES BRUTES'!C$3:C$42="Materials",'DONNÉES BRUTES'!AB$3:AB$42+(ROW('DONNÉES BRUTES'!A$3:A$42)-ROW('DONNÉES BRUTES'!A$3))/1000,0),0))),"—")</f>
        <v/>
      </c>
      <c r="I14">
        <f t="array" ref="I14">IFERROR(IF(4&gt;COUNTIF('DONNÉES BRUTES'!C$3:C$42,"Materials"),"",INDEX('DONNÉES BRUTES'!M$3:M$42,MATCH(LARGE(IF('DONNÉES BRUTES'!C$3:C$42="Materials",'DONNÉES BRUTES'!AB$3:AB$42+(ROW('DONNÉES BRUTES'!A$3:A$42)-ROW('DONNÉES BRUTES'!A$3))/1000,0),4),IF('DONNÉES BRUTES'!C$3:C$42="Materials",'DONNÉES BRUTES'!AB$3:AB$42+(ROW('DONNÉES BRUTES'!A$3:A$42)-ROW('DONNÉES BRUTES'!A$3))/1000,0),0))),"—")</f>
        <v/>
      </c>
      <c r="J14">
        <f t="array" ref="J14">IFERROR(IF(4&gt;COUNTIF('DONNÉES BRUTES'!C$3:C$42,"Materials"),"",INDEX('DONNÉES BRUTES'!N$3:N$42,MATCH(LARGE(IF('DONNÉES BRUTES'!C$3:C$42="Materials",'DONNÉES BRUTES'!AB$3:AB$42+(ROW('DONNÉES BRUTES'!A$3:A$42)-ROW('DONNÉES BRUTES'!A$3))/1000,0),4),IF('DONNÉES BRUTES'!C$3:C$42="Materials",'DONNÉES BRUTES'!AB$3:AB$42+(ROW('DONNÉES BRUTES'!A$3:A$42)-ROW('DONNÉES BRUTES'!A$3))/1000,0),0))),"—")</f>
        <v/>
      </c>
      <c r="K14">
        <f t="array" ref="K14">IFERROR(IF(4&gt;COUNTIF('DONNÉES BRUTES'!C$3:C$42,"Materials"),"",INDEX('DONNÉES BRUTES'!O$3:O$42,MATCH(LARGE(IF('DONNÉES BRUTES'!C$3:C$42="Materials",'DONNÉES BRUTES'!AB$3:AB$42+(ROW('DONNÉES BRUTES'!A$3:A$42)-ROW('DONNÉES BRUTES'!A$3))/1000,0),4),IF('DONNÉES BRUTES'!C$3:C$42="Materials",'DONNÉES BRUTES'!AB$3:AB$42+(ROW('DONNÉES BRUTES'!A$3:A$42)-ROW('DONNÉES BRUTES'!A$3))/1000,0),0))),"—")</f>
        <v/>
      </c>
      <c r="L14">
        <f t="array" ref="L14">IFERROR(IF(4&gt;COUNTIF('DONNÉES BRUTES'!C$3:C$42,"Materials"),"",INDEX('DONNÉES BRUTES'!P$3:P$42,MATCH(LARGE(IF('DONNÉES BRUTES'!C$3:C$42="Materials",'DONNÉES BRUTES'!AB$3:AB$42+(ROW('DONNÉES BRUTES'!A$3:A$42)-ROW('DONNÉES BRUTES'!A$3))/1000,0),4),IF('DONNÉES BRUTES'!C$3:C$42="Materials",'DONNÉES BRUTES'!AB$3:AB$42+(ROW('DONNÉES BRUTES'!A$3:A$42)-ROW('DONNÉES BRUTES'!A$3))/1000,0),0))),"—")</f>
        <v/>
      </c>
      <c r="M14">
        <f t="array" ref="M14">IFERROR(IF(4&gt;COUNTIF('DONNÉES BRUTES'!C$3:C$42,"Materials"),"",INDEX('DONNÉES BRUTES'!Q$3:Q$42,MATCH(LARGE(IF('DONNÉES BRUTES'!C$3:C$42="Materials",'DONNÉES BRUTES'!AB$3:AB$42+(ROW('DONNÉES BRUTES'!A$3:A$42)-ROW('DONNÉES BRUTES'!A$3))/1000,0),4),IF('DONNÉES BRUTES'!C$3:C$42="Materials",'DONNÉES BRUTES'!AB$3:AB$42+(ROW('DONNÉES BRUTES'!A$3:A$42)-ROW('DONNÉES BRUTES'!A$3))/1000,0),0))),"—")</f>
        <v/>
      </c>
      <c r="N14">
        <f t="array" ref="N14">IFERROR(IF(4&gt;COUNTIF('DONNÉES BRUTES'!C$3:C$42,"Materials"),"",INDEX('DONNÉES BRUTES'!S$3:S$42,MATCH(LARGE(IF('DONNÉES BRUTES'!C$3:C$42="Materials",'DONNÉES BRUTES'!AB$3:AB$42+(ROW('DONNÉES BRUTES'!A$3:A$42)-ROW('DONNÉES BRUTES'!A$3))/1000,0),4),IF('DONNÉES BRUTES'!C$3:C$42="Materials",'DONNÉES BRUTES'!AB$3:AB$42+(ROW('DONNÉES BRUTES'!A$3:A$42)-ROW('DONNÉES BRUTES'!A$3))/1000,0),0))),"—")</f>
        <v/>
      </c>
      <c r="O14">
        <f t="array" ref="O14">IFERROR(IF(4&gt;COUNTIF('DONNÉES BRUTES'!C$3:C$42,"Materials"),"",INDEX('DONNÉES BRUTES'!T$3:T$42,MATCH(LARGE(IF('DONNÉES BRUTES'!C$3:C$42="Materials",'DONNÉES BRUTES'!AB$3:AB$42+(ROW('DONNÉES BRUTES'!A$3:A$42)-ROW('DONNÉES BRUTES'!A$3))/1000,0),4),IF('DONNÉES BRUTES'!C$3:C$42="Materials",'DONNÉES BRUTES'!AB$3:AB$42+(ROW('DONNÉES BRUTES'!A$3:A$42)-ROW('DONNÉES BRUTES'!A$3))/1000,0),0))),"—")</f>
        <v/>
      </c>
      <c r="P14">
        <f t="array" ref="P14">IFERROR(IF(4&gt;COUNTIF('DONNÉES BRUTES'!C$3:C$42,"Materials"),"",INDEX('DONNÉES BRUTES'!U$3:U$42,MATCH(LARGE(IF('DONNÉES BRUTES'!C$3:C$42="Materials",'DONNÉES BRUTES'!AB$3:AB$42+(ROW('DONNÉES BRUTES'!A$3:A$42)-ROW('DONNÉES BRUTES'!A$3))/1000,0),4),IF('DONNÉES BRUTES'!C$3:C$42="Materials",'DONNÉES BRUTES'!AB$3:AB$42+(ROW('DONNÉES BRUTES'!A$3:A$42)-ROW('DONNÉES BRUTES'!A$3))/1000,0),0))),"—")</f>
        <v/>
      </c>
      <c r="Q14">
        <f t="array" ref="Q14">IFERROR(IF(4&gt;COUNTIF('DONNÉES BRUTES'!C$3:C$42,"Materials"),"",INDEX('DONNÉES BRUTES'!AD$3:AD$42,MATCH(LARGE(IF('DONNÉES BRUTES'!C$3:C$42="Materials",'DONNÉES BRUTES'!AB$3:AB$42+(ROW('DONNÉES BRUTES'!A$3:A$42)-ROW('DONNÉES BRUTES'!A$3))/1000,0),4),IF('DONNÉES BRUTES'!C$3:C$42="Materials",'DONNÉES BRUTES'!AB$3:AB$42+(ROW('DONNÉES BRUTES'!A$3:A$42)-ROW('DONNÉES BRUTES'!A$3))/1000,0),0))),"—")</f>
        <v/>
      </c>
    </row>
    <row r="15" ht="15.95" customHeight="1">
      <c r="B15">
        <f>IF(5&gt;COUNTIF('DONNÉES BRUTES'!C$3:C$42,"Materials"),"",5)</f>
        <v/>
      </c>
      <c r="C15">
        <f t="array" ref="C15">IFERROR(IF(5&gt;COUNTIF('DONNÉES BRUTES'!C$3:C$42,"Materials"),"",INDEX('DONNÉES BRUTES'!A$3:A$42,MATCH(LARGE(IF('DONNÉES BRUTES'!C$3:C$42="Materials",'DONNÉES BRUTES'!AB$3:AB$42+(ROW('DONNÉES BRUTES'!A$3:A$42)-ROW('DONNÉES BRUTES'!A$3))/1000,0),5),IF('DONNÉES BRUTES'!C$3:C$42="Materials",'DONNÉES BRUTES'!AB$3:AB$42+(ROW('DONNÉES BRUTES'!A$3:A$42)-ROW('DONNÉES BRUTES'!A$3))/1000,0),0))),"—")</f>
        <v/>
      </c>
      <c r="D15">
        <f t="array" ref="D15">IFERROR(IF(5&gt;COUNTIF('DONNÉES BRUTES'!C$3:C$42,"Materials"),"",INDEX('DONNÉES BRUTES'!B$3:B$42,MATCH(LARGE(IF('DONNÉES BRUTES'!C$3:C$42="Materials",'DONNÉES BRUTES'!AB$3:AB$42+(ROW('DONNÉES BRUTES'!A$3:A$42)-ROW('DONNÉES BRUTES'!A$3))/1000,0),5),IF('DONNÉES BRUTES'!C$3:C$42="Materials",'DONNÉES BRUTES'!AB$3:AB$42+(ROW('DONNÉES BRUTES'!A$3:A$42)-ROW('DONNÉES BRUTES'!A$3))/1000,0),0))),"—")</f>
        <v/>
      </c>
      <c r="E15">
        <f t="array" ref="E15">IFERROR(IF(5&gt;COUNTIF('DONNÉES BRUTES'!C$3:C$42,"Materials"),"",INT(LARGE(IF('DONNÉES BRUTES'!C$3:C$42="Materials",'DONNÉES BRUTES'!AB$3:AB$42+(ROW('DONNÉES BRUTES'!A$3:A$42)-ROW('DONNÉES BRUTES'!A$3))/1000,0),5))&amp;"/100"),"—")</f>
        <v/>
      </c>
      <c r="F15">
        <f t="array" ref="F15">IFERROR(IF(5&gt;COUNTIF('DONNÉES BRUTES'!C$3:C$42,"Materials"),"",INDEX('DONNÉES BRUTES'!Y$3:Y$42,MATCH(LARGE(IF('DONNÉES BRUTES'!C$3:C$42="Materials",'DONNÉES BRUTES'!AB$3:AB$42+(ROW('DONNÉES BRUTES'!A$3:A$42)-ROW('DONNÉES BRUTES'!A$3))/1000,0),5),IF('DONNÉES BRUTES'!C$3:C$42="Materials",'DONNÉES BRUTES'!AB$3:AB$42+(ROW('DONNÉES BRUTES'!A$3:A$42)-ROW('DONNÉES BRUTES'!A$3))/1000,0),0))),"—")</f>
        <v/>
      </c>
      <c r="G15">
        <f t="array" ref="G15">IFERROR(IF(5&gt;COUNTIF('DONNÉES BRUTES'!C$3:C$42,"Materials"),"",INDEX('DONNÉES BRUTES'!Z$3:Z$42,MATCH(LARGE(IF('DONNÉES BRUTES'!C$3:C$42="Materials",'DONNÉES BRUTES'!AB$3:AB$42+(ROW('DONNÉES BRUTES'!A$3:A$42)-ROW('DONNÉES BRUTES'!A$3))/1000,0),5),IF('DONNÉES BRUTES'!C$3:C$42="Materials",'DONNÉES BRUTES'!AB$3:AB$42+(ROW('DONNÉES BRUTES'!A$3:A$42)-ROW('DONNÉES BRUTES'!A$3))/1000,0),0))),"—")</f>
        <v/>
      </c>
      <c r="H15">
        <f t="array" ref="H15">IFERROR(IF(5&gt;COUNTIF('DONNÉES BRUTES'!C$3:C$42,"Materials"),"",INDEX('DONNÉES BRUTES'!AA$3:AA$42,MATCH(LARGE(IF('DONNÉES BRUTES'!C$3:C$42="Materials",'DONNÉES BRUTES'!AB$3:AB$42+(ROW('DONNÉES BRUTES'!A$3:A$42)-ROW('DONNÉES BRUTES'!A$3))/1000,0),5),IF('DONNÉES BRUTES'!C$3:C$42="Materials",'DONNÉES BRUTES'!AB$3:AB$42+(ROW('DONNÉES BRUTES'!A$3:A$42)-ROW('DONNÉES BRUTES'!A$3))/1000,0),0))),"—")</f>
        <v/>
      </c>
      <c r="I15">
        <f t="array" ref="I15">IFERROR(IF(5&gt;COUNTIF('DONNÉES BRUTES'!C$3:C$42,"Materials"),"",INDEX('DONNÉES BRUTES'!M$3:M$42,MATCH(LARGE(IF('DONNÉES BRUTES'!C$3:C$42="Materials",'DONNÉES BRUTES'!AB$3:AB$42+(ROW('DONNÉES BRUTES'!A$3:A$42)-ROW('DONNÉES BRUTES'!A$3))/1000,0),5),IF('DONNÉES BRUTES'!C$3:C$42="Materials",'DONNÉES BRUTES'!AB$3:AB$42+(ROW('DONNÉES BRUTES'!A$3:A$42)-ROW('DONNÉES BRUTES'!A$3))/1000,0),0))),"—")</f>
        <v/>
      </c>
      <c r="J15">
        <f t="array" ref="J15">IFERROR(IF(5&gt;COUNTIF('DONNÉES BRUTES'!C$3:C$42,"Materials"),"",INDEX('DONNÉES BRUTES'!N$3:N$42,MATCH(LARGE(IF('DONNÉES BRUTES'!C$3:C$42="Materials",'DONNÉES BRUTES'!AB$3:AB$42+(ROW('DONNÉES BRUTES'!A$3:A$42)-ROW('DONNÉES BRUTES'!A$3))/1000,0),5),IF('DONNÉES BRUTES'!C$3:C$42="Materials",'DONNÉES BRUTES'!AB$3:AB$42+(ROW('DONNÉES BRUTES'!A$3:A$42)-ROW('DONNÉES BRUTES'!A$3))/1000,0),0))),"—")</f>
        <v/>
      </c>
      <c r="K15">
        <f t="array" ref="K15">IFERROR(IF(5&gt;COUNTIF('DONNÉES BRUTES'!C$3:C$42,"Materials"),"",INDEX('DONNÉES BRUTES'!O$3:O$42,MATCH(LARGE(IF('DONNÉES BRUTES'!C$3:C$42="Materials",'DONNÉES BRUTES'!AB$3:AB$42+(ROW('DONNÉES BRUTES'!A$3:A$42)-ROW('DONNÉES BRUTES'!A$3))/1000,0),5),IF('DONNÉES BRUTES'!C$3:C$42="Materials",'DONNÉES BRUTES'!AB$3:AB$42+(ROW('DONNÉES BRUTES'!A$3:A$42)-ROW('DONNÉES BRUTES'!A$3))/1000,0),0))),"—")</f>
        <v/>
      </c>
      <c r="L15">
        <f t="array" ref="L15">IFERROR(IF(5&gt;COUNTIF('DONNÉES BRUTES'!C$3:C$42,"Materials"),"",INDEX('DONNÉES BRUTES'!P$3:P$42,MATCH(LARGE(IF('DONNÉES BRUTES'!C$3:C$42="Materials",'DONNÉES BRUTES'!AB$3:AB$42+(ROW('DONNÉES BRUTES'!A$3:A$42)-ROW('DONNÉES BRUTES'!A$3))/1000,0),5),IF('DONNÉES BRUTES'!C$3:C$42="Materials",'DONNÉES BRUTES'!AB$3:AB$42+(ROW('DONNÉES BRUTES'!A$3:A$42)-ROW('DONNÉES BRUTES'!A$3))/1000,0),0))),"—")</f>
        <v/>
      </c>
      <c r="M15">
        <f t="array" ref="M15">IFERROR(IF(5&gt;COUNTIF('DONNÉES BRUTES'!C$3:C$42,"Materials"),"",INDEX('DONNÉES BRUTES'!Q$3:Q$42,MATCH(LARGE(IF('DONNÉES BRUTES'!C$3:C$42="Materials",'DONNÉES BRUTES'!AB$3:AB$42+(ROW('DONNÉES BRUTES'!A$3:A$42)-ROW('DONNÉES BRUTES'!A$3))/1000,0),5),IF('DONNÉES BRUTES'!C$3:C$42="Materials",'DONNÉES BRUTES'!AB$3:AB$42+(ROW('DONNÉES BRUTES'!A$3:A$42)-ROW('DONNÉES BRUTES'!A$3))/1000,0),0))),"—")</f>
        <v/>
      </c>
      <c r="N15">
        <f t="array" ref="N15">IFERROR(IF(5&gt;COUNTIF('DONNÉES BRUTES'!C$3:C$42,"Materials"),"",INDEX('DONNÉES BRUTES'!S$3:S$42,MATCH(LARGE(IF('DONNÉES BRUTES'!C$3:C$42="Materials",'DONNÉES BRUTES'!AB$3:AB$42+(ROW('DONNÉES BRUTES'!A$3:A$42)-ROW('DONNÉES BRUTES'!A$3))/1000,0),5),IF('DONNÉES BRUTES'!C$3:C$42="Materials",'DONNÉES BRUTES'!AB$3:AB$42+(ROW('DONNÉES BRUTES'!A$3:A$42)-ROW('DONNÉES BRUTES'!A$3))/1000,0),0))),"—")</f>
        <v/>
      </c>
      <c r="O15">
        <f t="array" ref="O15">IFERROR(IF(5&gt;COUNTIF('DONNÉES BRUTES'!C$3:C$42,"Materials"),"",INDEX('DONNÉES BRUTES'!T$3:T$42,MATCH(LARGE(IF('DONNÉES BRUTES'!C$3:C$42="Materials",'DONNÉES BRUTES'!AB$3:AB$42+(ROW('DONNÉES BRUTES'!A$3:A$42)-ROW('DONNÉES BRUTES'!A$3))/1000,0),5),IF('DONNÉES BRUTES'!C$3:C$42="Materials",'DONNÉES BRUTES'!AB$3:AB$42+(ROW('DONNÉES BRUTES'!A$3:A$42)-ROW('DONNÉES BRUTES'!A$3))/1000,0),0))),"—")</f>
        <v/>
      </c>
      <c r="P15">
        <f t="array" ref="P15">IFERROR(IF(5&gt;COUNTIF('DONNÉES BRUTES'!C$3:C$42,"Materials"),"",INDEX('DONNÉES BRUTES'!U$3:U$42,MATCH(LARGE(IF('DONNÉES BRUTES'!C$3:C$42="Materials",'DONNÉES BRUTES'!AB$3:AB$42+(ROW('DONNÉES BRUTES'!A$3:A$42)-ROW('DONNÉES BRUTES'!A$3))/1000,0),5),IF('DONNÉES BRUTES'!C$3:C$42="Materials",'DONNÉES BRUTES'!AB$3:AB$42+(ROW('DONNÉES BRUTES'!A$3:A$42)-ROW('DONNÉES BRUTES'!A$3))/1000,0),0))),"—")</f>
        <v/>
      </c>
      <c r="Q15">
        <f t="array" ref="Q15">IFERROR(IF(5&gt;COUNTIF('DONNÉES BRUTES'!C$3:C$42,"Materials"),"",INDEX('DONNÉES BRUTES'!AD$3:AD$42,MATCH(LARGE(IF('DONNÉES BRUTES'!C$3:C$42="Materials",'DONNÉES BRUTES'!AB$3:AB$42+(ROW('DONNÉES BRUTES'!A$3:A$42)-ROW('DONNÉES BRUTES'!A$3))/1000,0),5),IF('DONNÉES BRUTES'!C$3:C$42="Materials",'DONNÉES BRUTES'!AB$3:AB$42+(ROW('DONNÉES BRUTES'!A$3:A$42)-ROW('DONNÉES BRUTES'!A$3))/1000,0),0))),"—")</f>
        <v/>
      </c>
    </row>
    <row r="16" ht="15.95" customHeight="1">
      <c r="B16">
        <f>IF(6&gt;COUNTIF('DONNÉES BRUTES'!C$3:C$42,"Materials"),"",6)</f>
        <v/>
      </c>
      <c r="C16">
        <f t="array" ref="C16">IFERROR(IF(6&gt;COUNTIF('DONNÉES BRUTES'!C$3:C$42,"Materials"),"",INDEX('DONNÉES BRUTES'!A$3:A$42,MATCH(LARGE(IF('DONNÉES BRUTES'!C$3:C$42="Materials",'DONNÉES BRUTES'!AB$3:AB$42+(ROW('DONNÉES BRUTES'!A$3:A$42)-ROW('DONNÉES BRUTES'!A$3))/1000,0),6),IF('DONNÉES BRUTES'!C$3:C$42="Materials",'DONNÉES BRUTES'!AB$3:AB$42+(ROW('DONNÉES BRUTES'!A$3:A$42)-ROW('DONNÉES BRUTES'!A$3))/1000,0),0))),"—")</f>
        <v/>
      </c>
      <c r="D16">
        <f t="array" ref="D16">IFERROR(IF(6&gt;COUNTIF('DONNÉES BRUTES'!C$3:C$42,"Materials"),"",INDEX('DONNÉES BRUTES'!B$3:B$42,MATCH(LARGE(IF('DONNÉES BRUTES'!C$3:C$42="Materials",'DONNÉES BRUTES'!AB$3:AB$42+(ROW('DONNÉES BRUTES'!A$3:A$42)-ROW('DONNÉES BRUTES'!A$3))/1000,0),6),IF('DONNÉES BRUTES'!C$3:C$42="Materials",'DONNÉES BRUTES'!AB$3:AB$42+(ROW('DONNÉES BRUTES'!A$3:A$42)-ROW('DONNÉES BRUTES'!A$3))/1000,0),0))),"—")</f>
        <v/>
      </c>
      <c r="E16">
        <f t="array" ref="E16">IFERROR(IF(6&gt;COUNTIF('DONNÉES BRUTES'!C$3:C$42,"Materials"),"",INT(LARGE(IF('DONNÉES BRUTES'!C$3:C$42="Materials",'DONNÉES BRUTES'!AB$3:AB$42+(ROW('DONNÉES BRUTES'!A$3:A$42)-ROW('DONNÉES BRUTES'!A$3))/1000,0),6))&amp;"/100"),"—")</f>
        <v/>
      </c>
      <c r="F16">
        <f t="array" ref="F16">IFERROR(IF(6&gt;COUNTIF('DONNÉES BRUTES'!C$3:C$42,"Materials"),"",INDEX('DONNÉES BRUTES'!Y$3:Y$42,MATCH(LARGE(IF('DONNÉES BRUTES'!C$3:C$42="Materials",'DONNÉES BRUTES'!AB$3:AB$42+(ROW('DONNÉES BRUTES'!A$3:A$42)-ROW('DONNÉES BRUTES'!A$3))/1000,0),6),IF('DONNÉES BRUTES'!C$3:C$42="Materials",'DONNÉES BRUTES'!AB$3:AB$42+(ROW('DONNÉES BRUTES'!A$3:A$42)-ROW('DONNÉES BRUTES'!A$3))/1000,0),0))),"—")</f>
        <v/>
      </c>
      <c r="G16">
        <f t="array" ref="G16">IFERROR(IF(6&gt;COUNTIF('DONNÉES BRUTES'!C$3:C$42,"Materials"),"",INDEX('DONNÉES BRUTES'!Z$3:Z$42,MATCH(LARGE(IF('DONNÉES BRUTES'!C$3:C$42="Materials",'DONNÉES BRUTES'!AB$3:AB$42+(ROW('DONNÉES BRUTES'!A$3:A$42)-ROW('DONNÉES BRUTES'!A$3))/1000,0),6),IF('DONNÉES BRUTES'!C$3:C$42="Materials",'DONNÉES BRUTES'!AB$3:AB$42+(ROW('DONNÉES BRUTES'!A$3:A$42)-ROW('DONNÉES BRUTES'!A$3))/1000,0),0))),"—")</f>
        <v/>
      </c>
      <c r="H16">
        <f t="array" ref="H16">IFERROR(IF(6&gt;COUNTIF('DONNÉES BRUTES'!C$3:C$42,"Materials"),"",INDEX('DONNÉES BRUTES'!AA$3:AA$42,MATCH(LARGE(IF('DONNÉES BRUTES'!C$3:C$42="Materials",'DONNÉES BRUTES'!AB$3:AB$42+(ROW('DONNÉES BRUTES'!A$3:A$42)-ROW('DONNÉES BRUTES'!A$3))/1000,0),6),IF('DONNÉES BRUTES'!C$3:C$42="Materials",'DONNÉES BRUTES'!AB$3:AB$42+(ROW('DONNÉES BRUTES'!A$3:A$42)-ROW('DONNÉES BRUTES'!A$3))/1000,0),0))),"—")</f>
        <v/>
      </c>
      <c r="I16">
        <f t="array" ref="I16">IFERROR(IF(6&gt;COUNTIF('DONNÉES BRUTES'!C$3:C$42,"Materials"),"",INDEX('DONNÉES BRUTES'!M$3:M$42,MATCH(LARGE(IF('DONNÉES BRUTES'!C$3:C$42="Materials",'DONNÉES BRUTES'!AB$3:AB$42+(ROW('DONNÉES BRUTES'!A$3:A$42)-ROW('DONNÉES BRUTES'!A$3))/1000,0),6),IF('DONNÉES BRUTES'!C$3:C$42="Materials",'DONNÉES BRUTES'!AB$3:AB$42+(ROW('DONNÉES BRUTES'!A$3:A$42)-ROW('DONNÉES BRUTES'!A$3))/1000,0),0))),"—")</f>
        <v/>
      </c>
      <c r="J16">
        <f t="array" ref="J16">IFERROR(IF(6&gt;COUNTIF('DONNÉES BRUTES'!C$3:C$42,"Materials"),"",INDEX('DONNÉES BRUTES'!N$3:N$42,MATCH(LARGE(IF('DONNÉES BRUTES'!C$3:C$42="Materials",'DONNÉES BRUTES'!AB$3:AB$42+(ROW('DONNÉES BRUTES'!A$3:A$42)-ROW('DONNÉES BRUTES'!A$3))/1000,0),6),IF('DONNÉES BRUTES'!C$3:C$42="Materials",'DONNÉES BRUTES'!AB$3:AB$42+(ROW('DONNÉES BRUTES'!A$3:A$42)-ROW('DONNÉES BRUTES'!A$3))/1000,0),0))),"—")</f>
        <v/>
      </c>
      <c r="K16">
        <f t="array" ref="K16">IFERROR(IF(6&gt;COUNTIF('DONNÉES BRUTES'!C$3:C$42,"Materials"),"",INDEX('DONNÉES BRUTES'!O$3:O$42,MATCH(LARGE(IF('DONNÉES BRUTES'!C$3:C$42="Materials",'DONNÉES BRUTES'!AB$3:AB$42+(ROW('DONNÉES BRUTES'!A$3:A$42)-ROW('DONNÉES BRUTES'!A$3))/1000,0),6),IF('DONNÉES BRUTES'!C$3:C$42="Materials",'DONNÉES BRUTES'!AB$3:AB$42+(ROW('DONNÉES BRUTES'!A$3:A$42)-ROW('DONNÉES BRUTES'!A$3))/1000,0),0))),"—")</f>
        <v/>
      </c>
      <c r="L16">
        <f t="array" ref="L16">IFERROR(IF(6&gt;COUNTIF('DONNÉES BRUTES'!C$3:C$42,"Materials"),"",INDEX('DONNÉES BRUTES'!P$3:P$42,MATCH(LARGE(IF('DONNÉES BRUTES'!C$3:C$42="Materials",'DONNÉES BRUTES'!AB$3:AB$42+(ROW('DONNÉES BRUTES'!A$3:A$42)-ROW('DONNÉES BRUTES'!A$3))/1000,0),6),IF('DONNÉES BRUTES'!C$3:C$42="Materials",'DONNÉES BRUTES'!AB$3:AB$42+(ROW('DONNÉES BRUTES'!A$3:A$42)-ROW('DONNÉES BRUTES'!A$3))/1000,0),0))),"—")</f>
        <v/>
      </c>
      <c r="M16">
        <f t="array" ref="M16">IFERROR(IF(6&gt;COUNTIF('DONNÉES BRUTES'!C$3:C$42,"Materials"),"",INDEX('DONNÉES BRUTES'!Q$3:Q$42,MATCH(LARGE(IF('DONNÉES BRUTES'!C$3:C$42="Materials",'DONNÉES BRUTES'!AB$3:AB$42+(ROW('DONNÉES BRUTES'!A$3:A$42)-ROW('DONNÉES BRUTES'!A$3))/1000,0),6),IF('DONNÉES BRUTES'!C$3:C$42="Materials",'DONNÉES BRUTES'!AB$3:AB$42+(ROW('DONNÉES BRUTES'!A$3:A$42)-ROW('DONNÉES BRUTES'!A$3))/1000,0),0))),"—")</f>
        <v/>
      </c>
      <c r="N16">
        <f t="array" ref="N16">IFERROR(IF(6&gt;COUNTIF('DONNÉES BRUTES'!C$3:C$42,"Materials"),"",INDEX('DONNÉES BRUTES'!S$3:S$42,MATCH(LARGE(IF('DONNÉES BRUTES'!C$3:C$42="Materials",'DONNÉES BRUTES'!AB$3:AB$42+(ROW('DONNÉES BRUTES'!A$3:A$42)-ROW('DONNÉES BRUTES'!A$3))/1000,0),6),IF('DONNÉES BRUTES'!C$3:C$42="Materials",'DONNÉES BRUTES'!AB$3:AB$42+(ROW('DONNÉES BRUTES'!A$3:A$42)-ROW('DONNÉES BRUTES'!A$3))/1000,0),0))),"—")</f>
        <v/>
      </c>
      <c r="O16">
        <f t="array" ref="O16">IFERROR(IF(6&gt;COUNTIF('DONNÉES BRUTES'!C$3:C$42,"Materials"),"",INDEX('DONNÉES BRUTES'!T$3:T$42,MATCH(LARGE(IF('DONNÉES BRUTES'!C$3:C$42="Materials",'DONNÉES BRUTES'!AB$3:AB$42+(ROW('DONNÉES BRUTES'!A$3:A$42)-ROW('DONNÉES BRUTES'!A$3))/1000,0),6),IF('DONNÉES BRUTES'!C$3:C$42="Materials",'DONNÉES BRUTES'!AB$3:AB$42+(ROW('DONNÉES BRUTES'!A$3:A$42)-ROW('DONNÉES BRUTES'!A$3))/1000,0),0))),"—")</f>
        <v/>
      </c>
      <c r="P16">
        <f t="array" ref="P16">IFERROR(IF(6&gt;COUNTIF('DONNÉES BRUTES'!C$3:C$42,"Materials"),"",INDEX('DONNÉES BRUTES'!U$3:U$42,MATCH(LARGE(IF('DONNÉES BRUTES'!C$3:C$42="Materials",'DONNÉES BRUTES'!AB$3:AB$42+(ROW('DONNÉES BRUTES'!A$3:A$42)-ROW('DONNÉES BRUTES'!A$3))/1000,0),6),IF('DONNÉES BRUTES'!C$3:C$42="Materials",'DONNÉES BRUTES'!AB$3:AB$42+(ROW('DONNÉES BRUTES'!A$3:A$42)-ROW('DONNÉES BRUTES'!A$3))/1000,0),0))),"—")</f>
        <v/>
      </c>
      <c r="Q16">
        <f t="array" ref="Q16">IFERROR(IF(6&gt;COUNTIF('DONNÉES BRUTES'!C$3:C$42,"Materials"),"",INDEX('DONNÉES BRUTES'!AD$3:AD$42,MATCH(LARGE(IF('DONNÉES BRUTES'!C$3:C$42="Materials",'DONNÉES BRUTES'!AB$3:AB$42+(ROW('DONNÉES BRUTES'!A$3:A$42)-ROW('DONNÉES BRUTES'!A$3))/1000,0),6),IF('DONNÉES BRUTES'!C$3:C$42="Materials",'DONNÉES BRUTES'!AB$3:AB$42+(ROW('DONNÉES BRUTES'!A$3:A$42)-ROW('DONNÉES BRUTES'!A$3))/1000,0),0))),"—")</f>
        <v/>
      </c>
    </row>
    <row r="17" ht="15.95" customHeight="1">
      <c r="B17">
        <f>IF(7&gt;COUNTIF('DONNÉES BRUTES'!C$3:C$42,"Materials"),"",7)</f>
        <v/>
      </c>
      <c r="C17">
        <f t="array" ref="C17">IFERROR(IF(7&gt;COUNTIF('DONNÉES BRUTES'!C$3:C$42,"Materials"),"",INDEX('DONNÉES BRUTES'!A$3:A$42,MATCH(LARGE(IF('DONNÉES BRUTES'!C$3:C$42="Materials",'DONNÉES BRUTES'!AB$3:AB$42+(ROW('DONNÉES BRUTES'!A$3:A$42)-ROW('DONNÉES BRUTES'!A$3))/1000,0),7),IF('DONNÉES BRUTES'!C$3:C$42="Materials",'DONNÉES BRUTES'!AB$3:AB$42+(ROW('DONNÉES BRUTES'!A$3:A$42)-ROW('DONNÉES BRUTES'!A$3))/1000,0),0))),"—")</f>
        <v/>
      </c>
      <c r="D17">
        <f t="array" ref="D17">IFERROR(IF(7&gt;COUNTIF('DONNÉES BRUTES'!C$3:C$42,"Materials"),"",INDEX('DONNÉES BRUTES'!B$3:B$42,MATCH(LARGE(IF('DONNÉES BRUTES'!C$3:C$42="Materials",'DONNÉES BRUTES'!AB$3:AB$42+(ROW('DONNÉES BRUTES'!A$3:A$42)-ROW('DONNÉES BRUTES'!A$3))/1000,0),7),IF('DONNÉES BRUTES'!C$3:C$42="Materials",'DONNÉES BRUTES'!AB$3:AB$42+(ROW('DONNÉES BRUTES'!A$3:A$42)-ROW('DONNÉES BRUTES'!A$3))/1000,0),0))),"—")</f>
        <v/>
      </c>
      <c r="E17">
        <f t="array" ref="E17">IFERROR(IF(7&gt;COUNTIF('DONNÉES BRUTES'!C$3:C$42,"Materials"),"",INT(LARGE(IF('DONNÉES BRUTES'!C$3:C$42="Materials",'DONNÉES BRUTES'!AB$3:AB$42+(ROW('DONNÉES BRUTES'!A$3:A$42)-ROW('DONNÉES BRUTES'!A$3))/1000,0),7))&amp;"/100"),"—")</f>
        <v/>
      </c>
      <c r="F17">
        <f t="array" ref="F17">IFERROR(IF(7&gt;COUNTIF('DONNÉES BRUTES'!C$3:C$42,"Materials"),"",INDEX('DONNÉES BRUTES'!Y$3:Y$42,MATCH(LARGE(IF('DONNÉES BRUTES'!C$3:C$42="Materials",'DONNÉES BRUTES'!AB$3:AB$42+(ROW('DONNÉES BRUTES'!A$3:A$42)-ROW('DONNÉES BRUTES'!A$3))/1000,0),7),IF('DONNÉES BRUTES'!C$3:C$42="Materials",'DONNÉES BRUTES'!AB$3:AB$42+(ROW('DONNÉES BRUTES'!A$3:A$42)-ROW('DONNÉES BRUTES'!A$3))/1000,0),0))),"—")</f>
        <v/>
      </c>
      <c r="G17">
        <f t="array" ref="G17">IFERROR(IF(7&gt;COUNTIF('DONNÉES BRUTES'!C$3:C$42,"Materials"),"",INDEX('DONNÉES BRUTES'!Z$3:Z$42,MATCH(LARGE(IF('DONNÉES BRUTES'!C$3:C$42="Materials",'DONNÉES BRUTES'!AB$3:AB$42+(ROW('DONNÉES BRUTES'!A$3:A$42)-ROW('DONNÉES BRUTES'!A$3))/1000,0),7),IF('DONNÉES BRUTES'!C$3:C$42="Materials",'DONNÉES BRUTES'!AB$3:AB$42+(ROW('DONNÉES BRUTES'!A$3:A$42)-ROW('DONNÉES BRUTES'!A$3))/1000,0),0))),"—")</f>
        <v/>
      </c>
      <c r="H17">
        <f t="array" ref="H17">IFERROR(IF(7&gt;COUNTIF('DONNÉES BRUTES'!C$3:C$42,"Materials"),"",INDEX('DONNÉES BRUTES'!AA$3:AA$42,MATCH(LARGE(IF('DONNÉES BRUTES'!C$3:C$42="Materials",'DONNÉES BRUTES'!AB$3:AB$42+(ROW('DONNÉES BRUTES'!A$3:A$42)-ROW('DONNÉES BRUTES'!A$3))/1000,0),7),IF('DONNÉES BRUTES'!C$3:C$42="Materials",'DONNÉES BRUTES'!AB$3:AB$42+(ROW('DONNÉES BRUTES'!A$3:A$42)-ROW('DONNÉES BRUTES'!A$3))/1000,0),0))),"—")</f>
        <v/>
      </c>
      <c r="I17">
        <f t="array" ref="I17">IFERROR(IF(7&gt;COUNTIF('DONNÉES BRUTES'!C$3:C$42,"Materials"),"",INDEX('DONNÉES BRUTES'!M$3:M$42,MATCH(LARGE(IF('DONNÉES BRUTES'!C$3:C$42="Materials",'DONNÉES BRUTES'!AB$3:AB$42+(ROW('DONNÉES BRUTES'!A$3:A$42)-ROW('DONNÉES BRUTES'!A$3))/1000,0),7),IF('DONNÉES BRUTES'!C$3:C$42="Materials",'DONNÉES BRUTES'!AB$3:AB$42+(ROW('DONNÉES BRUTES'!A$3:A$42)-ROW('DONNÉES BRUTES'!A$3))/1000,0),0))),"—")</f>
        <v/>
      </c>
      <c r="J17">
        <f t="array" ref="J17">IFERROR(IF(7&gt;COUNTIF('DONNÉES BRUTES'!C$3:C$42,"Materials"),"",INDEX('DONNÉES BRUTES'!N$3:N$42,MATCH(LARGE(IF('DONNÉES BRUTES'!C$3:C$42="Materials",'DONNÉES BRUTES'!AB$3:AB$42+(ROW('DONNÉES BRUTES'!A$3:A$42)-ROW('DONNÉES BRUTES'!A$3))/1000,0),7),IF('DONNÉES BRUTES'!C$3:C$42="Materials",'DONNÉES BRUTES'!AB$3:AB$42+(ROW('DONNÉES BRUTES'!A$3:A$42)-ROW('DONNÉES BRUTES'!A$3))/1000,0),0))),"—")</f>
        <v/>
      </c>
      <c r="K17">
        <f t="array" ref="K17">IFERROR(IF(7&gt;COUNTIF('DONNÉES BRUTES'!C$3:C$42,"Materials"),"",INDEX('DONNÉES BRUTES'!O$3:O$42,MATCH(LARGE(IF('DONNÉES BRUTES'!C$3:C$42="Materials",'DONNÉES BRUTES'!AB$3:AB$42+(ROW('DONNÉES BRUTES'!A$3:A$42)-ROW('DONNÉES BRUTES'!A$3))/1000,0),7),IF('DONNÉES BRUTES'!C$3:C$42="Materials",'DONNÉES BRUTES'!AB$3:AB$42+(ROW('DONNÉES BRUTES'!A$3:A$42)-ROW('DONNÉES BRUTES'!A$3))/1000,0),0))),"—")</f>
        <v/>
      </c>
      <c r="L17">
        <f t="array" ref="L17">IFERROR(IF(7&gt;COUNTIF('DONNÉES BRUTES'!C$3:C$42,"Materials"),"",INDEX('DONNÉES BRUTES'!P$3:P$42,MATCH(LARGE(IF('DONNÉES BRUTES'!C$3:C$42="Materials",'DONNÉES BRUTES'!AB$3:AB$42+(ROW('DONNÉES BRUTES'!A$3:A$42)-ROW('DONNÉES BRUTES'!A$3))/1000,0),7),IF('DONNÉES BRUTES'!C$3:C$42="Materials",'DONNÉES BRUTES'!AB$3:AB$42+(ROW('DONNÉES BRUTES'!A$3:A$42)-ROW('DONNÉES BRUTES'!A$3))/1000,0),0))),"—")</f>
        <v/>
      </c>
      <c r="M17">
        <f t="array" ref="M17">IFERROR(IF(7&gt;COUNTIF('DONNÉES BRUTES'!C$3:C$42,"Materials"),"",INDEX('DONNÉES BRUTES'!Q$3:Q$42,MATCH(LARGE(IF('DONNÉES BRUTES'!C$3:C$42="Materials",'DONNÉES BRUTES'!AB$3:AB$42+(ROW('DONNÉES BRUTES'!A$3:A$42)-ROW('DONNÉES BRUTES'!A$3))/1000,0),7),IF('DONNÉES BRUTES'!C$3:C$42="Materials",'DONNÉES BRUTES'!AB$3:AB$42+(ROW('DONNÉES BRUTES'!A$3:A$42)-ROW('DONNÉES BRUTES'!A$3))/1000,0),0))),"—")</f>
        <v/>
      </c>
      <c r="N17">
        <f t="array" ref="N17">IFERROR(IF(7&gt;COUNTIF('DONNÉES BRUTES'!C$3:C$42,"Materials"),"",INDEX('DONNÉES BRUTES'!S$3:S$42,MATCH(LARGE(IF('DONNÉES BRUTES'!C$3:C$42="Materials",'DONNÉES BRUTES'!AB$3:AB$42+(ROW('DONNÉES BRUTES'!A$3:A$42)-ROW('DONNÉES BRUTES'!A$3))/1000,0),7),IF('DONNÉES BRUTES'!C$3:C$42="Materials",'DONNÉES BRUTES'!AB$3:AB$42+(ROW('DONNÉES BRUTES'!A$3:A$42)-ROW('DONNÉES BRUTES'!A$3))/1000,0),0))),"—")</f>
        <v/>
      </c>
      <c r="O17">
        <f t="array" ref="O17">IFERROR(IF(7&gt;COUNTIF('DONNÉES BRUTES'!C$3:C$42,"Materials"),"",INDEX('DONNÉES BRUTES'!T$3:T$42,MATCH(LARGE(IF('DONNÉES BRUTES'!C$3:C$42="Materials",'DONNÉES BRUTES'!AB$3:AB$42+(ROW('DONNÉES BRUTES'!A$3:A$42)-ROW('DONNÉES BRUTES'!A$3))/1000,0),7),IF('DONNÉES BRUTES'!C$3:C$42="Materials",'DONNÉES BRUTES'!AB$3:AB$42+(ROW('DONNÉES BRUTES'!A$3:A$42)-ROW('DONNÉES BRUTES'!A$3))/1000,0),0))),"—")</f>
        <v/>
      </c>
      <c r="P17">
        <f t="array" ref="P17">IFERROR(IF(7&gt;COUNTIF('DONNÉES BRUTES'!C$3:C$42,"Materials"),"",INDEX('DONNÉES BRUTES'!U$3:U$42,MATCH(LARGE(IF('DONNÉES BRUTES'!C$3:C$42="Materials",'DONNÉES BRUTES'!AB$3:AB$42+(ROW('DONNÉES BRUTES'!A$3:A$42)-ROW('DONNÉES BRUTES'!A$3))/1000,0),7),IF('DONNÉES BRUTES'!C$3:C$42="Materials",'DONNÉES BRUTES'!AB$3:AB$42+(ROW('DONNÉES BRUTES'!A$3:A$42)-ROW('DONNÉES BRUTES'!A$3))/1000,0),0))),"—")</f>
        <v/>
      </c>
      <c r="Q17">
        <f t="array" ref="Q17">IFERROR(IF(7&gt;COUNTIF('DONNÉES BRUTES'!C$3:C$42,"Materials"),"",INDEX('DONNÉES BRUTES'!AD$3:AD$42,MATCH(LARGE(IF('DONNÉES BRUTES'!C$3:C$42="Materials",'DONNÉES BRUTES'!AB$3:AB$42+(ROW('DONNÉES BRUTES'!A$3:A$42)-ROW('DONNÉES BRUTES'!A$3))/1000,0),7),IF('DONNÉES BRUTES'!C$3:C$42="Materials",'DONNÉES BRUTES'!AB$3:AB$42+(ROW('DONNÉES BRUTES'!A$3:A$42)-ROW('DONNÉES BRUTES'!A$3))/1000,0),0))),"—")</f>
        <v/>
      </c>
    </row>
    <row r="18" ht="15.95" customHeight="1">
      <c r="B18">
        <f>IF(8&gt;COUNTIF('DONNÉES BRUTES'!C$3:C$42,"Materials"),"",8)</f>
        <v/>
      </c>
      <c r="C18">
        <f t="array" ref="C18">IFERROR(IF(8&gt;COUNTIF('DONNÉES BRUTES'!C$3:C$42,"Materials"),"",INDEX('DONNÉES BRUTES'!A$3:A$42,MATCH(LARGE(IF('DONNÉES BRUTES'!C$3:C$42="Materials",'DONNÉES BRUTES'!AB$3:AB$42+(ROW('DONNÉES BRUTES'!A$3:A$42)-ROW('DONNÉES BRUTES'!A$3))/1000,0),8),IF('DONNÉES BRUTES'!C$3:C$42="Materials",'DONNÉES BRUTES'!AB$3:AB$42+(ROW('DONNÉES BRUTES'!A$3:A$42)-ROW('DONNÉES BRUTES'!A$3))/1000,0),0))),"—")</f>
        <v/>
      </c>
      <c r="D18">
        <f t="array" ref="D18">IFERROR(IF(8&gt;COUNTIF('DONNÉES BRUTES'!C$3:C$42,"Materials"),"",INDEX('DONNÉES BRUTES'!B$3:B$42,MATCH(LARGE(IF('DONNÉES BRUTES'!C$3:C$42="Materials",'DONNÉES BRUTES'!AB$3:AB$42+(ROW('DONNÉES BRUTES'!A$3:A$42)-ROW('DONNÉES BRUTES'!A$3))/1000,0),8),IF('DONNÉES BRUTES'!C$3:C$42="Materials",'DONNÉES BRUTES'!AB$3:AB$42+(ROW('DONNÉES BRUTES'!A$3:A$42)-ROW('DONNÉES BRUTES'!A$3))/1000,0),0))),"—")</f>
        <v/>
      </c>
      <c r="E18">
        <f t="array" ref="E18">IFERROR(IF(8&gt;COUNTIF('DONNÉES BRUTES'!C$3:C$42,"Materials"),"",INT(LARGE(IF('DONNÉES BRUTES'!C$3:C$42="Materials",'DONNÉES BRUTES'!AB$3:AB$42+(ROW('DONNÉES BRUTES'!A$3:A$42)-ROW('DONNÉES BRUTES'!A$3))/1000,0),8))&amp;"/100"),"—")</f>
        <v/>
      </c>
      <c r="F18">
        <f t="array" ref="F18">IFERROR(IF(8&gt;COUNTIF('DONNÉES BRUTES'!C$3:C$42,"Materials"),"",INDEX('DONNÉES BRUTES'!Y$3:Y$42,MATCH(LARGE(IF('DONNÉES BRUTES'!C$3:C$42="Materials",'DONNÉES BRUTES'!AB$3:AB$42+(ROW('DONNÉES BRUTES'!A$3:A$42)-ROW('DONNÉES BRUTES'!A$3))/1000,0),8),IF('DONNÉES BRUTES'!C$3:C$42="Materials",'DONNÉES BRUTES'!AB$3:AB$42+(ROW('DONNÉES BRUTES'!A$3:A$42)-ROW('DONNÉES BRUTES'!A$3))/1000,0),0))),"—")</f>
        <v/>
      </c>
      <c r="G18">
        <f t="array" ref="G18">IFERROR(IF(8&gt;COUNTIF('DONNÉES BRUTES'!C$3:C$42,"Materials"),"",INDEX('DONNÉES BRUTES'!Z$3:Z$42,MATCH(LARGE(IF('DONNÉES BRUTES'!C$3:C$42="Materials",'DONNÉES BRUTES'!AB$3:AB$42+(ROW('DONNÉES BRUTES'!A$3:A$42)-ROW('DONNÉES BRUTES'!A$3))/1000,0),8),IF('DONNÉES BRUTES'!C$3:C$42="Materials",'DONNÉES BRUTES'!AB$3:AB$42+(ROW('DONNÉES BRUTES'!A$3:A$42)-ROW('DONNÉES BRUTES'!A$3))/1000,0),0))),"—")</f>
        <v/>
      </c>
      <c r="H18">
        <f t="array" ref="H18">IFERROR(IF(8&gt;COUNTIF('DONNÉES BRUTES'!C$3:C$42,"Materials"),"",INDEX('DONNÉES BRUTES'!AA$3:AA$42,MATCH(LARGE(IF('DONNÉES BRUTES'!C$3:C$42="Materials",'DONNÉES BRUTES'!AB$3:AB$42+(ROW('DONNÉES BRUTES'!A$3:A$42)-ROW('DONNÉES BRUTES'!A$3))/1000,0),8),IF('DONNÉES BRUTES'!C$3:C$42="Materials",'DONNÉES BRUTES'!AB$3:AB$42+(ROW('DONNÉES BRUTES'!A$3:A$42)-ROW('DONNÉES BRUTES'!A$3))/1000,0),0))),"—")</f>
        <v/>
      </c>
      <c r="I18">
        <f t="array" ref="I18">IFERROR(IF(8&gt;COUNTIF('DONNÉES BRUTES'!C$3:C$42,"Materials"),"",INDEX('DONNÉES BRUTES'!M$3:M$42,MATCH(LARGE(IF('DONNÉES BRUTES'!C$3:C$42="Materials",'DONNÉES BRUTES'!AB$3:AB$42+(ROW('DONNÉES BRUTES'!A$3:A$42)-ROW('DONNÉES BRUTES'!A$3))/1000,0),8),IF('DONNÉES BRUTES'!C$3:C$42="Materials",'DONNÉES BRUTES'!AB$3:AB$42+(ROW('DONNÉES BRUTES'!A$3:A$42)-ROW('DONNÉES BRUTES'!A$3))/1000,0),0))),"—")</f>
        <v/>
      </c>
      <c r="J18">
        <f t="array" ref="J18">IFERROR(IF(8&gt;COUNTIF('DONNÉES BRUTES'!C$3:C$42,"Materials"),"",INDEX('DONNÉES BRUTES'!N$3:N$42,MATCH(LARGE(IF('DONNÉES BRUTES'!C$3:C$42="Materials",'DONNÉES BRUTES'!AB$3:AB$42+(ROW('DONNÉES BRUTES'!A$3:A$42)-ROW('DONNÉES BRUTES'!A$3))/1000,0),8),IF('DONNÉES BRUTES'!C$3:C$42="Materials",'DONNÉES BRUTES'!AB$3:AB$42+(ROW('DONNÉES BRUTES'!A$3:A$42)-ROW('DONNÉES BRUTES'!A$3))/1000,0),0))),"—")</f>
        <v/>
      </c>
      <c r="K18">
        <f t="array" ref="K18">IFERROR(IF(8&gt;COUNTIF('DONNÉES BRUTES'!C$3:C$42,"Materials"),"",INDEX('DONNÉES BRUTES'!O$3:O$42,MATCH(LARGE(IF('DONNÉES BRUTES'!C$3:C$42="Materials",'DONNÉES BRUTES'!AB$3:AB$42+(ROW('DONNÉES BRUTES'!A$3:A$42)-ROW('DONNÉES BRUTES'!A$3))/1000,0),8),IF('DONNÉES BRUTES'!C$3:C$42="Materials",'DONNÉES BRUTES'!AB$3:AB$42+(ROW('DONNÉES BRUTES'!A$3:A$42)-ROW('DONNÉES BRUTES'!A$3))/1000,0),0))),"—")</f>
        <v/>
      </c>
      <c r="L18">
        <f t="array" ref="L18">IFERROR(IF(8&gt;COUNTIF('DONNÉES BRUTES'!C$3:C$42,"Materials"),"",INDEX('DONNÉES BRUTES'!P$3:P$42,MATCH(LARGE(IF('DONNÉES BRUTES'!C$3:C$42="Materials",'DONNÉES BRUTES'!AB$3:AB$42+(ROW('DONNÉES BRUTES'!A$3:A$42)-ROW('DONNÉES BRUTES'!A$3))/1000,0),8),IF('DONNÉES BRUTES'!C$3:C$42="Materials",'DONNÉES BRUTES'!AB$3:AB$42+(ROW('DONNÉES BRUTES'!A$3:A$42)-ROW('DONNÉES BRUTES'!A$3))/1000,0),0))),"—")</f>
        <v/>
      </c>
      <c r="M18">
        <f t="array" ref="M18">IFERROR(IF(8&gt;COUNTIF('DONNÉES BRUTES'!C$3:C$42,"Materials"),"",INDEX('DONNÉES BRUTES'!Q$3:Q$42,MATCH(LARGE(IF('DONNÉES BRUTES'!C$3:C$42="Materials",'DONNÉES BRUTES'!AB$3:AB$42+(ROW('DONNÉES BRUTES'!A$3:A$42)-ROW('DONNÉES BRUTES'!A$3))/1000,0),8),IF('DONNÉES BRUTES'!C$3:C$42="Materials",'DONNÉES BRUTES'!AB$3:AB$42+(ROW('DONNÉES BRUTES'!A$3:A$42)-ROW('DONNÉES BRUTES'!A$3))/1000,0),0))),"—")</f>
        <v/>
      </c>
      <c r="N18">
        <f t="array" ref="N18">IFERROR(IF(8&gt;COUNTIF('DONNÉES BRUTES'!C$3:C$42,"Materials"),"",INDEX('DONNÉES BRUTES'!S$3:S$42,MATCH(LARGE(IF('DONNÉES BRUTES'!C$3:C$42="Materials",'DONNÉES BRUTES'!AB$3:AB$42+(ROW('DONNÉES BRUTES'!A$3:A$42)-ROW('DONNÉES BRUTES'!A$3))/1000,0),8),IF('DONNÉES BRUTES'!C$3:C$42="Materials",'DONNÉES BRUTES'!AB$3:AB$42+(ROW('DONNÉES BRUTES'!A$3:A$42)-ROW('DONNÉES BRUTES'!A$3))/1000,0),0))),"—")</f>
        <v/>
      </c>
      <c r="O18">
        <f t="array" ref="O18">IFERROR(IF(8&gt;COUNTIF('DONNÉES BRUTES'!C$3:C$42,"Materials"),"",INDEX('DONNÉES BRUTES'!T$3:T$42,MATCH(LARGE(IF('DONNÉES BRUTES'!C$3:C$42="Materials",'DONNÉES BRUTES'!AB$3:AB$42+(ROW('DONNÉES BRUTES'!A$3:A$42)-ROW('DONNÉES BRUTES'!A$3))/1000,0),8),IF('DONNÉES BRUTES'!C$3:C$42="Materials",'DONNÉES BRUTES'!AB$3:AB$42+(ROW('DONNÉES BRUTES'!A$3:A$42)-ROW('DONNÉES BRUTES'!A$3))/1000,0),0))),"—")</f>
        <v/>
      </c>
      <c r="P18">
        <f t="array" ref="P18">IFERROR(IF(8&gt;COUNTIF('DONNÉES BRUTES'!C$3:C$42,"Materials"),"",INDEX('DONNÉES BRUTES'!U$3:U$42,MATCH(LARGE(IF('DONNÉES BRUTES'!C$3:C$42="Materials",'DONNÉES BRUTES'!AB$3:AB$42+(ROW('DONNÉES BRUTES'!A$3:A$42)-ROW('DONNÉES BRUTES'!A$3))/1000,0),8),IF('DONNÉES BRUTES'!C$3:C$42="Materials",'DONNÉES BRUTES'!AB$3:AB$42+(ROW('DONNÉES BRUTES'!A$3:A$42)-ROW('DONNÉES BRUTES'!A$3))/1000,0),0))),"—")</f>
        <v/>
      </c>
      <c r="Q18">
        <f t="array" ref="Q18">IFERROR(IF(8&gt;COUNTIF('DONNÉES BRUTES'!C$3:C$42,"Materials"),"",INDEX('DONNÉES BRUTES'!AD$3:AD$42,MATCH(LARGE(IF('DONNÉES BRUTES'!C$3:C$42="Materials",'DONNÉES BRUTES'!AB$3:AB$42+(ROW('DONNÉES BRUTES'!A$3:A$42)-ROW('DONNÉES BRUTES'!A$3))/1000,0),8),IF('DONNÉES BRUTES'!C$3:C$42="Materials",'DONNÉES BRUTES'!AB$3:AB$42+(ROW('DONNÉES BRUTES'!A$3:A$42)-ROW('DONNÉES BRUTES'!A$3))/1000,0),0))),"—")</f>
        <v/>
      </c>
    </row>
    <row r="19" ht="15.95" customHeight="1">
      <c r="B19">
        <f>IF(9&gt;COUNTIF('DONNÉES BRUTES'!C$3:C$42,"Materials"),"",9)</f>
        <v/>
      </c>
      <c r="C19">
        <f t="array" ref="C19">IFERROR(IF(9&gt;COUNTIF('DONNÉES BRUTES'!C$3:C$42,"Materials"),"",INDEX('DONNÉES BRUTES'!A$3:A$42,MATCH(LARGE(IF('DONNÉES BRUTES'!C$3:C$42="Materials",'DONNÉES BRUTES'!AB$3:AB$42+(ROW('DONNÉES BRUTES'!A$3:A$42)-ROW('DONNÉES BRUTES'!A$3))/1000,0),9),IF('DONNÉES BRUTES'!C$3:C$42="Materials",'DONNÉES BRUTES'!AB$3:AB$42+(ROW('DONNÉES BRUTES'!A$3:A$42)-ROW('DONNÉES BRUTES'!A$3))/1000,0),0))),"—")</f>
        <v/>
      </c>
      <c r="D19">
        <f t="array" ref="D19">IFERROR(IF(9&gt;COUNTIF('DONNÉES BRUTES'!C$3:C$42,"Materials"),"",INDEX('DONNÉES BRUTES'!B$3:B$42,MATCH(LARGE(IF('DONNÉES BRUTES'!C$3:C$42="Materials",'DONNÉES BRUTES'!AB$3:AB$42+(ROW('DONNÉES BRUTES'!A$3:A$42)-ROW('DONNÉES BRUTES'!A$3))/1000,0),9),IF('DONNÉES BRUTES'!C$3:C$42="Materials",'DONNÉES BRUTES'!AB$3:AB$42+(ROW('DONNÉES BRUTES'!A$3:A$42)-ROW('DONNÉES BRUTES'!A$3))/1000,0),0))),"—")</f>
        <v/>
      </c>
      <c r="E19">
        <f t="array" ref="E19">IFERROR(IF(9&gt;COUNTIF('DONNÉES BRUTES'!C$3:C$42,"Materials"),"",INT(LARGE(IF('DONNÉES BRUTES'!C$3:C$42="Materials",'DONNÉES BRUTES'!AB$3:AB$42+(ROW('DONNÉES BRUTES'!A$3:A$42)-ROW('DONNÉES BRUTES'!A$3))/1000,0),9))&amp;"/100"),"—")</f>
        <v/>
      </c>
      <c r="F19">
        <f t="array" ref="F19">IFERROR(IF(9&gt;COUNTIF('DONNÉES BRUTES'!C$3:C$42,"Materials"),"",INDEX('DONNÉES BRUTES'!Y$3:Y$42,MATCH(LARGE(IF('DONNÉES BRUTES'!C$3:C$42="Materials",'DONNÉES BRUTES'!AB$3:AB$42+(ROW('DONNÉES BRUTES'!A$3:A$42)-ROW('DONNÉES BRUTES'!A$3))/1000,0),9),IF('DONNÉES BRUTES'!C$3:C$42="Materials",'DONNÉES BRUTES'!AB$3:AB$42+(ROW('DONNÉES BRUTES'!A$3:A$42)-ROW('DONNÉES BRUTES'!A$3))/1000,0),0))),"—")</f>
        <v/>
      </c>
      <c r="G19">
        <f t="array" ref="G19">IFERROR(IF(9&gt;COUNTIF('DONNÉES BRUTES'!C$3:C$42,"Materials"),"",INDEX('DONNÉES BRUTES'!Z$3:Z$42,MATCH(LARGE(IF('DONNÉES BRUTES'!C$3:C$42="Materials",'DONNÉES BRUTES'!AB$3:AB$42+(ROW('DONNÉES BRUTES'!A$3:A$42)-ROW('DONNÉES BRUTES'!A$3))/1000,0),9),IF('DONNÉES BRUTES'!C$3:C$42="Materials",'DONNÉES BRUTES'!AB$3:AB$42+(ROW('DONNÉES BRUTES'!A$3:A$42)-ROW('DONNÉES BRUTES'!A$3))/1000,0),0))),"—")</f>
        <v/>
      </c>
      <c r="H19">
        <f t="array" ref="H19">IFERROR(IF(9&gt;COUNTIF('DONNÉES BRUTES'!C$3:C$42,"Materials"),"",INDEX('DONNÉES BRUTES'!AA$3:AA$42,MATCH(LARGE(IF('DONNÉES BRUTES'!C$3:C$42="Materials",'DONNÉES BRUTES'!AB$3:AB$42+(ROW('DONNÉES BRUTES'!A$3:A$42)-ROW('DONNÉES BRUTES'!A$3))/1000,0),9),IF('DONNÉES BRUTES'!C$3:C$42="Materials",'DONNÉES BRUTES'!AB$3:AB$42+(ROW('DONNÉES BRUTES'!A$3:A$42)-ROW('DONNÉES BRUTES'!A$3))/1000,0),0))),"—")</f>
        <v/>
      </c>
      <c r="I19">
        <f t="array" ref="I19">IFERROR(IF(9&gt;COUNTIF('DONNÉES BRUTES'!C$3:C$42,"Materials"),"",INDEX('DONNÉES BRUTES'!M$3:M$42,MATCH(LARGE(IF('DONNÉES BRUTES'!C$3:C$42="Materials",'DONNÉES BRUTES'!AB$3:AB$42+(ROW('DONNÉES BRUTES'!A$3:A$42)-ROW('DONNÉES BRUTES'!A$3))/1000,0),9),IF('DONNÉES BRUTES'!C$3:C$42="Materials",'DONNÉES BRUTES'!AB$3:AB$42+(ROW('DONNÉES BRUTES'!A$3:A$42)-ROW('DONNÉES BRUTES'!A$3))/1000,0),0))),"—")</f>
        <v/>
      </c>
      <c r="J19">
        <f t="array" ref="J19">IFERROR(IF(9&gt;COUNTIF('DONNÉES BRUTES'!C$3:C$42,"Materials"),"",INDEX('DONNÉES BRUTES'!N$3:N$42,MATCH(LARGE(IF('DONNÉES BRUTES'!C$3:C$42="Materials",'DONNÉES BRUTES'!AB$3:AB$42+(ROW('DONNÉES BRUTES'!A$3:A$42)-ROW('DONNÉES BRUTES'!A$3))/1000,0),9),IF('DONNÉES BRUTES'!C$3:C$42="Materials",'DONNÉES BRUTES'!AB$3:AB$42+(ROW('DONNÉES BRUTES'!A$3:A$42)-ROW('DONNÉES BRUTES'!A$3))/1000,0),0))),"—")</f>
        <v/>
      </c>
      <c r="K19">
        <f t="array" ref="K19">IFERROR(IF(9&gt;COUNTIF('DONNÉES BRUTES'!C$3:C$42,"Materials"),"",INDEX('DONNÉES BRUTES'!O$3:O$42,MATCH(LARGE(IF('DONNÉES BRUTES'!C$3:C$42="Materials",'DONNÉES BRUTES'!AB$3:AB$42+(ROW('DONNÉES BRUTES'!A$3:A$42)-ROW('DONNÉES BRUTES'!A$3))/1000,0),9),IF('DONNÉES BRUTES'!C$3:C$42="Materials",'DONNÉES BRUTES'!AB$3:AB$42+(ROW('DONNÉES BRUTES'!A$3:A$42)-ROW('DONNÉES BRUTES'!A$3))/1000,0),0))),"—")</f>
        <v/>
      </c>
      <c r="L19">
        <f t="array" ref="L19">IFERROR(IF(9&gt;COUNTIF('DONNÉES BRUTES'!C$3:C$42,"Materials"),"",INDEX('DONNÉES BRUTES'!P$3:P$42,MATCH(LARGE(IF('DONNÉES BRUTES'!C$3:C$42="Materials",'DONNÉES BRUTES'!AB$3:AB$42+(ROW('DONNÉES BRUTES'!A$3:A$42)-ROW('DONNÉES BRUTES'!A$3))/1000,0),9),IF('DONNÉES BRUTES'!C$3:C$42="Materials",'DONNÉES BRUTES'!AB$3:AB$42+(ROW('DONNÉES BRUTES'!A$3:A$42)-ROW('DONNÉES BRUTES'!A$3))/1000,0),0))),"—")</f>
        <v/>
      </c>
      <c r="M19">
        <f t="array" ref="M19">IFERROR(IF(9&gt;COUNTIF('DONNÉES BRUTES'!C$3:C$42,"Materials"),"",INDEX('DONNÉES BRUTES'!Q$3:Q$42,MATCH(LARGE(IF('DONNÉES BRUTES'!C$3:C$42="Materials",'DONNÉES BRUTES'!AB$3:AB$42+(ROW('DONNÉES BRUTES'!A$3:A$42)-ROW('DONNÉES BRUTES'!A$3))/1000,0),9),IF('DONNÉES BRUTES'!C$3:C$42="Materials",'DONNÉES BRUTES'!AB$3:AB$42+(ROW('DONNÉES BRUTES'!A$3:A$42)-ROW('DONNÉES BRUTES'!A$3))/1000,0),0))),"—")</f>
        <v/>
      </c>
      <c r="N19">
        <f t="array" ref="N19">IFERROR(IF(9&gt;COUNTIF('DONNÉES BRUTES'!C$3:C$42,"Materials"),"",INDEX('DONNÉES BRUTES'!S$3:S$42,MATCH(LARGE(IF('DONNÉES BRUTES'!C$3:C$42="Materials",'DONNÉES BRUTES'!AB$3:AB$42+(ROW('DONNÉES BRUTES'!A$3:A$42)-ROW('DONNÉES BRUTES'!A$3))/1000,0),9),IF('DONNÉES BRUTES'!C$3:C$42="Materials",'DONNÉES BRUTES'!AB$3:AB$42+(ROW('DONNÉES BRUTES'!A$3:A$42)-ROW('DONNÉES BRUTES'!A$3))/1000,0),0))),"—")</f>
        <v/>
      </c>
      <c r="O19">
        <f t="array" ref="O19">IFERROR(IF(9&gt;COUNTIF('DONNÉES BRUTES'!C$3:C$42,"Materials"),"",INDEX('DONNÉES BRUTES'!T$3:T$42,MATCH(LARGE(IF('DONNÉES BRUTES'!C$3:C$42="Materials",'DONNÉES BRUTES'!AB$3:AB$42+(ROW('DONNÉES BRUTES'!A$3:A$42)-ROW('DONNÉES BRUTES'!A$3))/1000,0),9),IF('DONNÉES BRUTES'!C$3:C$42="Materials",'DONNÉES BRUTES'!AB$3:AB$42+(ROW('DONNÉES BRUTES'!A$3:A$42)-ROW('DONNÉES BRUTES'!A$3))/1000,0),0))),"—")</f>
        <v/>
      </c>
      <c r="P19">
        <f t="array" ref="P19">IFERROR(IF(9&gt;COUNTIF('DONNÉES BRUTES'!C$3:C$42,"Materials"),"",INDEX('DONNÉES BRUTES'!U$3:U$42,MATCH(LARGE(IF('DONNÉES BRUTES'!C$3:C$42="Materials",'DONNÉES BRUTES'!AB$3:AB$42+(ROW('DONNÉES BRUTES'!A$3:A$42)-ROW('DONNÉES BRUTES'!A$3))/1000,0),9),IF('DONNÉES BRUTES'!C$3:C$42="Materials",'DONNÉES BRUTES'!AB$3:AB$42+(ROW('DONNÉES BRUTES'!A$3:A$42)-ROW('DONNÉES BRUTES'!A$3))/1000,0),0))),"—")</f>
        <v/>
      </c>
      <c r="Q19">
        <f t="array" ref="Q19">IFERROR(IF(9&gt;COUNTIF('DONNÉES BRUTES'!C$3:C$42,"Materials"),"",INDEX('DONNÉES BRUTES'!AD$3:AD$42,MATCH(LARGE(IF('DONNÉES BRUTES'!C$3:C$42="Materials",'DONNÉES BRUTES'!AB$3:AB$42+(ROW('DONNÉES BRUTES'!A$3:A$42)-ROW('DONNÉES BRUTES'!A$3))/1000,0),9),IF('DONNÉES BRUTES'!C$3:C$42="Materials",'DONNÉES BRUTES'!AB$3:AB$42+(ROW('DONNÉES BRUTES'!A$3:A$42)-ROW('DONNÉES BRUTES'!A$3))/1000,0),0))),"—")</f>
        <v/>
      </c>
    </row>
    <row r="20" ht="15.95" customHeight="1">
      <c r="B20">
        <f>IF(10&gt;COUNTIF('DONNÉES BRUTES'!C$3:C$42,"Materials"),"",10)</f>
        <v/>
      </c>
      <c r="C20">
        <f t="array" ref="C20">IFERROR(IF(10&gt;COUNTIF('DONNÉES BRUTES'!C$3:C$42,"Materials"),"",INDEX('DONNÉES BRUTES'!A$3:A$42,MATCH(LARGE(IF('DONNÉES BRUTES'!C$3:C$42="Materials",'DONNÉES BRUTES'!AB$3:AB$42+(ROW('DONNÉES BRUTES'!A$3:A$42)-ROW('DONNÉES BRUTES'!A$3))/1000,0),10),IF('DONNÉES BRUTES'!C$3:C$42="Materials",'DONNÉES BRUTES'!AB$3:AB$42+(ROW('DONNÉES BRUTES'!A$3:A$42)-ROW('DONNÉES BRUTES'!A$3))/1000,0),0))),"—")</f>
        <v/>
      </c>
      <c r="D20">
        <f t="array" ref="D20">IFERROR(IF(10&gt;COUNTIF('DONNÉES BRUTES'!C$3:C$42,"Materials"),"",INDEX('DONNÉES BRUTES'!B$3:B$42,MATCH(LARGE(IF('DONNÉES BRUTES'!C$3:C$42="Materials",'DONNÉES BRUTES'!AB$3:AB$42+(ROW('DONNÉES BRUTES'!A$3:A$42)-ROW('DONNÉES BRUTES'!A$3))/1000,0),10),IF('DONNÉES BRUTES'!C$3:C$42="Materials",'DONNÉES BRUTES'!AB$3:AB$42+(ROW('DONNÉES BRUTES'!A$3:A$42)-ROW('DONNÉES BRUTES'!A$3))/1000,0),0))),"—")</f>
        <v/>
      </c>
      <c r="E20">
        <f t="array" ref="E20">IFERROR(IF(10&gt;COUNTIF('DONNÉES BRUTES'!C$3:C$42,"Materials"),"",INT(LARGE(IF('DONNÉES BRUTES'!C$3:C$42="Materials",'DONNÉES BRUTES'!AB$3:AB$42+(ROW('DONNÉES BRUTES'!A$3:A$42)-ROW('DONNÉES BRUTES'!A$3))/1000,0),10))&amp;"/100"),"—")</f>
        <v/>
      </c>
      <c r="F20">
        <f t="array" ref="F20">IFERROR(IF(10&gt;COUNTIF('DONNÉES BRUTES'!C$3:C$42,"Materials"),"",INDEX('DONNÉES BRUTES'!Y$3:Y$42,MATCH(LARGE(IF('DONNÉES BRUTES'!C$3:C$42="Materials",'DONNÉES BRUTES'!AB$3:AB$42+(ROW('DONNÉES BRUTES'!A$3:A$42)-ROW('DONNÉES BRUTES'!A$3))/1000,0),10),IF('DONNÉES BRUTES'!C$3:C$42="Materials",'DONNÉES BRUTES'!AB$3:AB$42+(ROW('DONNÉES BRUTES'!A$3:A$42)-ROW('DONNÉES BRUTES'!A$3))/1000,0),0))),"—")</f>
        <v/>
      </c>
      <c r="G20">
        <f t="array" ref="G20">IFERROR(IF(10&gt;COUNTIF('DONNÉES BRUTES'!C$3:C$42,"Materials"),"",INDEX('DONNÉES BRUTES'!Z$3:Z$42,MATCH(LARGE(IF('DONNÉES BRUTES'!C$3:C$42="Materials",'DONNÉES BRUTES'!AB$3:AB$42+(ROW('DONNÉES BRUTES'!A$3:A$42)-ROW('DONNÉES BRUTES'!A$3))/1000,0),10),IF('DONNÉES BRUTES'!C$3:C$42="Materials",'DONNÉES BRUTES'!AB$3:AB$42+(ROW('DONNÉES BRUTES'!A$3:A$42)-ROW('DONNÉES BRUTES'!A$3))/1000,0),0))),"—")</f>
        <v/>
      </c>
      <c r="H20">
        <f t="array" ref="H20">IFERROR(IF(10&gt;COUNTIF('DONNÉES BRUTES'!C$3:C$42,"Materials"),"",INDEX('DONNÉES BRUTES'!AA$3:AA$42,MATCH(LARGE(IF('DONNÉES BRUTES'!C$3:C$42="Materials",'DONNÉES BRUTES'!AB$3:AB$42+(ROW('DONNÉES BRUTES'!A$3:A$42)-ROW('DONNÉES BRUTES'!A$3))/1000,0),10),IF('DONNÉES BRUTES'!C$3:C$42="Materials",'DONNÉES BRUTES'!AB$3:AB$42+(ROW('DONNÉES BRUTES'!A$3:A$42)-ROW('DONNÉES BRUTES'!A$3))/1000,0),0))),"—")</f>
        <v/>
      </c>
      <c r="I20">
        <f t="array" ref="I20">IFERROR(IF(10&gt;COUNTIF('DONNÉES BRUTES'!C$3:C$42,"Materials"),"",INDEX('DONNÉES BRUTES'!M$3:M$42,MATCH(LARGE(IF('DONNÉES BRUTES'!C$3:C$42="Materials",'DONNÉES BRUTES'!AB$3:AB$42+(ROW('DONNÉES BRUTES'!A$3:A$42)-ROW('DONNÉES BRUTES'!A$3))/1000,0),10),IF('DONNÉES BRUTES'!C$3:C$42="Materials",'DONNÉES BRUTES'!AB$3:AB$42+(ROW('DONNÉES BRUTES'!A$3:A$42)-ROW('DONNÉES BRUTES'!A$3))/1000,0),0))),"—")</f>
        <v/>
      </c>
      <c r="J20">
        <f t="array" ref="J20">IFERROR(IF(10&gt;COUNTIF('DONNÉES BRUTES'!C$3:C$42,"Materials"),"",INDEX('DONNÉES BRUTES'!N$3:N$42,MATCH(LARGE(IF('DONNÉES BRUTES'!C$3:C$42="Materials",'DONNÉES BRUTES'!AB$3:AB$42+(ROW('DONNÉES BRUTES'!A$3:A$42)-ROW('DONNÉES BRUTES'!A$3))/1000,0),10),IF('DONNÉES BRUTES'!C$3:C$42="Materials",'DONNÉES BRUTES'!AB$3:AB$42+(ROW('DONNÉES BRUTES'!A$3:A$42)-ROW('DONNÉES BRUTES'!A$3))/1000,0),0))),"—")</f>
        <v/>
      </c>
      <c r="K20">
        <f t="array" ref="K20">IFERROR(IF(10&gt;COUNTIF('DONNÉES BRUTES'!C$3:C$42,"Materials"),"",INDEX('DONNÉES BRUTES'!O$3:O$42,MATCH(LARGE(IF('DONNÉES BRUTES'!C$3:C$42="Materials",'DONNÉES BRUTES'!AB$3:AB$42+(ROW('DONNÉES BRUTES'!A$3:A$42)-ROW('DONNÉES BRUTES'!A$3))/1000,0),10),IF('DONNÉES BRUTES'!C$3:C$42="Materials",'DONNÉES BRUTES'!AB$3:AB$42+(ROW('DONNÉES BRUTES'!A$3:A$42)-ROW('DONNÉES BRUTES'!A$3))/1000,0),0))),"—")</f>
        <v/>
      </c>
      <c r="L20">
        <f t="array" ref="L20">IFERROR(IF(10&gt;COUNTIF('DONNÉES BRUTES'!C$3:C$42,"Materials"),"",INDEX('DONNÉES BRUTES'!P$3:P$42,MATCH(LARGE(IF('DONNÉES BRUTES'!C$3:C$42="Materials",'DONNÉES BRUTES'!AB$3:AB$42+(ROW('DONNÉES BRUTES'!A$3:A$42)-ROW('DONNÉES BRUTES'!A$3))/1000,0),10),IF('DONNÉES BRUTES'!C$3:C$42="Materials",'DONNÉES BRUTES'!AB$3:AB$42+(ROW('DONNÉES BRUTES'!A$3:A$42)-ROW('DONNÉES BRUTES'!A$3))/1000,0),0))),"—")</f>
        <v/>
      </c>
      <c r="M20">
        <f t="array" ref="M20">IFERROR(IF(10&gt;COUNTIF('DONNÉES BRUTES'!C$3:C$42,"Materials"),"",INDEX('DONNÉES BRUTES'!Q$3:Q$42,MATCH(LARGE(IF('DONNÉES BRUTES'!C$3:C$42="Materials",'DONNÉES BRUTES'!AB$3:AB$42+(ROW('DONNÉES BRUTES'!A$3:A$42)-ROW('DONNÉES BRUTES'!A$3))/1000,0),10),IF('DONNÉES BRUTES'!C$3:C$42="Materials",'DONNÉES BRUTES'!AB$3:AB$42+(ROW('DONNÉES BRUTES'!A$3:A$42)-ROW('DONNÉES BRUTES'!A$3))/1000,0),0))),"—")</f>
        <v/>
      </c>
      <c r="N20">
        <f t="array" ref="N20">IFERROR(IF(10&gt;COUNTIF('DONNÉES BRUTES'!C$3:C$42,"Materials"),"",INDEX('DONNÉES BRUTES'!S$3:S$42,MATCH(LARGE(IF('DONNÉES BRUTES'!C$3:C$42="Materials",'DONNÉES BRUTES'!AB$3:AB$42+(ROW('DONNÉES BRUTES'!A$3:A$42)-ROW('DONNÉES BRUTES'!A$3))/1000,0),10),IF('DONNÉES BRUTES'!C$3:C$42="Materials",'DONNÉES BRUTES'!AB$3:AB$42+(ROW('DONNÉES BRUTES'!A$3:A$42)-ROW('DONNÉES BRUTES'!A$3))/1000,0),0))),"—")</f>
        <v/>
      </c>
      <c r="O20">
        <f t="array" ref="O20">IFERROR(IF(10&gt;COUNTIF('DONNÉES BRUTES'!C$3:C$42,"Materials"),"",INDEX('DONNÉES BRUTES'!T$3:T$42,MATCH(LARGE(IF('DONNÉES BRUTES'!C$3:C$42="Materials",'DONNÉES BRUTES'!AB$3:AB$42+(ROW('DONNÉES BRUTES'!A$3:A$42)-ROW('DONNÉES BRUTES'!A$3))/1000,0),10),IF('DONNÉES BRUTES'!C$3:C$42="Materials",'DONNÉES BRUTES'!AB$3:AB$42+(ROW('DONNÉES BRUTES'!A$3:A$42)-ROW('DONNÉES BRUTES'!A$3))/1000,0),0))),"—")</f>
        <v/>
      </c>
      <c r="P20">
        <f t="array" ref="P20">IFERROR(IF(10&gt;COUNTIF('DONNÉES BRUTES'!C$3:C$42,"Materials"),"",INDEX('DONNÉES BRUTES'!U$3:U$42,MATCH(LARGE(IF('DONNÉES BRUTES'!C$3:C$42="Materials",'DONNÉES BRUTES'!AB$3:AB$42+(ROW('DONNÉES BRUTES'!A$3:A$42)-ROW('DONNÉES BRUTES'!A$3))/1000,0),10),IF('DONNÉES BRUTES'!C$3:C$42="Materials",'DONNÉES BRUTES'!AB$3:AB$42+(ROW('DONNÉES BRUTES'!A$3:A$42)-ROW('DONNÉES BRUTES'!A$3))/1000,0),0))),"—")</f>
        <v/>
      </c>
      <c r="Q20">
        <f t="array" ref="Q20">IFERROR(IF(10&gt;COUNTIF('DONNÉES BRUTES'!C$3:C$42,"Materials"),"",INDEX('DONNÉES BRUTES'!AD$3:AD$42,MATCH(LARGE(IF('DONNÉES BRUTES'!C$3:C$42="Materials",'DONNÉES BRUTES'!AB$3:AB$42+(ROW('DONNÉES BRUTES'!A$3:A$42)-ROW('DONNÉES BRUTES'!A$3))/1000,0),10),IF('DONNÉES BRUTES'!C$3:C$42="Materials",'DONNÉES BRUTES'!AB$3:AB$42+(ROW('DONNÉES BRUTES'!A$3:A$42)-ROW('DONNÉES BRUTES'!A$3))/1000,0),0))),"—")</f>
        <v/>
      </c>
    </row>
    <row r="21" ht="15.95" customHeight="1">
      <c r="B21">
        <f>IF(11&gt;COUNTIF('DONNÉES BRUTES'!C$3:C$42,"Materials"),"",11)</f>
        <v/>
      </c>
      <c r="C21">
        <f t="array" ref="C21">IFERROR(IF(11&gt;COUNTIF('DONNÉES BRUTES'!C$3:C$42,"Materials"),"",INDEX('DONNÉES BRUTES'!A$3:A$42,MATCH(LARGE(IF('DONNÉES BRUTES'!C$3:C$42="Materials",'DONNÉES BRUTES'!AB$3:AB$42+(ROW('DONNÉES BRUTES'!A$3:A$42)-ROW('DONNÉES BRUTES'!A$3))/1000,0),11),IF('DONNÉES BRUTES'!C$3:C$42="Materials",'DONNÉES BRUTES'!AB$3:AB$42+(ROW('DONNÉES BRUTES'!A$3:A$42)-ROW('DONNÉES BRUTES'!A$3))/1000,0),0))),"—")</f>
        <v/>
      </c>
      <c r="D21">
        <f t="array" ref="D21">IFERROR(IF(11&gt;COUNTIF('DONNÉES BRUTES'!C$3:C$42,"Materials"),"",INDEX('DONNÉES BRUTES'!B$3:B$42,MATCH(LARGE(IF('DONNÉES BRUTES'!C$3:C$42="Materials",'DONNÉES BRUTES'!AB$3:AB$42+(ROW('DONNÉES BRUTES'!A$3:A$42)-ROW('DONNÉES BRUTES'!A$3))/1000,0),11),IF('DONNÉES BRUTES'!C$3:C$42="Materials",'DONNÉES BRUTES'!AB$3:AB$42+(ROW('DONNÉES BRUTES'!A$3:A$42)-ROW('DONNÉES BRUTES'!A$3))/1000,0),0))),"—")</f>
        <v/>
      </c>
      <c r="E21">
        <f t="array" ref="E21">IFERROR(IF(11&gt;COUNTIF('DONNÉES BRUTES'!C$3:C$42,"Materials"),"",INT(LARGE(IF('DONNÉES BRUTES'!C$3:C$42="Materials",'DONNÉES BRUTES'!AB$3:AB$42+(ROW('DONNÉES BRUTES'!A$3:A$42)-ROW('DONNÉES BRUTES'!A$3))/1000,0),11))&amp;"/100"),"—")</f>
        <v/>
      </c>
      <c r="F21">
        <f t="array" ref="F21">IFERROR(IF(11&gt;COUNTIF('DONNÉES BRUTES'!C$3:C$42,"Materials"),"",INDEX('DONNÉES BRUTES'!Y$3:Y$42,MATCH(LARGE(IF('DONNÉES BRUTES'!C$3:C$42="Materials",'DONNÉES BRUTES'!AB$3:AB$42+(ROW('DONNÉES BRUTES'!A$3:A$42)-ROW('DONNÉES BRUTES'!A$3))/1000,0),11),IF('DONNÉES BRUTES'!C$3:C$42="Materials",'DONNÉES BRUTES'!AB$3:AB$42+(ROW('DONNÉES BRUTES'!A$3:A$42)-ROW('DONNÉES BRUTES'!A$3))/1000,0),0))),"—")</f>
        <v/>
      </c>
      <c r="G21">
        <f t="array" ref="G21">IFERROR(IF(11&gt;COUNTIF('DONNÉES BRUTES'!C$3:C$42,"Materials"),"",INDEX('DONNÉES BRUTES'!Z$3:Z$42,MATCH(LARGE(IF('DONNÉES BRUTES'!C$3:C$42="Materials",'DONNÉES BRUTES'!AB$3:AB$42+(ROW('DONNÉES BRUTES'!A$3:A$42)-ROW('DONNÉES BRUTES'!A$3))/1000,0),11),IF('DONNÉES BRUTES'!C$3:C$42="Materials",'DONNÉES BRUTES'!AB$3:AB$42+(ROW('DONNÉES BRUTES'!A$3:A$42)-ROW('DONNÉES BRUTES'!A$3))/1000,0),0))),"—")</f>
        <v/>
      </c>
      <c r="H21">
        <f t="array" ref="H21">IFERROR(IF(11&gt;COUNTIF('DONNÉES BRUTES'!C$3:C$42,"Materials"),"",INDEX('DONNÉES BRUTES'!AA$3:AA$42,MATCH(LARGE(IF('DONNÉES BRUTES'!C$3:C$42="Materials",'DONNÉES BRUTES'!AB$3:AB$42+(ROW('DONNÉES BRUTES'!A$3:A$42)-ROW('DONNÉES BRUTES'!A$3))/1000,0),11),IF('DONNÉES BRUTES'!C$3:C$42="Materials",'DONNÉES BRUTES'!AB$3:AB$42+(ROW('DONNÉES BRUTES'!A$3:A$42)-ROW('DONNÉES BRUTES'!A$3))/1000,0),0))),"—")</f>
        <v/>
      </c>
      <c r="I21">
        <f t="array" ref="I21">IFERROR(IF(11&gt;COUNTIF('DONNÉES BRUTES'!C$3:C$42,"Materials"),"",INDEX('DONNÉES BRUTES'!M$3:M$42,MATCH(LARGE(IF('DONNÉES BRUTES'!C$3:C$42="Materials",'DONNÉES BRUTES'!AB$3:AB$42+(ROW('DONNÉES BRUTES'!A$3:A$42)-ROW('DONNÉES BRUTES'!A$3))/1000,0),11),IF('DONNÉES BRUTES'!C$3:C$42="Materials",'DONNÉES BRUTES'!AB$3:AB$42+(ROW('DONNÉES BRUTES'!A$3:A$42)-ROW('DONNÉES BRUTES'!A$3))/1000,0),0))),"—")</f>
        <v/>
      </c>
      <c r="J21">
        <f t="array" ref="J21">IFERROR(IF(11&gt;COUNTIF('DONNÉES BRUTES'!C$3:C$42,"Materials"),"",INDEX('DONNÉES BRUTES'!N$3:N$42,MATCH(LARGE(IF('DONNÉES BRUTES'!C$3:C$42="Materials",'DONNÉES BRUTES'!AB$3:AB$42+(ROW('DONNÉES BRUTES'!A$3:A$42)-ROW('DONNÉES BRUTES'!A$3))/1000,0),11),IF('DONNÉES BRUTES'!C$3:C$42="Materials",'DONNÉES BRUTES'!AB$3:AB$42+(ROW('DONNÉES BRUTES'!A$3:A$42)-ROW('DONNÉES BRUTES'!A$3))/1000,0),0))),"—")</f>
        <v/>
      </c>
      <c r="K21">
        <f t="array" ref="K21">IFERROR(IF(11&gt;COUNTIF('DONNÉES BRUTES'!C$3:C$42,"Materials"),"",INDEX('DONNÉES BRUTES'!O$3:O$42,MATCH(LARGE(IF('DONNÉES BRUTES'!C$3:C$42="Materials",'DONNÉES BRUTES'!AB$3:AB$42+(ROW('DONNÉES BRUTES'!A$3:A$42)-ROW('DONNÉES BRUTES'!A$3))/1000,0),11),IF('DONNÉES BRUTES'!C$3:C$42="Materials",'DONNÉES BRUTES'!AB$3:AB$42+(ROW('DONNÉES BRUTES'!A$3:A$42)-ROW('DONNÉES BRUTES'!A$3))/1000,0),0))),"—")</f>
        <v/>
      </c>
      <c r="L21">
        <f t="array" ref="L21">IFERROR(IF(11&gt;COUNTIF('DONNÉES BRUTES'!C$3:C$42,"Materials"),"",INDEX('DONNÉES BRUTES'!P$3:P$42,MATCH(LARGE(IF('DONNÉES BRUTES'!C$3:C$42="Materials",'DONNÉES BRUTES'!AB$3:AB$42+(ROW('DONNÉES BRUTES'!A$3:A$42)-ROW('DONNÉES BRUTES'!A$3))/1000,0),11),IF('DONNÉES BRUTES'!C$3:C$42="Materials",'DONNÉES BRUTES'!AB$3:AB$42+(ROW('DONNÉES BRUTES'!A$3:A$42)-ROW('DONNÉES BRUTES'!A$3))/1000,0),0))),"—")</f>
        <v/>
      </c>
      <c r="M21">
        <f t="array" ref="M21">IFERROR(IF(11&gt;COUNTIF('DONNÉES BRUTES'!C$3:C$42,"Materials"),"",INDEX('DONNÉES BRUTES'!Q$3:Q$42,MATCH(LARGE(IF('DONNÉES BRUTES'!C$3:C$42="Materials",'DONNÉES BRUTES'!AB$3:AB$42+(ROW('DONNÉES BRUTES'!A$3:A$42)-ROW('DONNÉES BRUTES'!A$3))/1000,0),11),IF('DONNÉES BRUTES'!C$3:C$42="Materials",'DONNÉES BRUTES'!AB$3:AB$42+(ROW('DONNÉES BRUTES'!A$3:A$42)-ROW('DONNÉES BRUTES'!A$3))/1000,0),0))),"—")</f>
        <v/>
      </c>
      <c r="N21">
        <f t="array" ref="N21">IFERROR(IF(11&gt;COUNTIF('DONNÉES BRUTES'!C$3:C$42,"Materials"),"",INDEX('DONNÉES BRUTES'!S$3:S$42,MATCH(LARGE(IF('DONNÉES BRUTES'!C$3:C$42="Materials",'DONNÉES BRUTES'!AB$3:AB$42+(ROW('DONNÉES BRUTES'!A$3:A$42)-ROW('DONNÉES BRUTES'!A$3))/1000,0),11),IF('DONNÉES BRUTES'!C$3:C$42="Materials",'DONNÉES BRUTES'!AB$3:AB$42+(ROW('DONNÉES BRUTES'!A$3:A$42)-ROW('DONNÉES BRUTES'!A$3))/1000,0),0))),"—")</f>
        <v/>
      </c>
      <c r="O21">
        <f t="array" ref="O21">IFERROR(IF(11&gt;COUNTIF('DONNÉES BRUTES'!C$3:C$42,"Materials"),"",INDEX('DONNÉES BRUTES'!T$3:T$42,MATCH(LARGE(IF('DONNÉES BRUTES'!C$3:C$42="Materials",'DONNÉES BRUTES'!AB$3:AB$42+(ROW('DONNÉES BRUTES'!A$3:A$42)-ROW('DONNÉES BRUTES'!A$3))/1000,0),11),IF('DONNÉES BRUTES'!C$3:C$42="Materials",'DONNÉES BRUTES'!AB$3:AB$42+(ROW('DONNÉES BRUTES'!A$3:A$42)-ROW('DONNÉES BRUTES'!A$3))/1000,0),0))),"—")</f>
        <v/>
      </c>
      <c r="P21">
        <f t="array" ref="P21">IFERROR(IF(11&gt;COUNTIF('DONNÉES BRUTES'!C$3:C$42,"Materials"),"",INDEX('DONNÉES BRUTES'!U$3:U$42,MATCH(LARGE(IF('DONNÉES BRUTES'!C$3:C$42="Materials",'DONNÉES BRUTES'!AB$3:AB$42+(ROW('DONNÉES BRUTES'!A$3:A$42)-ROW('DONNÉES BRUTES'!A$3))/1000,0),11),IF('DONNÉES BRUTES'!C$3:C$42="Materials",'DONNÉES BRUTES'!AB$3:AB$42+(ROW('DONNÉES BRUTES'!A$3:A$42)-ROW('DONNÉES BRUTES'!A$3))/1000,0),0))),"—")</f>
        <v/>
      </c>
      <c r="Q21">
        <f t="array" ref="Q21">IFERROR(IF(11&gt;COUNTIF('DONNÉES BRUTES'!C$3:C$42,"Materials"),"",INDEX('DONNÉES BRUTES'!AD$3:AD$42,MATCH(LARGE(IF('DONNÉES BRUTES'!C$3:C$42="Materials",'DONNÉES BRUTES'!AB$3:AB$42+(ROW('DONNÉES BRUTES'!A$3:A$42)-ROW('DONNÉES BRUTES'!A$3))/1000,0),11),IF('DONNÉES BRUTES'!C$3:C$42="Materials",'DONNÉES BRUTES'!AB$3:AB$42+(ROW('DONNÉES BRUTES'!A$3:A$42)-ROW('DONNÉES BRUTES'!A$3))/1000,0),0))),"—")</f>
        <v/>
      </c>
    </row>
    <row r="22" ht="15.95" customHeight="1">
      <c r="B22">
        <f>IF(12&gt;COUNTIF('DONNÉES BRUTES'!C$3:C$42,"Materials"),"",12)</f>
        <v/>
      </c>
      <c r="C22">
        <f t="array" ref="C22">IFERROR(IF(12&gt;COUNTIF('DONNÉES BRUTES'!C$3:C$42,"Materials"),"",INDEX('DONNÉES BRUTES'!A$3:A$42,MATCH(LARGE(IF('DONNÉES BRUTES'!C$3:C$42="Materials",'DONNÉES BRUTES'!AB$3:AB$42+(ROW('DONNÉES BRUTES'!A$3:A$42)-ROW('DONNÉES BRUTES'!A$3))/1000,0),12),IF('DONNÉES BRUTES'!C$3:C$42="Materials",'DONNÉES BRUTES'!AB$3:AB$42+(ROW('DONNÉES BRUTES'!A$3:A$42)-ROW('DONNÉES BRUTES'!A$3))/1000,0),0))),"—")</f>
        <v/>
      </c>
      <c r="D22">
        <f t="array" ref="D22">IFERROR(IF(12&gt;COUNTIF('DONNÉES BRUTES'!C$3:C$42,"Materials"),"",INDEX('DONNÉES BRUTES'!B$3:B$42,MATCH(LARGE(IF('DONNÉES BRUTES'!C$3:C$42="Materials",'DONNÉES BRUTES'!AB$3:AB$42+(ROW('DONNÉES BRUTES'!A$3:A$42)-ROW('DONNÉES BRUTES'!A$3))/1000,0),12),IF('DONNÉES BRUTES'!C$3:C$42="Materials",'DONNÉES BRUTES'!AB$3:AB$42+(ROW('DONNÉES BRUTES'!A$3:A$42)-ROW('DONNÉES BRUTES'!A$3))/1000,0),0))),"—")</f>
        <v/>
      </c>
      <c r="E22">
        <f t="array" ref="E22">IFERROR(IF(12&gt;COUNTIF('DONNÉES BRUTES'!C$3:C$42,"Materials"),"",INT(LARGE(IF('DONNÉES BRUTES'!C$3:C$42="Materials",'DONNÉES BRUTES'!AB$3:AB$42+(ROW('DONNÉES BRUTES'!A$3:A$42)-ROW('DONNÉES BRUTES'!A$3))/1000,0),12))&amp;"/100"),"—")</f>
        <v/>
      </c>
      <c r="F22">
        <f t="array" ref="F22">IFERROR(IF(12&gt;COUNTIF('DONNÉES BRUTES'!C$3:C$42,"Materials"),"",INDEX('DONNÉES BRUTES'!Y$3:Y$42,MATCH(LARGE(IF('DONNÉES BRUTES'!C$3:C$42="Materials",'DONNÉES BRUTES'!AB$3:AB$42+(ROW('DONNÉES BRUTES'!A$3:A$42)-ROW('DONNÉES BRUTES'!A$3))/1000,0),12),IF('DONNÉES BRUTES'!C$3:C$42="Materials",'DONNÉES BRUTES'!AB$3:AB$42+(ROW('DONNÉES BRUTES'!A$3:A$42)-ROW('DONNÉES BRUTES'!A$3))/1000,0),0))),"—")</f>
        <v/>
      </c>
      <c r="G22">
        <f t="array" ref="G22">IFERROR(IF(12&gt;COUNTIF('DONNÉES BRUTES'!C$3:C$42,"Materials"),"",INDEX('DONNÉES BRUTES'!Z$3:Z$42,MATCH(LARGE(IF('DONNÉES BRUTES'!C$3:C$42="Materials",'DONNÉES BRUTES'!AB$3:AB$42+(ROW('DONNÉES BRUTES'!A$3:A$42)-ROW('DONNÉES BRUTES'!A$3))/1000,0),12),IF('DONNÉES BRUTES'!C$3:C$42="Materials",'DONNÉES BRUTES'!AB$3:AB$42+(ROW('DONNÉES BRUTES'!A$3:A$42)-ROW('DONNÉES BRUTES'!A$3))/1000,0),0))),"—")</f>
        <v/>
      </c>
      <c r="H22">
        <f t="array" ref="H22">IFERROR(IF(12&gt;COUNTIF('DONNÉES BRUTES'!C$3:C$42,"Materials"),"",INDEX('DONNÉES BRUTES'!AA$3:AA$42,MATCH(LARGE(IF('DONNÉES BRUTES'!C$3:C$42="Materials",'DONNÉES BRUTES'!AB$3:AB$42+(ROW('DONNÉES BRUTES'!A$3:A$42)-ROW('DONNÉES BRUTES'!A$3))/1000,0),12),IF('DONNÉES BRUTES'!C$3:C$42="Materials",'DONNÉES BRUTES'!AB$3:AB$42+(ROW('DONNÉES BRUTES'!A$3:A$42)-ROW('DONNÉES BRUTES'!A$3))/1000,0),0))),"—")</f>
        <v/>
      </c>
      <c r="I22">
        <f t="array" ref="I22">IFERROR(IF(12&gt;COUNTIF('DONNÉES BRUTES'!C$3:C$42,"Materials"),"",INDEX('DONNÉES BRUTES'!M$3:M$42,MATCH(LARGE(IF('DONNÉES BRUTES'!C$3:C$42="Materials",'DONNÉES BRUTES'!AB$3:AB$42+(ROW('DONNÉES BRUTES'!A$3:A$42)-ROW('DONNÉES BRUTES'!A$3))/1000,0),12),IF('DONNÉES BRUTES'!C$3:C$42="Materials",'DONNÉES BRUTES'!AB$3:AB$42+(ROW('DONNÉES BRUTES'!A$3:A$42)-ROW('DONNÉES BRUTES'!A$3))/1000,0),0))),"—")</f>
        <v/>
      </c>
      <c r="J22">
        <f t="array" ref="J22">IFERROR(IF(12&gt;COUNTIF('DONNÉES BRUTES'!C$3:C$42,"Materials"),"",INDEX('DONNÉES BRUTES'!N$3:N$42,MATCH(LARGE(IF('DONNÉES BRUTES'!C$3:C$42="Materials",'DONNÉES BRUTES'!AB$3:AB$42+(ROW('DONNÉES BRUTES'!A$3:A$42)-ROW('DONNÉES BRUTES'!A$3))/1000,0),12),IF('DONNÉES BRUTES'!C$3:C$42="Materials",'DONNÉES BRUTES'!AB$3:AB$42+(ROW('DONNÉES BRUTES'!A$3:A$42)-ROW('DONNÉES BRUTES'!A$3))/1000,0),0))),"—")</f>
        <v/>
      </c>
      <c r="K22">
        <f t="array" ref="K22">IFERROR(IF(12&gt;COUNTIF('DONNÉES BRUTES'!C$3:C$42,"Materials"),"",INDEX('DONNÉES BRUTES'!O$3:O$42,MATCH(LARGE(IF('DONNÉES BRUTES'!C$3:C$42="Materials",'DONNÉES BRUTES'!AB$3:AB$42+(ROW('DONNÉES BRUTES'!A$3:A$42)-ROW('DONNÉES BRUTES'!A$3))/1000,0),12),IF('DONNÉES BRUTES'!C$3:C$42="Materials",'DONNÉES BRUTES'!AB$3:AB$42+(ROW('DONNÉES BRUTES'!A$3:A$42)-ROW('DONNÉES BRUTES'!A$3))/1000,0),0))),"—")</f>
        <v/>
      </c>
      <c r="L22">
        <f t="array" ref="L22">IFERROR(IF(12&gt;COUNTIF('DONNÉES BRUTES'!C$3:C$42,"Materials"),"",INDEX('DONNÉES BRUTES'!P$3:P$42,MATCH(LARGE(IF('DONNÉES BRUTES'!C$3:C$42="Materials",'DONNÉES BRUTES'!AB$3:AB$42+(ROW('DONNÉES BRUTES'!A$3:A$42)-ROW('DONNÉES BRUTES'!A$3))/1000,0),12),IF('DONNÉES BRUTES'!C$3:C$42="Materials",'DONNÉES BRUTES'!AB$3:AB$42+(ROW('DONNÉES BRUTES'!A$3:A$42)-ROW('DONNÉES BRUTES'!A$3))/1000,0),0))),"—")</f>
        <v/>
      </c>
      <c r="M22">
        <f t="array" ref="M22">IFERROR(IF(12&gt;COUNTIF('DONNÉES BRUTES'!C$3:C$42,"Materials"),"",INDEX('DONNÉES BRUTES'!Q$3:Q$42,MATCH(LARGE(IF('DONNÉES BRUTES'!C$3:C$42="Materials",'DONNÉES BRUTES'!AB$3:AB$42+(ROW('DONNÉES BRUTES'!A$3:A$42)-ROW('DONNÉES BRUTES'!A$3))/1000,0),12),IF('DONNÉES BRUTES'!C$3:C$42="Materials",'DONNÉES BRUTES'!AB$3:AB$42+(ROW('DONNÉES BRUTES'!A$3:A$42)-ROW('DONNÉES BRUTES'!A$3))/1000,0),0))),"—")</f>
        <v/>
      </c>
      <c r="N22">
        <f t="array" ref="N22">IFERROR(IF(12&gt;COUNTIF('DONNÉES BRUTES'!C$3:C$42,"Materials"),"",INDEX('DONNÉES BRUTES'!S$3:S$42,MATCH(LARGE(IF('DONNÉES BRUTES'!C$3:C$42="Materials",'DONNÉES BRUTES'!AB$3:AB$42+(ROW('DONNÉES BRUTES'!A$3:A$42)-ROW('DONNÉES BRUTES'!A$3))/1000,0),12),IF('DONNÉES BRUTES'!C$3:C$42="Materials",'DONNÉES BRUTES'!AB$3:AB$42+(ROW('DONNÉES BRUTES'!A$3:A$42)-ROW('DONNÉES BRUTES'!A$3))/1000,0),0))),"—")</f>
        <v/>
      </c>
      <c r="O22">
        <f t="array" ref="O22">IFERROR(IF(12&gt;COUNTIF('DONNÉES BRUTES'!C$3:C$42,"Materials"),"",INDEX('DONNÉES BRUTES'!T$3:T$42,MATCH(LARGE(IF('DONNÉES BRUTES'!C$3:C$42="Materials",'DONNÉES BRUTES'!AB$3:AB$42+(ROW('DONNÉES BRUTES'!A$3:A$42)-ROW('DONNÉES BRUTES'!A$3))/1000,0),12),IF('DONNÉES BRUTES'!C$3:C$42="Materials",'DONNÉES BRUTES'!AB$3:AB$42+(ROW('DONNÉES BRUTES'!A$3:A$42)-ROW('DONNÉES BRUTES'!A$3))/1000,0),0))),"—")</f>
        <v/>
      </c>
      <c r="P22">
        <f t="array" ref="P22">IFERROR(IF(12&gt;COUNTIF('DONNÉES BRUTES'!C$3:C$42,"Materials"),"",INDEX('DONNÉES BRUTES'!U$3:U$42,MATCH(LARGE(IF('DONNÉES BRUTES'!C$3:C$42="Materials",'DONNÉES BRUTES'!AB$3:AB$42+(ROW('DONNÉES BRUTES'!A$3:A$42)-ROW('DONNÉES BRUTES'!A$3))/1000,0),12),IF('DONNÉES BRUTES'!C$3:C$42="Materials",'DONNÉES BRUTES'!AB$3:AB$42+(ROW('DONNÉES BRUTES'!A$3:A$42)-ROW('DONNÉES BRUTES'!A$3))/1000,0),0))),"—")</f>
        <v/>
      </c>
      <c r="Q22">
        <f t="array" ref="Q22">IFERROR(IF(12&gt;COUNTIF('DONNÉES BRUTES'!C$3:C$42,"Materials"),"",INDEX('DONNÉES BRUTES'!AD$3:AD$42,MATCH(LARGE(IF('DONNÉES BRUTES'!C$3:C$42="Materials",'DONNÉES BRUTES'!AB$3:AB$42+(ROW('DONNÉES BRUTES'!A$3:A$42)-ROW('DONNÉES BRUTES'!A$3))/1000,0),12),IF('DONNÉES BRUTES'!C$3:C$42="Materials",'DONNÉES BRUTES'!AB$3:AB$42+(ROW('DONNÉES BRUTES'!A$3:A$42)-ROW('DONNÉES BRUTES'!A$3))/1000,0),0))),"—")</f>
        <v/>
      </c>
    </row>
    <row r="23" ht="15.95" customHeight="1">
      <c r="B23">
        <f>IF(13&gt;COUNTIF('DONNÉES BRUTES'!C$3:C$42,"Materials"),"",13)</f>
        <v/>
      </c>
      <c r="C23">
        <f t="array" ref="C23">IFERROR(IF(13&gt;COUNTIF('DONNÉES BRUTES'!C$3:C$42,"Materials"),"",INDEX('DONNÉES BRUTES'!A$3:A$42,MATCH(LARGE(IF('DONNÉES BRUTES'!C$3:C$42="Materials",'DONNÉES BRUTES'!AB$3:AB$42+(ROW('DONNÉES BRUTES'!A$3:A$42)-ROW('DONNÉES BRUTES'!A$3))/1000,0),13),IF('DONNÉES BRUTES'!C$3:C$42="Materials",'DONNÉES BRUTES'!AB$3:AB$42+(ROW('DONNÉES BRUTES'!A$3:A$42)-ROW('DONNÉES BRUTES'!A$3))/1000,0),0))),"—")</f>
        <v/>
      </c>
      <c r="D23">
        <f t="array" ref="D23">IFERROR(IF(13&gt;COUNTIF('DONNÉES BRUTES'!C$3:C$42,"Materials"),"",INDEX('DONNÉES BRUTES'!B$3:B$42,MATCH(LARGE(IF('DONNÉES BRUTES'!C$3:C$42="Materials",'DONNÉES BRUTES'!AB$3:AB$42+(ROW('DONNÉES BRUTES'!A$3:A$42)-ROW('DONNÉES BRUTES'!A$3))/1000,0),13),IF('DONNÉES BRUTES'!C$3:C$42="Materials",'DONNÉES BRUTES'!AB$3:AB$42+(ROW('DONNÉES BRUTES'!A$3:A$42)-ROW('DONNÉES BRUTES'!A$3))/1000,0),0))),"—")</f>
        <v/>
      </c>
      <c r="E23">
        <f t="array" ref="E23">IFERROR(IF(13&gt;COUNTIF('DONNÉES BRUTES'!C$3:C$42,"Materials"),"",INT(LARGE(IF('DONNÉES BRUTES'!C$3:C$42="Materials",'DONNÉES BRUTES'!AB$3:AB$42+(ROW('DONNÉES BRUTES'!A$3:A$42)-ROW('DONNÉES BRUTES'!A$3))/1000,0),13))&amp;"/100"),"—")</f>
        <v/>
      </c>
      <c r="F23">
        <f t="array" ref="F23">IFERROR(IF(13&gt;COUNTIF('DONNÉES BRUTES'!C$3:C$42,"Materials"),"",INDEX('DONNÉES BRUTES'!Y$3:Y$42,MATCH(LARGE(IF('DONNÉES BRUTES'!C$3:C$42="Materials",'DONNÉES BRUTES'!AB$3:AB$42+(ROW('DONNÉES BRUTES'!A$3:A$42)-ROW('DONNÉES BRUTES'!A$3))/1000,0),13),IF('DONNÉES BRUTES'!C$3:C$42="Materials",'DONNÉES BRUTES'!AB$3:AB$42+(ROW('DONNÉES BRUTES'!A$3:A$42)-ROW('DONNÉES BRUTES'!A$3))/1000,0),0))),"—")</f>
        <v/>
      </c>
      <c r="G23">
        <f t="array" ref="G23">IFERROR(IF(13&gt;COUNTIF('DONNÉES BRUTES'!C$3:C$42,"Materials"),"",INDEX('DONNÉES BRUTES'!Z$3:Z$42,MATCH(LARGE(IF('DONNÉES BRUTES'!C$3:C$42="Materials",'DONNÉES BRUTES'!AB$3:AB$42+(ROW('DONNÉES BRUTES'!A$3:A$42)-ROW('DONNÉES BRUTES'!A$3))/1000,0),13),IF('DONNÉES BRUTES'!C$3:C$42="Materials",'DONNÉES BRUTES'!AB$3:AB$42+(ROW('DONNÉES BRUTES'!A$3:A$42)-ROW('DONNÉES BRUTES'!A$3))/1000,0),0))),"—")</f>
        <v/>
      </c>
      <c r="H23">
        <f t="array" ref="H23">IFERROR(IF(13&gt;COUNTIF('DONNÉES BRUTES'!C$3:C$42,"Materials"),"",INDEX('DONNÉES BRUTES'!AA$3:AA$42,MATCH(LARGE(IF('DONNÉES BRUTES'!C$3:C$42="Materials",'DONNÉES BRUTES'!AB$3:AB$42+(ROW('DONNÉES BRUTES'!A$3:A$42)-ROW('DONNÉES BRUTES'!A$3))/1000,0),13),IF('DONNÉES BRUTES'!C$3:C$42="Materials",'DONNÉES BRUTES'!AB$3:AB$42+(ROW('DONNÉES BRUTES'!A$3:A$42)-ROW('DONNÉES BRUTES'!A$3))/1000,0),0))),"—")</f>
        <v/>
      </c>
      <c r="I23">
        <f t="array" ref="I23">IFERROR(IF(13&gt;COUNTIF('DONNÉES BRUTES'!C$3:C$42,"Materials"),"",INDEX('DONNÉES BRUTES'!M$3:M$42,MATCH(LARGE(IF('DONNÉES BRUTES'!C$3:C$42="Materials",'DONNÉES BRUTES'!AB$3:AB$42+(ROW('DONNÉES BRUTES'!A$3:A$42)-ROW('DONNÉES BRUTES'!A$3))/1000,0),13),IF('DONNÉES BRUTES'!C$3:C$42="Materials",'DONNÉES BRUTES'!AB$3:AB$42+(ROW('DONNÉES BRUTES'!A$3:A$42)-ROW('DONNÉES BRUTES'!A$3))/1000,0),0))),"—")</f>
        <v/>
      </c>
      <c r="J23">
        <f t="array" ref="J23">IFERROR(IF(13&gt;COUNTIF('DONNÉES BRUTES'!C$3:C$42,"Materials"),"",INDEX('DONNÉES BRUTES'!N$3:N$42,MATCH(LARGE(IF('DONNÉES BRUTES'!C$3:C$42="Materials",'DONNÉES BRUTES'!AB$3:AB$42+(ROW('DONNÉES BRUTES'!A$3:A$42)-ROW('DONNÉES BRUTES'!A$3))/1000,0),13),IF('DONNÉES BRUTES'!C$3:C$42="Materials",'DONNÉES BRUTES'!AB$3:AB$42+(ROW('DONNÉES BRUTES'!A$3:A$42)-ROW('DONNÉES BRUTES'!A$3))/1000,0),0))),"—")</f>
        <v/>
      </c>
      <c r="K23">
        <f t="array" ref="K23">IFERROR(IF(13&gt;COUNTIF('DONNÉES BRUTES'!C$3:C$42,"Materials"),"",INDEX('DONNÉES BRUTES'!O$3:O$42,MATCH(LARGE(IF('DONNÉES BRUTES'!C$3:C$42="Materials",'DONNÉES BRUTES'!AB$3:AB$42+(ROW('DONNÉES BRUTES'!A$3:A$42)-ROW('DONNÉES BRUTES'!A$3))/1000,0),13),IF('DONNÉES BRUTES'!C$3:C$42="Materials",'DONNÉES BRUTES'!AB$3:AB$42+(ROW('DONNÉES BRUTES'!A$3:A$42)-ROW('DONNÉES BRUTES'!A$3))/1000,0),0))),"—")</f>
        <v/>
      </c>
      <c r="L23">
        <f t="array" ref="L23">IFERROR(IF(13&gt;COUNTIF('DONNÉES BRUTES'!C$3:C$42,"Materials"),"",INDEX('DONNÉES BRUTES'!P$3:P$42,MATCH(LARGE(IF('DONNÉES BRUTES'!C$3:C$42="Materials",'DONNÉES BRUTES'!AB$3:AB$42+(ROW('DONNÉES BRUTES'!A$3:A$42)-ROW('DONNÉES BRUTES'!A$3))/1000,0),13),IF('DONNÉES BRUTES'!C$3:C$42="Materials",'DONNÉES BRUTES'!AB$3:AB$42+(ROW('DONNÉES BRUTES'!A$3:A$42)-ROW('DONNÉES BRUTES'!A$3))/1000,0),0))),"—")</f>
        <v/>
      </c>
      <c r="M23">
        <f t="array" ref="M23">IFERROR(IF(13&gt;COUNTIF('DONNÉES BRUTES'!C$3:C$42,"Materials"),"",INDEX('DONNÉES BRUTES'!Q$3:Q$42,MATCH(LARGE(IF('DONNÉES BRUTES'!C$3:C$42="Materials",'DONNÉES BRUTES'!AB$3:AB$42+(ROW('DONNÉES BRUTES'!A$3:A$42)-ROW('DONNÉES BRUTES'!A$3))/1000,0),13),IF('DONNÉES BRUTES'!C$3:C$42="Materials",'DONNÉES BRUTES'!AB$3:AB$42+(ROW('DONNÉES BRUTES'!A$3:A$42)-ROW('DONNÉES BRUTES'!A$3))/1000,0),0))),"—")</f>
        <v/>
      </c>
      <c r="N23">
        <f t="array" ref="N23">IFERROR(IF(13&gt;COUNTIF('DONNÉES BRUTES'!C$3:C$42,"Materials"),"",INDEX('DONNÉES BRUTES'!S$3:S$42,MATCH(LARGE(IF('DONNÉES BRUTES'!C$3:C$42="Materials",'DONNÉES BRUTES'!AB$3:AB$42+(ROW('DONNÉES BRUTES'!A$3:A$42)-ROW('DONNÉES BRUTES'!A$3))/1000,0),13),IF('DONNÉES BRUTES'!C$3:C$42="Materials",'DONNÉES BRUTES'!AB$3:AB$42+(ROW('DONNÉES BRUTES'!A$3:A$42)-ROW('DONNÉES BRUTES'!A$3))/1000,0),0))),"—")</f>
        <v/>
      </c>
      <c r="O23">
        <f t="array" ref="O23">IFERROR(IF(13&gt;COUNTIF('DONNÉES BRUTES'!C$3:C$42,"Materials"),"",INDEX('DONNÉES BRUTES'!T$3:T$42,MATCH(LARGE(IF('DONNÉES BRUTES'!C$3:C$42="Materials",'DONNÉES BRUTES'!AB$3:AB$42+(ROW('DONNÉES BRUTES'!A$3:A$42)-ROW('DONNÉES BRUTES'!A$3))/1000,0),13),IF('DONNÉES BRUTES'!C$3:C$42="Materials",'DONNÉES BRUTES'!AB$3:AB$42+(ROW('DONNÉES BRUTES'!A$3:A$42)-ROW('DONNÉES BRUTES'!A$3))/1000,0),0))),"—")</f>
        <v/>
      </c>
      <c r="P23">
        <f t="array" ref="P23">IFERROR(IF(13&gt;COUNTIF('DONNÉES BRUTES'!C$3:C$42,"Materials"),"",INDEX('DONNÉES BRUTES'!U$3:U$42,MATCH(LARGE(IF('DONNÉES BRUTES'!C$3:C$42="Materials",'DONNÉES BRUTES'!AB$3:AB$42+(ROW('DONNÉES BRUTES'!A$3:A$42)-ROW('DONNÉES BRUTES'!A$3))/1000,0),13),IF('DONNÉES BRUTES'!C$3:C$42="Materials",'DONNÉES BRUTES'!AB$3:AB$42+(ROW('DONNÉES BRUTES'!A$3:A$42)-ROW('DONNÉES BRUTES'!A$3))/1000,0),0))),"—")</f>
        <v/>
      </c>
      <c r="Q23">
        <f t="array" ref="Q23">IFERROR(IF(13&gt;COUNTIF('DONNÉES BRUTES'!C$3:C$42,"Materials"),"",INDEX('DONNÉES BRUTES'!AD$3:AD$42,MATCH(LARGE(IF('DONNÉES BRUTES'!C$3:C$42="Materials",'DONNÉES BRUTES'!AB$3:AB$42+(ROW('DONNÉES BRUTES'!A$3:A$42)-ROW('DONNÉES BRUTES'!A$3))/1000,0),13),IF('DONNÉES BRUTES'!C$3:C$42="Materials",'DONNÉES BRUTES'!AB$3:AB$42+(ROW('DONNÉES BRUTES'!A$3:A$42)-ROW('DONNÉES BRUTES'!A$3))/1000,0),0))),"—")</f>
        <v/>
      </c>
    </row>
    <row r="24" ht="15.95" customHeight="1">
      <c r="B24">
        <f>IF(14&gt;COUNTIF('DONNÉES BRUTES'!C$3:C$42,"Materials"),"",14)</f>
        <v/>
      </c>
      <c r="C24">
        <f t="array" ref="C24">IFERROR(IF(14&gt;COUNTIF('DONNÉES BRUTES'!C$3:C$42,"Materials"),"",INDEX('DONNÉES BRUTES'!A$3:A$42,MATCH(LARGE(IF('DONNÉES BRUTES'!C$3:C$42="Materials",'DONNÉES BRUTES'!AB$3:AB$42+(ROW('DONNÉES BRUTES'!A$3:A$42)-ROW('DONNÉES BRUTES'!A$3))/1000,0),14),IF('DONNÉES BRUTES'!C$3:C$42="Materials",'DONNÉES BRUTES'!AB$3:AB$42+(ROW('DONNÉES BRUTES'!A$3:A$42)-ROW('DONNÉES BRUTES'!A$3))/1000,0),0))),"—")</f>
        <v/>
      </c>
      <c r="D24">
        <f t="array" ref="D24">IFERROR(IF(14&gt;COUNTIF('DONNÉES BRUTES'!C$3:C$42,"Materials"),"",INDEX('DONNÉES BRUTES'!B$3:B$42,MATCH(LARGE(IF('DONNÉES BRUTES'!C$3:C$42="Materials",'DONNÉES BRUTES'!AB$3:AB$42+(ROW('DONNÉES BRUTES'!A$3:A$42)-ROW('DONNÉES BRUTES'!A$3))/1000,0),14),IF('DONNÉES BRUTES'!C$3:C$42="Materials",'DONNÉES BRUTES'!AB$3:AB$42+(ROW('DONNÉES BRUTES'!A$3:A$42)-ROW('DONNÉES BRUTES'!A$3))/1000,0),0))),"—")</f>
        <v/>
      </c>
      <c r="E24">
        <f t="array" ref="E24">IFERROR(IF(14&gt;COUNTIF('DONNÉES BRUTES'!C$3:C$42,"Materials"),"",INT(LARGE(IF('DONNÉES BRUTES'!C$3:C$42="Materials",'DONNÉES BRUTES'!AB$3:AB$42+(ROW('DONNÉES BRUTES'!A$3:A$42)-ROW('DONNÉES BRUTES'!A$3))/1000,0),14))&amp;"/100"),"—")</f>
        <v/>
      </c>
      <c r="F24">
        <f t="array" ref="F24">IFERROR(IF(14&gt;COUNTIF('DONNÉES BRUTES'!C$3:C$42,"Materials"),"",INDEX('DONNÉES BRUTES'!Y$3:Y$42,MATCH(LARGE(IF('DONNÉES BRUTES'!C$3:C$42="Materials",'DONNÉES BRUTES'!AB$3:AB$42+(ROW('DONNÉES BRUTES'!A$3:A$42)-ROW('DONNÉES BRUTES'!A$3))/1000,0),14),IF('DONNÉES BRUTES'!C$3:C$42="Materials",'DONNÉES BRUTES'!AB$3:AB$42+(ROW('DONNÉES BRUTES'!A$3:A$42)-ROW('DONNÉES BRUTES'!A$3))/1000,0),0))),"—")</f>
        <v/>
      </c>
      <c r="G24">
        <f t="array" ref="G24">IFERROR(IF(14&gt;COUNTIF('DONNÉES BRUTES'!C$3:C$42,"Materials"),"",INDEX('DONNÉES BRUTES'!Z$3:Z$42,MATCH(LARGE(IF('DONNÉES BRUTES'!C$3:C$42="Materials",'DONNÉES BRUTES'!AB$3:AB$42+(ROW('DONNÉES BRUTES'!A$3:A$42)-ROW('DONNÉES BRUTES'!A$3))/1000,0),14),IF('DONNÉES BRUTES'!C$3:C$42="Materials",'DONNÉES BRUTES'!AB$3:AB$42+(ROW('DONNÉES BRUTES'!A$3:A$42)-ROW('DONNÉES BRUTES'!A$3))/1000,0),0))),"—")</f>
        <v/>
      </c>
      <c r="H24">
        <f t="array" ref="H24">IFERROR(IF(14&gt;COUNTIF('DONNÉES BRUTES'!C$3:C$42,"Materials"),"",INDEX('DONNÉES BRUTES'!AA$3:AA$42,MATCH(LARGE(IF('DONNÉES BRUTES'!C$3:C$42="Materials",'DONNÉES BRUTES'!AB$3:AB$42+(ROW('DONNÉES BRUTES'!A$3:A$42)-ROW('DONNÉES BRUTES'!A$3))/1000,0),14),IF('DONNÉES BRUTES'!C$3:C$42="Materials",'DONNÉES BRUTES'!AB$3:AB$42+(ROW('DONNÉES BRUTES'!A$3:A$42)-ROW('DONNÉES BRUTES'!A$3))/1000,0),0))),"—")</f>
        <v/>
      </c>
      <c r="I24">
        <f t="array" ref="I24">IFERROR(IF(14&gt;COUNTIF('DONNÉES BRUTES'!C$3:C$42,"Materials"),"",INDEX('DONNÉES BRUTES'!M$3:M$42,MATCH(LARGE(IF('DONNÉES BRUTES'!C$3:C$42="Materials",'DONNÉES BRUTES'!AB$3:AB$42+(ROW('DONNÉES BRUTES'!A$3:A$42)-ROW('DONNÉES BRUTES'!A$3))/1000,0),14),IF('DONNÉES BRUTES'!C$3:C$42="Materials",'DONNÉES BRUTES'!AB$3:AB$42+(ROW('DONNÉES BRUTES'!A$3:A$42)-ROW('DONNÉES BRUTES'!A$3))/1000,0),0))),"—")</f>
        <v/>
      </c>
      <c r="J24">
        <f t="array" ref="J24">IFERROR(IF(14&gt;COUNTIF('DONNÉES BRUTES'!C$3:C$42,"Materials"),"",INDEX('DONNÉES BRUTES'!N$3:N$42,MATCH(LARGE(IF('DONNÉES BRUTES'!C$3:C$42="Materials",'DONNÉES BRUTES'!AB$3:AB$42+(ROW('DONNÉES BRUTES'!A$3:A$42)-ROW('DONNÉES BRUTES'!A$3))/1000,0),14),IF('DONNÉES BRUTES'!C$3:C$42="Materials",'DONNÉES BRUTES'!AB$3:AB$42+(ROW('DONNÉES BRUTES'!A$3:A$42)-ROW('DONNÉES BRUTES'!A$3))/1000,0),0))),"—")</f>
        <v/>
      </c>
      <c r="K24">
        <f t="array" ref="K24">IFERROR(IF(14&gt;COUNTIF('DONNÉES BRUTES'!C$3:C$42,"Materials"),"",INDEX('DONNÉES BRUTES'!O$3:O$42,MATCH(LARGE(IF('DONNÉES BRUTES'!C$3:C$42="Materials",'DONNÉES BRUTES'!AB$3:AB$42+(ROW('DONNÉES BRUTES'!A$3:A$42)-ROW('DONNÉES BRUTES'!A$3))/1000,0),14),IF('DONNÉES BRUTES'!C$3:C$42="Materials",'DONNÉES BRUTES'!AB$3:AB$42+(ROW('DONNÉES BRUTES'!A$3:A$42)-ROW('DONNÉES BRUTES'!A$3))/1000,0),0))),"—")</f>
        <v/>
      </c>
      <c r="L24">
        <f t="array" ref="L24">IFERROR(IF(14&gt;COUNTIF('DONNÉES BRUTES'!C$3:C$42,"Materials"),"",INDEX('DONNÉES BRUTES'!P$3:P$42,MATCH(LARGE(IF('DONNÉES BRUTES'!C$3:C$42="Materials",'DONNÉES BRUTES'!AB$3:AB$42+(ROW('DONNÉES BRUTES'!A$3:A$42)-ROW('DONNÉES BRUTES'!A$3))/1000,0),14),IF('DONNÉES BRUTES'!C$3:C$42="Materials",'DONNÉES BRUTES'!AB$3:AB$42+(ROW('DONNÉES BRUTES'!A$3:A$42)-ROW('DONNÉES BRUTES'!A$3))/1000,0),0))),"—")</f>
        <v/>
      </c>
      <c r="M24">
        <f t="array" ref="M24">IFERROR(IF(14&gt;COUNTIF('DONNÉES BRUTES'!C$3:C$42,"Materials"),"",INDEX('DONNÉES BRUTES'!Q$3:Q$42,MATCH(LARGE(IF('DONNÉES BRUTES'!C$3:C$42="Materials",'DONNÉES BRUTES'!AB$3:AB$42+(ROW('DONNÉES BRUTES'!A$3:A$42)-ROW('DONNÉES BRUTES'!A$3))/1000,0),14),IF('DONNÉES BRUTES'!C$3:C$42="Materials",'DONNÉES BRUTES'!AB$3:AB$42+(ROW('DONNÉES BRUTES'!A$3:A$42)-ROW('DONNÉES BRUTES'!A$3))/1000,0),0))),"—")</f>
        <v/>
      </c>
      <c r="N24">
        <f t="array" ref="N24">IFERROR(IF(14&gt;COUNTIF('DONNÉES BRUTES'!C$3:C$42,"Materials"),"",INDEX('DONNÉES BRUTES'!S$3:S$42,MATCH(LARGE(IF('DONNÉES BRUTES'!C$3:C$42="Materials",'DONNÉES BRUTES'!AB$3:AB$42+(ROW('DONNÉES BRUTES'!A$3:A$42)-ROW('DONNÉES BRUTES'!A$3))/1000,0),14),IF('DONNÉES BRUTES'!C$3:C$42="Materials",'DONNÉES BRUTES'!AB$3:AB$42+(ROW('DONNÉES BRUTES'!A$3:A$42)-ROW('DONNÉES BRUTES'!A$3))/1000,0),0))),"—")</f>
        <v/>
      </c>
      <c r="O24">
        <f t="array" ref="O24">IFERROR(IF(14&gt;COUNTIF('DONNÉES BRUTES'!C$3:C$42,"Materials"),"",INDEX('DONNÉES BRUTES'!T$3:T$42,MATCH(LARGE(IF('DONNÉES BRUTES'!C$3:C$42="Materials",'DONNÉES BRUTES'!AB$3:AB$42+(ROW('DONNÉES BRUTES'!A$3:A$42)-ROW('DONNÉES BRUTES'!A$3))/1000,0),14),IF('DONNÉES BRUTES'!C$3:C$42="Materials",'DONNÉES BRUTES'!AB$3:AB$42+(ROW('DONNÉES BRUTES'!A$3:A$42)-ROW('DONNÉES BRUTES'!A$3))/1000,0),0))),"—")</f>
        <v/>
      </c>
      <c r="P24">
        <f t="array" ref="P24">IFERROR(IF(14&gt;COUNTIF('DONNÉES BRUTES'!C$3:C$42,"Materials"),"",INDEX('DONNÉES BRUTES'!U$3:U$42,MATCH(LARGE(IF('DONNÉES BRUTES'!C$3:C$42="Materials",'DONNÉES BRUTES'!AB$3:AB$42+(ROW('DONNÉES BRUTES'!A$3:A$42)-ROW('DONNÉES BRUTES'!A$3))/1000,0),14),IF('DONNÉES BRUTES'!C$3:C$42="Materials",'DONNÉES BRUTES'!AB$3:AB$42+(ROW('DONNÉES BRUTES'!A$3:A$42)-ROW('DONNÉES BRUTES'!A$3))/1000,0),0))),"—")</f>
        <v/>
      </c>
      <c r="Q24">
        <f t="array" ref="Q24">IFERROR(IF(14&gt;COUNTIF('DONNÉES BRUTES'!C$3:C$42,"Materials"),"",INDEX('DONNÉES BRUTES'!AD$3:AD$42,MATCH(LARGE(IF('DONNÉES BRUTES'!C$3:C$42="Materials",'DONNÉES BRUTES'!AB$3:AB$42+(ROW('DONNÉES BRUTES'!A$3:A$42)-ROW('DONNÉES BRUTES'!A$3))/1000,0),14),IF('DONNÉES BRUTES'!C$3:C$42="Materials",'DONNÉES BRUTES'!AB$3:AB$42+(ROW('DONNÉES BRUTES'!A$3:A$42)-ROW('DONNÉES BRUTES'!A$3))/1000,0),0))),"—")</f>
        <v/>
      </c>
    </row>
    <row r="25" ht="15.95" customHeight="1">
      <c r="B25">
        <f>IF(15&gt;COUNTIF('DONNÉES BRUTES'!C$3:C$42,"Materials"),"",15)</f>
        <v/>
      </c>
      <c r="C25">
        <f t="array" ref="C25">IFERROR(IF(15&gt;COUNTIF('DONNÉES BRUTES'!C$3:C$42,"Materials"),"",INDEX('DONNÉES BRUTES'!A$3:A$42,MATCH(LARGE(IF('DONNÉES BRUTES'!C$3:C$42="Materials",'DONNÉES BRUTES'!AB$3:AB$42+(ROW('DONNÉES BRUTES'!A$3:A$42)-ROW('DONNÉES BRUTES'!A$3))/1000,0),15),IF('DONNÉES BRUTES'!C$3:C$42="Materials",'DONNÉES BRUTES'!AB$3:AB$42+(ROW('DONNÉES BRUTES'!A$3:A$42)-ROW('DONNÉES BRUTES'!A$3))/1000,0),0))),"—")</f>
        <v/>
      </c>
      <c r="D25">
        <f t="array" ref="D25">IFERROR(IF(15&gt;COUNTIF('DONNÉES BRUTES'!C$3:C$42,"Materials"),"",INDEX('DONNÉES BRUTES'!B$3:B$42,MATCH(LARGE(IF('DONNÉES BRUTES'!C$3:C$42="Materials",'DONNÉES BRUTES'!AB$3:AB$42+(ROW('DONNÉES BRUTES'!A$3:A$42)-ROW('DONNÉES BRUTES'!A$3))/1000,0),15),IF('DONNÉES BRUTES'!C$3:C$42="Materials",'DONNÉES BRUTES'!AB$3:AB$42+(ROW('DONNÉES BRUTES'!A$3:A$42)-ROW('DONNÉES BRUTES'!A$3))/1000,0),0))),"—")</f>
        <v/>
      </c>
      <c r="E25">
        <f t="array" ref="E25">IFERROR(IF(15&gt;COUNTIF('DONNÉES BRUTES'!C$3:C$42,"Materials"),"",INT(LARGE(IF('DONNÉES BRUTES'!C$3:C$42="Materials",'DONNÉES BRUTES'!AB$3:AB$42+(ROW('DONNÉES BRUTES'!A$3:A$42)-ROW('DONNÉES BRUTES'!A$3))/1000,0),15))&amp;"/100"),"—")</f>
        <v/>
      </c>
      <c r="F25">
        <f t="array" ref="F25">IFERROR(IF(15&gt;COUNTIF('DONNÉES BRUTES'!C$3:C$42,"Materials"),"",INDEX('DONNÉES BRUTES'!Y$3:Y$42,MATCH(LARGE(IF('DONNÉES BRUTES'!C$3:C$42="Materials",'DONNÉES BRUTES'!AB$3:AB$42+(ROW('DONNÉES BRUTES'!A$3:A$42)-ROW('DONNÉES BRUTES'!A$3))/1000,0),15),IF('DONNÉES BRUTES'!C$3:C$42="Materials",'DONNÉES BRUTES'!AB$3:AB$42+(ROW('DONNÉES BRUTES'!A$3:A$42)-ROW('DONNÉES BRUTES'!A$3))/1000,0),0))),"—")</f>
        <v/>
      </c>
      <c r="G25">
        <f t="array" ref="G25">IFERROR(IF(15&gt;COUNTIF('DONNÉES BRUTES'!C$3:C$42,"Materials"),"",INDEX('DONNÉES BRUTES'!Z$3:Z$42,MATCH(LARGE(IF('DONNÉES BRUTES'!C$3:C$42="Materials",'DONNÉES BRUTES'!AB$3:AB$42+(ROW('DONNÉES BRUTES'!A$3:A$42)-ROW('DONNÉES BRUTES'!A$3))/1000,0),15),IF('DONNÉES BRUTES'!C$3:C$42="Materials",'DONNÉES BRUTES'!AB$3:AB$42+(ROW('DONNÉES BRUTES'!A$3:A$42)-ROW('DONNÉES BRUTES'!A$3))/1000,0),0))),"—")</f>
        <v/>
      </c>
      <c r="H25">
        <f t="array" ref="H25">IFERROR(IF(15&gt;COUNTIF('DONNÉES BRUTES'!C$3:C$42,"Materials"),"",INDEX('DONNÉES BRUTES'!AA$3:AA$42,MATCH(LARGE(IF('DONNÉES BRUTES'!C$3:C$42="Materials",'DONNÉES BRUTES'!AB$3:AB$42+(ROW('DONNÉES BRUTES'!A$3:A$42)-ROW('DONNÉES BRUTES'!A$3))/1000,0),15),IF('DONNÉES BRUTES'!C$3:C$42="Materials",'DONNÉES BRUTES'!AB$3:AB$42+(ROW('DONNÉES BRUTES'!A$3:A$42)-ROW('DONNÉES BRUTES'!A$3))/1000,0),0))),"—")</f>
        <v/>
      </c>
      <c r="I25">
        <f t="array" ref="I25">IFERROR(IF(15&gt;COUNTIF('DONNÉES BRUTES'!C$3:C$42,"Materials"),"",INDEX('DONNÉES BRUTES'!M$3:M$42,MATCH(LARGE(IF('DONNÉES BRUTES'!C$3:C$42="Materials",'DONNÉES BRUTES'!AB$3:AB$42+(ROW('DONNÉES BRUTES'!A$3:A$42)-ROW('DONNÉES BRUTES'!A$3))/1000,0),15),IF('DONNÉES BRUTES'!C$3:C$42="Materials",'DONNÉES BRUTES'!AB$3:AB$42+(ROW('DONNÉES BRUTES'!A$3:A$42)-ROW('DONNÉES BRUTES'!A$3))/1000,0),0))),"—")</f>
        <v/>
      </c>
      <c r="J25">
        <f t="array" ref="J25">IFERROR(IF(15&gt;COUNTIF('DONNÉES BRUTES'!C$3:C$42,"Materials"),"",INDEX('DONNÉES BRUTES'!N$3:N$42,MATCH(LARGE(IF('DONNÉES BRUTES'!C$3:C$42="Materials",'DONNÉES BRUTES'!AB$3:AB$42+(ROW('DONNÉES BRUTES'!A$3:A$42)-ROW('DONNÉES BRUTES'!A$3))/1000,0),15),IF('DONNÉES BRUTES'!C$3:C$42="Materials",'DONNÉES BRUTES'!AB$3:AB$42+(ROW('DONNÉES BRUTES'!A$3:A$42)-ROW('DONNÉES BRUTES'!A$3))/1000,0),0))),"—")</f>
        <v/>
      </c>
      <c r="K25">
        <f t="array" ref="K25">IFERROR(IF(15&gt;COUNTIF('DONNÉES BRUTES'!C$3:C$42,"Materials"),"",INDEX('DONNÉES BRUTES'!O$3:O$42,MATCH(LARGE(IF('DONNÉES BRUTES'!C$3:C$42="Materials",'DONNÉES BRUTES'!AB$3:AB$42+(ROW('DONNÉES BRUTES'!A$3:A$42)-ROW('DONNÉES BRUTES'!A$3))/1000,0),15),IF('DONNÉES BRUTES'!C$3:C$42="Materials",'DONNÉES BRUTES'!AB$3:AB$42+(ROW('DONNÉES BRUTES'!A$3:A$42)-ROW('DONNÉES BRUTES'!A$3))/1000,0),0))),"—")</f>
        <v/>
      </c>
      <c r="L25">
        <f t="array" ref="L25">IFERROR(IF(15&gt;COUNTIF('DONNÉES BRUTES'!C$3:C$42,"Materials"),"",INDEX('DONNÉES BRUTES'!P$3:P$42,MATCH(LARGE(IF('DONNÉES BRUTES'!C$3:C$42="Materials",'DONNÉES BRUTES'!AB$3:AB$42+(ROW('DONNÉES BRUTES'!A$3:A$42)-ROW('DONNÉES BRUTES'!A$3))/1000,0),15),IF('DONNÉES BRUTES'!C$3:C$42="Materials",'DONNÉES BRUTES'!AB$3:AB$42+(ROW('DONNÉES BRUTES'!A$3:A$42)-ROW('DONNÉES BRUTES'!A$3))/1000,0),0))),"—")</f>
        <v/>
      </c>
      <c r="M25">
        <f t="array" ref="M25">IFERROR(IF(15&gt;COUNTIF('DONNÉES BRUTES'!C$3:C$42,"Materials"),"",INDEX('DONNÉES BRUTES'!Q$3:Q$42,MATCH(LARGE(IF('DONNÉES BRUTES'!C$3:C$42="Materials",'DONNÉES BRUTES'!AB$3:AB$42+(ROW('DONNÉES BRUTES'!A$3:A$42)-ROW('DONNÉES BRUTES'!A$3))/1000,0),15),IF('DONNÉES BRUTES'!C$3:C$42="Materials",'DONNÉES BRUTES'!AB$3:AB$42+(ROW('DONNÉES BRUTES'!A$3:A$42)-ROW('DONNÉES BRUTES'!A$3))/1000,0),0))),"—")</f>
        <v/>
      </c>
      <c r="N25">
        <f t="array" ref="N25">IFERROR(IF(15&gt;COUNTIF('DONNÉES BRUTES'!C$3:C$42,"Materials"),"",INDEX('DONNÉES BRUTES'!S$3:S$42,MATCH(LARGE(IF('DONNÉES BRUTES'!C$3:C$42="Materials",'DONNÉES BRUTES'!AB$3:AB$42+(ROW('DONNÉES BRUTES'!A$3:A$42)-ROW('DONNÉES BRUTES'!A$3))/1000,0),15),IF('DONNÉES BRUTES'!C$3:C$42="Materials",'DONNÉES BRUTES'!AB$3:AB$42+(ROW('DONNÉES BRUTES'!A$3:A$42)-ROW('DONNÉES BRUTES'!A$3))/1000,0),0))),"—")</f>
        <v/>
      </c>
      <c r="O25">
        <f t="array" ref="O25">IFERROR(IF(15&gt;COUNTIF('DONNÉES BRUTES'!C$3:C$42,"Materials"),"",INDEX('DONNÉES BRUTES'!T$3:T$42,MATCH(LARGE(IF('DONNÉES BRUTES'!C$3:C$42="Materials",'DONNÉES BRUTES'!AB$3:AB$42+(ROW('DONNÉES BRUTES'!A$3:A$42)-ROW('DONNÉES BRUTES'!A$3))/1000,0),15),IF('DONNÉES BRUTES'!C$3:C$42="Materials",'DONNÉES BRUTES'!AB$3:AB$42+(ROW('DONNÉES BRUTES'!A$3:A$42)-ROW('DONNÉES BRUTES'!A$3))/1000,0),0))),"—")</f>
        <v/>
      </c>
      <c r="P25">
        <f t="array" ref="P25">IFERROR(IF(15&gt;COUNTIF('DONNÉES BRUTES'!C$3:C$42,"Materials"),"",INDEX('DONNÉES BRUTES'!U$3:U$42,MATCH(LARGE(IF('DONNÉES BRUTES'!C$3:C$42="Materials",'DONNÉES BRUTES'!AB$3:AB$42+(ROW('DONNÉES BRUTES'!A$3:A$42)-ROW('DONNÉES BRUTES'!A$3))/1000,0),15),IF('DONNÉES BRUTES'!C$3:C$42="Materials",'DONNÉES BRUTES'!AB$3:AB$42+(ROW('DONNÉES BRUTES'!A$3:A$42)-ROW('DONNÉES BRUTES'!A$3))/1000,0),0))),"—")</f>
        <v/>
      </c>
      <c r="Q25">
        <f t="array" ref="Q25">IFERROR(IF(15&gt;COUNTIF('DONNÉES BRUTES'!C$3:C$42,"Materials"),"",INDEX('DONNÉES BRUTES'!AD$3:AD$42,MATCH(LARGE(IF('DONNÉES BRUTES'!C$3:C$42="Materials",'DONNÉES BRUTES'!AB$3:AB$42+(ROW('DONNÉES BRUTES'!A$3:A$42)-ROW('DONNÉES BRUTES'!A$3))/1000,0),15),IF('DONNÉES BRUTES'!C$3:C$42="Materials",'DONNÉES BRUTES'!AB$3:AB$42+(ROW('DONNÉES BRUTES'!A$3:A$42)-ROW('DONNÉES BRUTES'!A$3))/1000,0),0))),"—")</f>
        <v/>
      </c>
    </row>
    <row r="26" ht="15.95" customHeight="1"/>
    <row r="27" ht="15.95" customHeight="1"/>
    <row r="28" ht="15.95" customHeight="1">
      <c r="S28" s="235" t="inlineStr">
        <is>
          <t>Société</t>
        </is>
      </c>
      <c r="T28" s="235" t="inlineStr">
        <is>
          <t>Score</t>
        </is>
      </c>
      <c r="U28" t="inlineStr">
        <is>
          <t>Growth</t>
        </is>
      </c>
      <c r="V28" t="inlineStr">
        <is>
          <t>Quality</t>
        </is>
      </c>
      <c r="W28" s="235" t="inlineStr">
        <is>
          <t>Momentum</t>
        </is>
      </c>
      <c r="X28" s="235" t="n"/>
      <c r="Y28" s="235" t="inlineStr">
        <is>
          <t>Société</t>
        </is>
      </c>
      <c r="Z28" s="235" t="inlineStr">
        <is>
          <t>Growth</t>
        </is>
      </c>
      <c r="AA28" s="235" t="inlineStr">
        <is>
          <t>Quality</t>
        </is>
      </c>
      <c r="AB28" s="235" t="inlineStr">
        <is>
          <t>Momentum</t>
        </is>
      </c>
    </row>
    <row r="29" ht="15.95" customHeight="1">
      <c r="S29" s="235">
        <f>IF(D11="","",LEFT(D11,14))</f>
        <v/>
      </c>
      <c r="T29" s="235">
        <f>IF(E11="","",IFERROR(VALUE(LEFT(E11,FIND("/",E11)-1)),0))</f>
        <v/>
      </c>
      <c r="U29">
        <f>IF(ISNUMBER(F11),F11,0)</f>
        <v/>
      </c>
      <c r="V29">
        <f>IF(ISNUMBER(G11),G11,0)</f>
        <v/>
      </c>
      <c r="W29" s="235">
        <f>IF(ISNUMBER(H11),H11,0)</f>
        <v/>
      </c>
      <c r="X29" s="235">
        <f>IF(ISNUMBER(F11),F11,"")</f>
        <v/>
      </c>
      <c r="Y29" s="235">
        <f>IF(ISNUMBER(G11),G11,"")</f>
        <v/>
      </c>
      <c r="Z29" s="235">
        <f>IF(ISNUMBER(H11),H11,"")</f>
        <v/>
      </c>
      <c r="AA29" s="235" t="n">
        <v>77</v>
      </c>
      <c r="AB29" s="235" t="n">
        <v>90</v>
      </c>
    </row>
    <row r="30" ht="15.95" customHeight="1">
      <c r="S30" s="235">
        <f>IF(D12="","",LEFT(D12,14))</f>
        <v/>
      </c>
      <c r="T30" s="235">
        <f>IF(E12="","",IFERROR(VALUE(LEFT(E12,FIND("/",E12)-1)),0))</f>
        <v/>
      </c>
      <c r="U30">
        <f>IF(ISNUMBER(F12),F12,0)</f>
        <v/>
      </c>
      <c r="V30">
        <f>IF(ISNUMBER(G12),G12,0)</f>
        <v/>
      </c>
      <c r="W30" s="235">
        <f>IF(ISNUMBER(H12),H12,0)</f>
        <v/>
      </c>
      <c r="X30" s="235">
        <f>IF(ISNUMBER(F12),F12,"")</f>
        <v/>
      </c>
      <c r="Y30" s="235">
        <f>IF(ISNUMBER(G12),G12,"")</f>
        <v/>
      </c>
      <c r="Z30" s="235">
        <f>IF(ISNUMBER(H12),H12,"")</f>
        <v/>
      </c>
      <c r="AA30" s="235" t="n">
        <v>13</v>
      </c>
      <c r="AB30" s="235" t="n">
        <v>8</v>
      </c>
    </row>
  </sheetData>
  <mergeCells count="3">
    <mergeCell ref="B2:Q2"/>
    <mergeCell ref="B1:Q1"/>
    <mergeCell ref="B8:Q8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AB29"/>
  <sheetViews>
    <sheetView showGridLines="0" zoomScaleNormal="100" workbookViewId="0">
      <selection activeCell="M23" sqref="M23"/>
    </sheetView>
  </sheetViews>
  <sheetFormatPr baseColWidth="10" defaultColWidth="8.85546875" defaultRowHeight="15"/>
  <cols>
    <col width="1.5703125" customWidth="1" min="1" max="1"/>
    <col width="5.28515625" customWidth="1" min="2" max="2"/>
    <col width="10.42578125" customWidth="1" min="3" max="3"/>
    <col width="21.85546875" customWidth="1" min="4" max="4"/>
    <col width="10.42578125" customWidth="1" min="5" max="5"/>
    <col width="5.28515625" customWidth="1" min="6" max="8"/>
    <col width="8" customWidth="1" min="9" max="10"/>
    <col width="7.28515625" customWidth="1" min="11" max="11"/>
    <col width="8" customWidth="1" min="12" max="13"/>
    <col width="6.42578125" customWidth="1" min="14" max="14"/>
    <col width="7.28515625" customWidth="1" min="15" max="15"/>
    <col width="6.42578125" customWidth="1" min="16" max="16"/>
    <col width="14" bestFit="1" customWidth="1" min="17" max="17"/>
    <col width="9" bestFit="1" customWidth="1" min="20" max="21"/>
  </cols>
  <sheetData>
    <row r="1" ht="30" customHeight="1">
      <c r="B1" s="273">
        <f>"FinSight IA  ·  Real estate  ·  CAC 40  ·  "&amp;COUNTIF('DONNÉES BRUTES'!C$3:C$42,"Real Estate")&amp;" sociétés  ·  22/03/2026"</f>
        <v/>
      </c>
    </row>
    <row r="2" ht="18" customHeight="1">
      <c r="B2" s="280" t="inlineStr">
        <is>
          <t>Zoom sectoriel  ·  Ratios clés  ·  Score FinSight  ·  Usage confidentiel</t>
        </is>
      </c>
    </row>
    <row r="3" ht="8.1" customHeight="1"/>
    <row r="4" ht="8.1" customHeight="1"/>
    <row r="5" ht="39.95" customHeight="1">
      <c r="B5" s="268" t="n"/>
      <c r="C5" s="246">
        <f>COUNTIF('DONNÉES BRUTES'!C$3:C$42,"Real Estate")</f>
        <v/>
      </c>
      <c r="D5" s="268" t="n"/>
      <c r="E5" s="282">
        <f>ROUND(AVERAGEIF('DONNÉES BRUTES'!C$3:C$42,"Real Estate",'DONNÉES BRUTES'!AB$3:AB$42),0)&amp;"/100"</f>
        <v/>
      </c>
      <c r="F5" s="282" t="n"/>
      <c r="G5" s="282" t="n"/>
      <c r="H5" s="249">
        <f t="array" ref="H5">IFERROR(INDEX('DONNÉES BRUTES'!B$3:B$42,MATCH(LARGE(IF('DONNÉES BRUTES'!C$3:C$42="Real Estate",'DONNÉES BRUTES'!AB$3:AB$42+(ROW('DONNÉES BRUTES'!A$3:A$42)-ROW('DONNÉES BRUTES'!A$3))/1000,0),1),IF('DONNÉES BRUTES'!C$3:C$42="Real Estate",'DONNÉES BRUTES'!AB$3:AB$42+(ROW('DONNÉES BRUTES'!A$3:A$42)-ROW('DONNÉES BRUTES'!A$3))/1000,0),0)),"—")</f>
        <v/>
      </c>
      <c r="I5" s="282" t="n"/>
      <c r="J5" s="282" t="n"/>
      <c r="K5" s="268" t="n"/>
      <c r="L5" s="251">
        <f>IFERROR(VLOOKUP("Real Estate",'SECTOR OVERVIEW'!B$8:G$19,6,0),"—")</f>
        <v/>
      </c>
      <c r="M5" s="268" t="n"/>
      <c r="N5" s="252">
        <f t="array" ref="N5">IFERROR(ROUND(MEDIAN(IF('DONNÉES BRUTES'!C$3:C$42="Real Estate",IF(ISNUMBER('DONNÉES BRUTES'!Y$3:Y$42),'DONNÉES BRUTES'!Y$3:Y$42))),0),"—")</f>
        <v/>
      </c>
      <c r="O5" s="268" t="n"/>
      <c r="P5" s="284">
        <f>IF(COUNTIFS('DONNÉES BRUTES'!C$3:C$42,"Real Estate",'DONNÉES BRUTES'!AD$3:AD$42,"Surpondérer")&gt;0,"Surpondérer",IF(COUNTIFS('DONNÉES BRUTES'!C$3:C$42,"Real Estate",'DONNÉES BRUTES'!AD$3:AD$42,"Neutre")&gt;=COUNTIFS('DONNÉES BRUTES'!C$3:C$42,"Real Estate",'DONNÉES BRUTES'!AD$3:AD$42,"Sous-pondérer"),"Neutre","Sous-pondérer"))</f>
        <v/>
      </c>
      <c r="Q5" s="282" t="n"/>
    </row>
    <row r="6" ht="15.95" customHeight="1">
      <c r="B6" s="248" t="n"/>
      <c r="C6" s="248" t="inlineStr">
        <is>
          <t>Sociétés</t>
        </is>
      </c>
      <c r="D6" s="248" t="n"/>
      <c r="E6" s="247" t="inlineStr">
        <is>
          <t>Score moyen</t>
        </is>
      </c>
      <c r="F6" s="247" t="n"/>
      <c r="G6" s="247" t="n"/>
      <c r="H6" s="250" t="inlineStr">
        <is>
          <t>Meilleure société</t>
        </is>
      </c>
      <c r="I6" s="247" t="n"/>
      <c r="J6" s="247" t="n"/>
      <c r="K6" s="248" t="n"/>
      <c r="L6" s="248" t="inlineStr">
        <is>
          <t>Mg. EBITDA Méd.</t>
        </is>
      </c>
      <c r="M6" s="248" t="n"/>
      <c r="N6" s="248" t="inlineStr">
        <is>
          <t>Score Growth Méd.</t>
        </is>
      </c>
      <c r="O6" s="248" t="n"/>
      <c r="P6" s="248" t="inlineStr">
        <is>
          <t>Signal</t>
        </is>
      </c>
      <c r="Q6" s="247" t="n"/>
    </row>
    <row r="7" ht="8.1" customHeight="1"/>
    <row r="8" ht="21.95" customHeight="1">
      <c r="B8" s="275">
        <f>"ANALYSE DÉTAILLÉE  ·  "&amp;UPPER("Real estate")&amp;"  ·  "&amp;COUNTIF('DONNÉES BRUTES'!C$3:C$42,"Real Estate")&amp;" sociétés  ·  Triée par Score Global"</f>
        <v/>
      </c>
    </row>
    <row r="9" ht="6" customHeight="1"/>
    <row r="10" ht="20.1" customHeight="1">
      <c r="B10" s="269" t="inlineStr">
        <is>
          <t>#</t>
        </is>
      </c>
      <c r="C10" s="270" t="inlineStr">
        <is>
          <t>Ticker</t>
        </is>
      </c>
      <c r="D10" s="270" t="inlineStr">
        <is>
          <t>Société</t>
        </is>
      </c>
      <c r="E10" s="269" t="inlineStr">
        <is>
          <t>Score</t>
        </is>
      </c>
      <c r="F10" s="269" t="inlineStr">
        <is>
          <t>Gr.</t>
        </is>
      </c>
      <c r="G10" s="269" t="inlineStr">
        <is>
          <t>Qual.</t>
        </is>
      </c>
      <c r="H10" s="269" t="inlineStr">
        <is>
          <t>Mom.</t>
        </is>
      </c>
      <c r="I10" s="269" t="inlineStr">
        <is>
          <t>Mg. Brute</t>
        </is>
      </c>
      <c r="J10" s="269" t="inlineStr">
        <is>
          <t>Mg. EBITDA</t>
        </is>
      </c>
      <c r="K10" s="269" t="inlineStr">
        <is>
          <t>Mg. Nette</t>
        </is>
      </c>
      <c r="L10" s="269" t="inlineStr">
        <is>
          <t>Croiss. Rev.</t>
        </is>
      </c>
      <c r="M10" s="269" t="inlineStr">
        <is>
          <t>ROE</t>
        </is>
      </c>
      <c r="N10" s="269" t="inlineStr">
        <is>
          <t>Curr. R.</t>
        </is>
      </c>
      <c r="O10" s="269" t="inlineStr">
        <is>
          <t>ND/EBITDA</t>
        </is>
      </c>
      <c r="P10" s="269" t="inlineStr">
        <is>
          <t>Altman Z</t>
        </is>
      </c>
      <c r="Q10" s="269" t="inlineStr">
        <is>
          <t>Signal</t>
        </is>
      </c>
    </row>
    <row r="11" ht="18" customHeight="1">
      <c r="B11">
        <f>IF(1&gt;COUNTIF('DONNÉES BRUTES'!C$3:C$42,"Real Estate"),"",1)</f>
        <v/>
      </c>
      <c r="C11">
        <f t="array" ref="C11">IFERROR(IF(1&gt;COUNTIF('DONNÉES BRUTES'!C$3:C$42,"Real Estate"),"",INDEX('DONNÉES BRUTES'!A$3:A$42,MATCH(LARGE(IF('DONNÉES BRUTES'!C$3:C$42="Real Estate",'DONNÉES BRUTES'!AB$3:AB$42+(ROW('DONNÉES BRUTES'!A$3:A$42)-ROW('DONNÉES BRUTES'!A$3))/1000,0),1),IF('DONNÉES BRUTES'!C$3:C$42="Real Estate",'DONNÉES BRUTES'!AB$3:AB$42+(ROW('DONNÉES BRUTES'!A$3:A$42)-ROW('DONNÉES BRUTES'!A$3))/1000,0),0))),"—")</f>
        <v/>
      </c>
      <c r="D11">
        <f t="array" ref="D11">IFERROR(IF(1&gt;COUNTIF('DONNÉES BRUTES'!C$3:C$42,"Real Estate"),"",INDEX('DONNÉES BRUTES'!B$3:B$42,MATCH(LARGE(IF('DONNÉES BRUTES'!C$3:C$42="Real Estate",'DONNÉES BRUTES'!AB$3:AB$42+(ROW('DONNÉES BRUTES'!A$3:A$42)-ROW('DONNÉES BRUTES'!A$3))/1000,0),1),IF('DONNÉES BRUTES'!C$3:C$42="Real Estate",'DONNÉES BRUTES'!AB$3:AB$42+(ROW('DONNÉES BRUTES'!A$3:A$42)-ROW('DONNÉES BRUTES'!A$3))/1000,0),0))),"—")</f>
        <v/>
      </c>
      <c r="E11">
        <f t="array" ref="E11">IFERROR(IF(1&gt;COUNTIF('DONNÉES BRUTES'!C$3:C$42,"Real Estate"),"",INT(LARGE(IF('DONNÉES BRUTES'!C$3:C$42="Real Estate",'DONNÉES BRUTES'!AB$3:AB$42+(ROW('DONNÉES BRUTES'!A$3:A$42)-ROW('DONNÉES BRUTES'!A$3))/1000,0),1))&amp;"/100"),"—")</f>
        <v/>
      </c>
      <c r="F11">
        <f t="array" ref="F11">IFERROR(IF(1&gt;COUNTIF('DONNÉES BRUTES'!C$3:C$42,"Real Estate"),"",INDEX('DONNÉES BRUTES'!Y$3:Y$42,MATCH(LARGE(IF('DONNÉES BRUTES'!C$3:C$42="Real Estate",'DONNÉES BRUTES'!AB$3:AB$42+(ROW('DONNÉES BRUTES'!A$3:A$42)-ROW('DONNÉES BRUTES'!A$3))/1000,0),1),IF('DONNÉES BRUTES'!C$3:C$42="Real Estate",'DONNÉES BRUTES'!AB$3:AB$42+(ROW('DONNÉES BRUTES'!A$3:A$42)-ROW('DONNÉES BRUTES'!A$3))/1000,0),0))),"—")</f>
        <v/>
      </c>
      <c r="G11">
        <f t="array" ref="G11">IFERROR(IF(1&gt;COUNTIF('DONNÉES BRUTES'!C$3:C$42,"Real Estate"),"",INDEX('DONNÉES BRUTES'!Z$3:Z$42,MATCH(LARGE(IF('DONNÉES BRUTES'!C$3:C$42="Real Estate",'DONNÉES BRUTES'!AB$3:AB$42+(ROW('DONNÉES BRUTES'!A$3:A$42)-ROW('DONNÉES BRUTES'!A$3))/1000,0),1),IF('DONNÉES BRUTES'!C$3:C$42="Real Estate",'DONNÉES BRUTES'!AB$3:AB$42+(ROW('DONNÉES BRUTES'!A$3:A$42)-ROW('DONNÉES BRUTES'!A$3))/1000,0),0))),"—")</f>
        <v/>
      </c>
      <c r="H11">
        <f t="array" ref="H11">IFERROR(IF(1&gt;COUNTIF('DONNÉES BRUTES'!C$3:C$42,"Real Estate"),"",INDEX('DONNÉES BRUTES'!AA$3:AA$42,MATCH(LARGE(IF('DONNÉES BRUTES'!C$3:C$42="Real Estate",'DONNÉES BRUTES'!AB$3:AB$42+(ROW('DONNÉES BRUTES'!A$3:A$42)-ROW('DONNÉES BRUTES'!A$3))/1000,0),1),IF('DONNÉES BRUTES'!C$3:C$42="Real Estate",'DONNÉES BRUTES'!AB$3:AB$42+(ROW('DONNÉES BRUTES'!A$3:A$42)-ROW('DONNÉES BRUTES'!A$3))/1000,0),0))),"—")</f>
        <v/>
      </c>
      <c r="I11">
        <f t="array" ref="I11">IFERROR(IF(1&gt;COUNTIF('DONNÉES BRUTES'!C$3:C$42,"Real Estate"),"",INDEX('DONNÉES BRUTES'!M$3:M$42,MATCH(LARGE(IF('DONNÉES BRUTES'!C$3:C$42="Real Estate",'DONNÉES BRUTES'!AB$3:AB$42+(ROW('DONNÉES BRUTES'!A$3:A$42)-ROW('DONNÉES BRUTES'!A$3))/1000,0),1),IF('DONNÉES BRUTES'!C$3:C$42="Real Estate",'DONNÉES BRUTES'!AB$3:AB$42+(ROW('DONNÉES BRUTES'!A$3:A$42)-ROW('DONNÉES BRUTES'!A$3))/1000,0),0))),"—")</f>
        <v/>
      </c>
      <c r="J11">
        <f t="array" ref="J11">IFERROR(IF(1&gt;COUNTIF('DONNÉES BRUTES'!C$3:C$42,"Real Estate"),"",INDEX('DONNÉES BRUTES'!N$3:N$42,MATCH(LARGE(IF('DONNÉES BRUTES'!C$3:C$42="Real Estate",'DONNÉES BRUTES'!AB$3:AB$42+(ROW('DONNÉES BRUTES'!A$3:A$42)-ROW('DONNÉES BRUTES'!A$3))/1000,0),1),IF('DONNÉES BRUTES'!C$3:C$42="Real Estate",'DONNÉES BRUTES'!AB$3:AB$42+(ROW('DONNÉES BRUTES'!A$3:A$42)-ROW('DONNÉES BRUTES'!A$3))/1000,0),0))),"—")</f>
        <v/>
      </c>
      <c r="K11">
        <f t="array" ref="K11">IFERROR(IF(1&gt;COUNTIF('DONNÉES BRUTES'!C$3:C$42,"Real Estate"),"",INDEX('DONNÉES BRUTES'!O$3:O$42,MATCH(LARGE(IF('DONNÉES BRUTES'!C$3:C$42="Real Estate",'DONNÉES BRUTES'!AB$3:AB$42+(ROW('DONNÉES BRUTES'!A$3:A$42)-ROW('DONNÉES BRUTES'!A$3))/1000,0),1),IF('DONNÉES BRUTES'!C$3:C$42="Real Estate",'DONNÉES BRUTES'!AB$3:AB$42+(ROW('DONNÉES BRUTES'!A$3:A$42)-ROW('DONNÉES BRUTES'!A$3))/1000,0),0))),"—")</f>
        <v/>
      </c>
      <c r="L11">
        <f t="array" ref="L11">IFERROR(IF(1&gt;COUNTIF('DONNÉES BRUTES'!C$3:C$42,"Real Estate"),"",INDEX('DONNÉES BRUTES'!P$3:P$42,MATCH(LARGE(IF('DONNÉES BRUTES'!C$3:C$42="Real Estate",'DONNÉES BRUTES'!AB$3:AB$42+(ROW('DONNÉES BRUTES'!A$3:A$42)-ROW('DONNÉES BRUTES'!A$3))/1000,0),1),IF('DONNÉES BRUTES'!C$3:C$42="Real Estate",'DONNÉES BRUTES'!AB$3:AB$42+(ROW('DONNÉES BRUTES'!A$3:A$42)-ROW('DONNÉES BRUTES'!A$3))/1000,0),0))),"—")</f>
        <v/>
      </c>
      <c r="M11">
        <f t="array" ref="M11">IFERROR(IF(1&gt;COUNTIF('DONNÉES BRUTES'!C$3:C$42,"Real Estate"),"",INDEX('DONNÉES BRUTES'!Q$3:Q$42,MATCH(LARGE(IF('DONNÉES BRUTES'!C$3:C$42="Real Estate",'DONNÉES BRUTES'!AB$3:AB$42+(ROW('DONNÉES BRUTES'!A$3:A$42)-ROW('DONNÉES BRUTES'!A$3))/1000,0),1),IF('DONNÉES BRUTES'!C$3:C$42="Real Estate",'DONNÉES BRUTES'!AB$3:AB$42+(ROW('DONNÉES BRUTES'!A$3:A$42)-ROW('DONNÉES BRUTES'!A$3))/1000,0),0))),"—")</f>
        <v/>
      </c>
      <c r="N11">
        <f t="array" ref="N11">IFERROR(IF(1&gt;COUNTIF('DONNÉES BRUTES'!C$3:C$42,"Real Estate"),"",INDEX('DONNÉES BRUTES'!S$3:S$42,MATCH(LARGE(IF('DONNÉES BRUTES'!C$3:C$42="Real Estate",'DONNÉES BRUTES'!AB$3:AB$42+(ROW('DONNÉES BRUTES'!A$3:A$42)-ROW('DONNÉES BRUTES'!A$3))/1000,0),1),IF('DONNÉES BRUTES'!C$3:C$42="Real Estate",'DONNÉES BRUTES'!AB$3:AB$42+(ROW('DONNÉES BRUTES'!A$3:A$42)-ROW('DONNÉES BRUTES'!A$3))/1000,0),0))),"—")</f>
        <v/>
      </c>
      <c r="O11">
        <f t="array" ref="O11">IFERROR(IF(1&gt;COUNTIF('DONNÉES BRUTES'!C$3:C$42,"Real Estate"),"",INDEX('DONNÉES BRUTES'!T$3:T$42,MATCH(LARGE(IF('DONNÉES BRUTES'!C$3:C$42="Real Estate",'DONNÉES BRUTES'!AB$3:AB$42+(ROW('DONNÉES BRUTES'!A$3:A$42)-ROW('DONNÉES BRUTES'!A$3))/1000,0),1),IF('DONNÉES BRUTES'!C$3:C$42="Real Estate",'DONNÉES BRUTES'!AB$3:AB$42+(ROW('DONNÉES BRUTES'!A$3:A$42)-ROW('DONNÉES BRUTES'!A$3))/1000,0),0))),"—")</f>
        <v/>
      </c>
      <c r="P11">
        <f t="array" ref="P11">IFERROR(IF(1&gt;COUNTIF('DONNÉES BRUTES'!C$3:C$42,"Real Estate"),"",INDEX('DONNÉES BRUTES'!U$3:U$42,MATCH(LARGE(IF('DONNÉES BRUTES'!C$3:C$42="Real Estate",'DONNÉES BRUTES'!AB$3:AB$42+(ROW('DONNÉES BRUTES'!A$3:A$42)-ROW('DONNÉES BRUTES'!A$3))/1000,0),1),IF('DONNÉES BRUTES'!C$3:C$42="Real Estate",'DONNÉES BRUTES'!AB$3:AB$42+(ROW('DONNÉES BRUTES'!A$3:A$42)-ROW('DONNÉES BRUTES'!A$3))/1000,0),0))),"—")</f>
        <v/>
      </c>
      <c r="Q11" t="inlineStr">
        <is>
          <t>Neutre</t>
        </is>
      </c>
    </row>
    <row r="12" ht="15.95" customHeight="1">
      <c r="B12">
        <f>IF(2&gt;COUNTIF('DONNÉES BRUTES'!C$3:C$42,"Real Estate"),"",2)</f>
        <v/>
      </c>
      <c r="C12">
        <f t="array" ref="C12">IFERROR(IF(2&gt;COUNTIF('DONNÉES BRUTES'!C$3:C$42,"Real Estate"),"",INDEX('DONNÉES BRUTES'!A$3:A$42,MATCH(LARGE(IF('DONNÉES BRUTES'!C$3:C$42="Real Estate",'DONNÉES BRUTES'!AB$3:AB$42+(ROW('DONNÉES BRUTES'!A$3:A$42)-ROW('DONNÉES BRUTES'!A$3))/1000,0),2),IF('DONNÉES BRUTES'!C$3:C$42="Real Estate",'DONNÉES BRUTES'!AB$3:AB$42+(ROW('DONNÉES BRUTES'!A$3:A$42)-ROW('DONNÉES BRUTES'!A$3))/1000,0),0))),"—")</f>
        <v/>
      </c>
      <c r="D12">
        <f t="array" ref="D12">IFERROR(IF(2&gt;COUNTIF('DONNÉES BRUTES'!C$3:C$42,"Real Estate"),"",INDEX('DONNÉES BRUTES'!B$3:B$42,MATCH(LARGE(IF('DONNÉES BRUTES'!C$3:C$42="Real Estate",'DONNÉES BRUTES'!AB$3:AB$42+(ROW('DONNÉES BRUTES'!A$3:A$42)-ROW('DONNÉES BRUTES'!A$3))/1000,0),2),IF('DONNÉES BRUTES'!C$3:C$42="Real Estate",'DONNÉES BRUTES'!AB$3:AB$42+(ROW('DONNÉES BRUTES'!A$3:A$42)-ROW('DONNÉES BRUTES'!A$3))/1000,0),0))),"—")</f>
        <v/>
      </c>
      <c r="E12">
        <f t="array" ref="E12">IFERROR(IF(2&gt;COUNTIF('DONNÉES BRUTES'!C$3:C$42,"Real Estate"),"",INT(LARGE(IF('DONNÉES BRUTES'!C$3:C$42="Real Estate",'DONNÉES BRUTES'!AB$3:AB$42+(ROW('DONNÉES BRUTES'!A$3:A$42)-ROW('DONNÉES BRUTES'!A$3))/1000,0),2))&amp;"/100"),"—")</f>
        <v/>
      </c>
      <c r="F12">
        <f t="array" ref="F12">IFERROR(IF(2&gt;COUNTIF('DONNÉES BRUTES'!C$3:C$42,"Real Estate"),"",INDEX('DONNÉES BRUTES'!Y$3:Y$42,MATCH(LARGE(IF('DONNÉES BRUTES'!C$3:C$42="Real Estate",'DONNÉES BRUTES'!AB$3:AB$42+(ROW('DONNÉES BRUTES'!A$3:A$42)-ROW('DONNÉES BRUTES'!A$3))/1000,0),2),IF('DONNÉES BRUTES'!C$3:C$42="Real Estate",'DONNÉES BRUTES'!AB$3:AB$42+(ROW('DONNÉES BRUTES'!A$3:A$42)-ROW('DONNÉES BRUTES'!A$3))/1000,0),0))),"—")</f>
        <v/>
      </c>
      <c r="G12">
        <f t="array" ref="G12">IFERROR(IF(2&gt;COUNTIF('DONNÉES BRUTES'!C$3:C$42,"Real Estate"),"",INDEX('DONNÉES BRUTES'!Z$3:Z$42,MATCH(LARGE(IF('DONNÉES BRUTES'!C$3:C$42="Real Estate",'DONNÉES BRUTES'!AB$3:AB$42+(ROW('DONNÉES BRUTES'!A$3:A$42)-ROW('DONNÉES BRUTES'!A$3))/1000,0),2),IF('DONNÉES BRUTES'!C$3:C$42="Real Estate",'DONNÉES BRUTES'!AB$3:AB$42+(ROW('DONNÉES BRUTES'!A$3:A$42)-ROW('DONNÉES BRUTES'!A$3))/1000,0),0))),"—")</f>
        <v/>
      </c>
      <c r="H12">
        <f t="array" ref="H12">IFERROR(IF(2&gt;COUNTIF('DONNÉES BRUTES'!C$3:C$42,"Real Estate"),"",INDEX('DONNÉES BRUTES'!AA$3:AA$42,MATCH(LARGE(IF('DONNÉES BRUTES'!C$3:C$42="Real Estate",'DONNÉES BRUTES'!AB$3:AB$42+(ROW('DONNÉES BRUTES'!A$3:A$42)-ROW('DONNÉES BRUTES'!A$3))/1000,0),2),IF('DONNÉES BRUTES'!C$3:C$42="Real Estate",'DONNÉES BRUTES'!AB$3:AB$42+(ROW('DONNÉES BRUTES'!A$3:A$42)-ROW('DONNÉES BRUTES'!A$3))/1000,0),0))),"—")</f>
        <v/>
      </c>
      <c r="I12">
        <f t="array" ref="I12">IFERROR(IF(2&gt;COUNTIF('DONNÉES BRUTES'!C$3:C$42,"Real Estate"),"",INDEX('DONNÉES BRUTES'!M$3:M$42,MATCH(LARGE(IF('DONNÉES BRUTES'!C$3:C$42="Real Estate",'DONNÉES BRUTES'!AB$3:AB$42+(ROW('DONNÉES BRUTES'!A$3:A$42)-ROW('DONNÉES BRUTES'!A$3))/1000,0),2),IF('DONNÉES BRUTES'!C$3:C$42="Real Estate",'DONNÉES BRUTES'!AB$3:AB$42+(ROW('DONNÉES BRUTES'!A$3:A$42)-ROW('DONNÉES BRUTES'!A$3))/1000,0),0))),"—")</f>
        <v/>
      </c>
      <c r="J12">
        <f t="array" ref="J12">IFERROR(IF(2&gt;COUNTIF('DONNÉES BRUTES'!C$3:C$42,"Real Estate"),"",INDEX('DONNÉES BRUTES'!N$3:N$42,MATCH(LARGE(IF('DONNÉES BRUTES'!C$3:C$42="Real Estate",'DONNÉES BRUTES'!AB$3:AB$42+(ROW('DONNÉES BRUTES'!A$3:A$42)-ROW('DONNÉES BRUTES'!A$3))/1000,0),2),IF('DONNÉES BRUTES'!C$3:C$42="Real Estate",'DONNÉES BRUTES'!AB$3:AB$42+(ROW('DONNÉES BRUTES'!A$3:A$42)-ROW('DONNÉES BRUTES'!A$3))/1000,0),0))),"—")</f>
        <v/>
      </c>
      <c r="K12">
        <f t="array" ref="K12">IFERROR(IF(2&gt;COUNTIF('DONNÉES BRUTES'!C$3:C$42,"Real Estate"),"",INDEX('DONNÉES BRUTES'!O$3:O$42,MATCH(LARGE(IF('DONNÉES BRUTES'!C$3:C$42="Real Estate",'DONNÉES BRUTES'!AB$3:AB$42+(ROW('DONNÉES BRUTES'!A$3:A$42)-ROW('DONNÉES BRUTES'!A$3))/1000,0),2),IF('DONNÉES BRUTES'!C$3:C$42="Real Estate",'DONNÉES BRUTES'!AB$3:AB$42+(ROW('DONNÉES BRUTES'!A$3:A$42)-ROW('DONNÉES BRUTES'!A$3))/1000,0),0))),"—")</f>
        <v/>
      </c>
      <c r="L12">
        <f t="array" ref="L12">IFERROR(IF(2&gt;COUNTIF('DONNÉES BRUTES'!C$3:C$42,"Real Estate"),"",INDEX('DONNÉES BRUTES'!P$3:P$42,MATCH(LARGE(IF('DONNÉES BRUTES'!C$3:C$42="Real Estate",'DONNÉES BRUTES'!AB$3:AB$42+(ROW('DONNÉES BRUTES'!A$3:A$42)-ROW('DONNÉES BRUTES'!A$3))/1000,0),2),IF('DONNÉES BRUTES'!C$3:C$42="Real Estate",'DONNÉES BRUTES'!AB$3:AB$42+(ROW('DONNÉES BRUTES'!A$3:A$42)-ROW('DONNÉES BRUTES'!A$3))/1000,0),0))),"—")</f>
        <v/>
      </c>
      <c r="M12">
        <f t="array" ref="M12">IFERROR(IF(2&gt;COUNTIF('DONNÉES BRUTES'!C$3:C$42,"Real Estate"),"",INDEX('DONNÉES BRUTES'!Q$3:Q$42,MATCH(LARGE(IF('DONNÉES BRUTES'!C$3:C$42="Real Estate",'DONNÉES BRUTES'!AB$3:AB$42+(ROW('DONNÉES BRUTES'!A$3:A$42)-ROW('DONNÉES BRUTES'!A$3))/1000,0),2),IF('DONNÉES BRUTES'!C$3:C$42="Real Estate",'DONNÉES BRUTES'!AB$3:AB$42+(ROW('DONNÉES BRUTES'!A$3:A$42)-ROW('DONNÉES BRUTES'!A$3))/1000,0),0))),"—")</f>
        <v/>
      </c>
      <c r="N12">
        <f t="array" ref="N12">IFERROR(IF(2&gt;COUNTIF('DONNÉES BRUTES'!C$3:C$42,"Real Estate"),"",INDEX('DONNÉES BRUTES'!S$3:S$42,MATCH(LARGE(IF('DONNÉES BRUTES'!C$3:C$42="Real Estate",'DONNÉES BRUTES'!AB$3:AB$42+(ROW('DONNÉES BRUTES'!A$3:A$42)-ROW('DONNÉES BRUTES'!A$3))/1000,0),2),IF('DONNÉES BRUTES'!C$3:C$42="Real Estate",'DONNÉES BRUTES'!AB$3:AB$42+(ROW('DONNÉES BRUTES'!A$3:A$42)-ROW('DONNÉES BRUTES'!A$3))/1000,0),0))),"—")</f>
        <v/>
      </c>
      <c r="O12">
        <f t="array" ref="O12">IFERROR(IF(2&gt;COUNTIF('DONNÉES BRUTES'!C$3:C$42,"Real Estate"),"",INDEX('DONNÉES BRUTES'!T$3:T$42,MATCH(LARGE(IF('DONNÉES BRUTES'!C$3:C$42="Real Estate",'DONNÉES BRUTES'!AB$3:AB$42+(ROW('DONNÉES BRUTES'!A$3:A$42)-ROW('DONNÉES BRUTES'!A$3))/1000,0),2),IF('DONNÉES BRUTES'!C$3:C$42="Real Estate",'DONNÉES BRUTES'!AB$3:AB$42+(ROW('DONNÉES BRUTES'!A$3:A$42)-ROW('DONNÉES BRUTES'!A$3))/1000,0),0))),"—")</f>
        <v/>
      </c>
      <c r="P12">
        <f t="array" ref="P12">IFERROR(IF(2&gt;COUNTIF('DONNÉES BRUTES'!C$3:C$42,"Real Estate"),"",INDEX('DONNÉES BRUTES'!U$3:U$42,MATCH(LARGE(IF('DONNÉES BRUTES'!C$3:C$42="Real Estate",'DONNÉES BRUTES'!AB$3:AB$42+(ROW('DONNÉES BRUTES'!A$3:A$42)-ROW('DONNÉES BRUTES'!A$3))/1000,0),2),IF('DONNÉES BRUTES'!C$3:C$42="Real Estate",'DONNÉES BRUTES'!AB$3:AB$42+(ROW('DONNÉES BRUTES'!A$3:A$42)-ROW('DONNÉES BRUTES'!A$3))/1000,0),0))),"—")</f>
        <v/>
      </c>
      <c r="Q12">
        <f t="array" ref="Q12">IFERROR(IF(2&gt;COUNTIF('DONNÉES BRUTES'!C$3:C$42,"Real Estate"),"",INDEX('DONNÉES BRUTES'!AD$3:AD$42,MATCH(LARGE(IF('DONNÉES BRUTES'!C$3:C$42="Real Estate",'DONNÉES BRUTES'!AB$3:AB$42+(ROW('DONNÉES BRUTES'!A$3:A$42)-ROW('DONNÉES BRUTES'!A$3))/1000,0),2),IF('DONNÉES BRUTES'!C$3:C$42="Real Estate",'DONNÉES BRUTES'!AB$3:AB$42+(ROW('DONNÉES BRUTES'!A$3:A$42)-ROW('DONNÉES BRUTES'!A$3))/1000,0),0))),"—")</f>
        <v/>
      </c>
    </row>
    <row r="13" ht="15.95" customHeight="1">
      <c r="B13">
        <f>IF(3&gt;COUNTIF('DONNÉES BRUTES'!C$3:C$42,"Real Estate"),"",3)</f>
        <v/>
      </c>
      <c r="C13">
        <f t="array" ref="C13">IFERROR(IF(3&gt;COUNTIF('DONNÉES BRUTES'!C$3:C$42,"Real Estate"),"",INDEX('DONNÉES BRUTES'!A$3:A$42,MATCH(LARGE(IF('DONNÉES BRUTES'!C$3:C$42="Real Estate",'DONNÉES BRUTES'!AB$3:AB$42+(ROW('DONNÉES BRUTES'!A$3:A$42)-ROW('DONNÉES BRUTES'!A$3))/1000,0),3),IF('DONNÉES BRUTES'!C$3:C$42="Real Estate",'DONNÉES BRUTES'!AB$3:AB$42+(ROW('DONNÉES BRUTES'!A$3:A$42)-ROW('DONNÉES BRUTES'!A$3))/1000,0),0))),"—")</f>
        <v/>
      </c>
      <c r="D13">
        <f t="array" ref="D13">IFERROR(IF(3&gt;COUNTIF('DONNÉES BRUTES'!C$3:C$42,"Real Estate"),"",INDEX('DONNÉES BRUTES'!B$3:B$42,MATCH(LARGE(IF('DONNÉES BRUTES'!C$3:C$42="Real Estate",'DONNÉES BRUTES'!AB$3:AB$42+(ROW('DONNÉES BRUTES'!A$3:A$42)-ROW('DONNÉES BRUTES'!A$3))/1000,0),3),IF('DONNÉES BRUTES'!C$3:C$42="Real Estate",'DONNÉES BRUTES'!AB$3:AB$42+(ROW('DONNÉES BRUTES'!A$3:A$42)-ROW('DONNÉES BRUTES'!A$3))/1000,0),0))),"—")</f>
        <v/>
      </c>
      <c r="E13">
        <f t="array" ref="E13">IFERROR(IF(3&gt;COUNTIF('DONNÉES BRUTES'!C$3:C$42,"Real Estate"),"",INT(LARGE(IF('DONNÉES BRUTES'!C$3:C$42="Real Estate",'DONNÉES BRUTES'!AB$3:AB$42+(ROW('DONNÉES BRUTES'!A$3:A$42)-ROW('DONNÉES BRUTES'!A$3))/1000,0),3))&amp;"/100"),"—")</f>
        <v/>
      </c>
      <c r="F13">
        <f t="array" ref="F13">IFERROR(IF(3&gt;COUNTIF('DONNÉES BRUTES'!C$3:C$42,"Real Estate"),"",INDEX('DONNÉES BRUTES'!Y$3:Y$42,MATCH(LARGE(IF('DONNÉES BRUTES'!C$3:C$42="Real Estate",'DONNÉES BRUTES'!AB$3:AB$42+(ROW('DONNÉES BRUTES'!A$3:A$42)-ROW('DONNÉES BRUTES'!A$3))/1000,0),3),IF('DONNÉES BRUTES'!C$3:C$42="Real Estate",'DONNÉES BRUTES'!AB$3:AB$42+(ROW('DONNÉES BRUTES'!A$3:A$42)-ROW('DONNÉES BRUTES'!A$3))/1000,0),0))),"—")</f>
        <v/>
      </c>
      <c r="G13">
        <f t="array" ref="G13">IFERROR(IF(3&gt;COUNTIF('DONNÉES BRUTES'!C$3:C$42,"Real Estate"),"",INDEX('DONNÉES BRUTES'!Z$3:Z$42,MATCH(LARGE(IF('DONNÉES BRUTES'!C$3:C$42="Real Estate",'DONNÉES BRUTES'!AB$3:AB$42+(ROW('DONNÉES BRUTES'!A$3:A$42)-ROW('DONNÉES BRUTES'!A$3))/1000,0),3),IF('DONNÉES BRUTES'!C$3:C$42="Real Estate",'DONNÉES BRUTES'!AB$3:AB$42+(ROW('DONNÉES BRUTES'!A$3:A$42)-ROW('DONNÉES BRUTES'!A$3))/1000,0),0))),"—")</f>
        <v/>
      </c>
      <c r="H13">
        <f t="array" ref="H13">IFERROR(IF(3&gt;COUNTIF('DONNÉES BRUTES'!C$3:C$42,"Real Estate"),"",INDEX('DONNÉES BRUTES'!AA$3:AA$42,MATCH(LARGE(IF('DONNÉES BRUTES'!C$3:C$42="Real Estate",'DONNÉES BRUTES'!AB$3:AB$42+(ROW('DONNÉES BRUTES'!A$3:A$42)-ROW('DONNÉES BRUTES'!A$3))/1000,0),3),IF('DONNÉES BRUTES'!C$3:C$42="Real Estate",'DONNÉES BRUTES'!AB$3:AB$42+(ROW('DONNÉES BRUTES'!A$3:A$42)-ROW('DONNÉES BRUTES'!A$3))/1000,0),0))),"—")</f>
        <v/>
      </c>
      <c r="I13">
        <f t="array" ref="I13">IFERROR(IF(3&gt;COUNTIF('DONNÉES BRUTES'!C$3:C$42,"Real Estate"),"",INDEX('DONNÉES BRUTES'!M$3:M$42,MATCH(LARGE(IF('DONNÉES BRUTES'!C$3:C$42="Real Estate",'DONNÉES BRUTES'!AB$3:AB$42+(ROW('DONNÉES BRUTES'!A$3:A$42)-ROW('DONNÉES BRUTES'!A$3))/1000,0),3),IF('DONNÉES BRUTES'!C$3:C$42="Real Estate",'DONNÉES BRUTES'!AB$3:AB$42+(ROW('DONNÉES BRUTES'!A$3:A$42)-ROW('DONNÉES BRUTES'!A$3))/1000,0),0))),"—")</f>
        <v/>
      </c>
      <c r="J13">
        <f t="array" ref="J13">IFERROR(IF(3&gt;COUNTIF('DONNÉES BRUTES'!C$3:C$42,"Real Estate"),"",INDEX('DONNÉES BRUTES'!N$3:N$42,MATCH(LARGE(IF('DONNÉES BRUTES'!C$3:C$42="Real Estate",'DONNÉES BRUTES'!AB$3:AB$42+(ROW('DONNÉES BRUTES'!A$3:A$42)-ROW('DONNÉES BRUTES'!A$3))/1000,0),3),IF('DONNÉES BRUTES'!C$3:C$42="Real Estate",'DONNÉES BRUTES'!AB$3:AB$42+(ROW('DONNÉES BRUTES'!A$3:A$42)-ROW('DONNÉES BRUTES'!A$3))/1000,0),0))),"—")</f>
        <v/>
      </c>
      <c r="K13">
        <f t="array" ref="K13">IFERROR(IF(3&gt;COUNTIF('DONNÉES BRUTES'!C$3:C$42,"Real Estate"),"",INDEX('DONNÉES BRUTES'!O$3:O$42,MATCH(LARGE(IF('DONNÉES BRUTES'!C$3:C$42="Real Estate",'DONNÉES BRUTES'!AB$3:AB$42+(ROW('DONNÉES BRUTES'!A$3:A$42)-ROW('DONNÉES BRUTES'!A$3))/1000,0),3),IF('DONNÉES BRUTES'!C$3:C$42="Real Estate",'DONNÉES BRUTES'!AB$3:AB$42+(ROW('DONNÉES BRUTES'!A$3:A$42)-ROW('DONNÉES BRUTES'!A$3))/1000,0),0))),"—")</f>
        <v/>
      </c>
      <c r="L13">
        <f t="array" ref="L13">IFERROR(IF(3&gt;COUNTIF('DONNÉES BRUTES'!C$3:C$42,"Real Estate"),"",INDEX('DONNÉES BRUTES'!P$3:P$42,MATCH(LARGE(IF('DONNÉES BRUTES'!C$3:C$42="Real Estate",'DONNÉES BRUTES'!AB$3:AB$42+(ROW('DONNÉES BRUTES'!A$3:A$42)-ROW('DONNÉES BRUTES'!A$3))/1000,0),3),IF('DONNÉES BRUTES'!C$3:C$42="Real Estate",'DONNÉES BRUTES'!AB$3:AB$42+(ROW('DONNÉES BRUTES'!A$3:A$42)-ROW('DONNÉES BRUTES'!A$3))/1000,0),0))),"—")</f>
        <v/>
      </c>
      <c r="M13">
        <f t="array" ref="M13">IFERROR(IF(3&gt;COUNTIF('DONNÉES BRUTES'!C$3:C$42,"Real Estate"),"",INDEX('DONNÉES BRUTES'!Q$3:Q$42,MATCH(LARGE(IF('DONNÉES BRUTES'!C$3:C$42="Real Estate",'DONNÉES BRUTES'!AB$3:AB$42+(ROW('DONNÉES BRUTES'!A$3:A$42)-ROW('DONNÉES BRUTES'!A$3))/1000,0),3),IF('DONNÉES BRUTES'!C$3:C$42="Real Estate",'DONNÉES BRUTES'!AB$3:AB$42+(ROW('DONNÉES BRUTES'!A$3:A$42)-ROW('DONNÉES BRUTES'!A$3))/1000,0),0))),"—")</f>
        <v/>
      </c>
      <c r="N13">
        <f t="array" ref="N13">IFERROR(IF(3&gt;COUNTIF('DONNÉES BRUTES'!C$3:C$42,"Real Estate"),"",INDEX('DONNÉES BRUTES'!S$3:S$42,MATCH(LARGE(IF('DONNÉES BRUTES'!C$3:C$42="Real Estate",'DONNÉES BRUTES'!AB$3:AB$42+(ROW('DONNÉES BRUTES'!A$3:A$42)-ROW('DONNÉES BRUTES'!A$3))/1000,0),3),IF('DONNÉES BRUTES'!C$3:C$42="Real Estate",'DONNÉES BRUTES'!AB$3:AB$42+(ROW('DONNÉES BRUTES'!A$3:A$42)-ROW('DONNÉES BRUTES'!A$3))/1000,0),0))),"—")</f>
        <v/>
      </c>
      <c r="O13">
        <f t="array" ref="O13">IFERROR(IF(3&gt;COUNTIF('DONNÉES BRUTES'!C$3:C$42,"Real Estate"),"",INDEX('DONNÉES BRUTES'!T$3:T$42,MATCH(LARGE(IF('DONNÉES BRUTES'!C$3:C$42="Real Estate",'DONNÉES BRUTES'!AB$3:AB$42+(ROW('DONNÉES BRUTES'!A$3:A$42)-ROW('DONNÉES BRUTES'!A$3))/1000,0),3),IF('DONNÉES BRUTES'!C$3:C$42="Real Estate",'DONNÉES BRUTES'!AB$3:AB$42+(ROW('DONNÉES BRUTES'!A$3:A$42)-ROW('DONNÉES BRUTES'!A$3))/1000,0),0))),"—")</f>
        <v/>
      </c>
      <c r="P13">
        <f t="array" ref="P13">IFERROR(IF(3&gt;COUNTIF('DONNÉES BRUTES'!C$3:C$42,"Real Estate"),"",INDEX('DONNÉES BRUTES'!U$3:U$42,MATCH(LARGE(IF('DONNÉES BRUTES'!C$3:C$42="Real Estate",'DONNÉES BRUTES'!AB$3:AB$42+(ROW('DONNÉES BRUTES'!A$3:A$42)-ROW('DONNÉES BRUTES'!A$3))/1000,0),3),IF('DONNÉES BRUTES'!C$3:C$42="Real Estate",'DONNÉES BRUTES'!AB$3:AB$42+(ROW('DONNÉES BRUTES'!A$3:A$42)-ROW('DONNÉES BRUTES'!A$3))/1000,0),0))),"—")</f>
        <v/>
      </c>
      <c r="Q13">
        <f t="array" ref="Q13">IFERROR(IF(3&gt;COUNTIF('DONNÉES BRUTES'!C$3:C$42,"Real Estate"),"",INDEX('DONNÉES BRUTES'!AD$3:AD$42,MATCH(LARGE(IF('DONNÉES BRUTES'!C$3:C$42="Real Estate",'DONNÉES BRUTES'!AB$3:AB$42+(ROW('DONNÉES BRUTES'!A$3:A$42)-ROW('DONNÉES BRUTES'!A$3))/1000,0),3),IF('DONNÉES BRUTES'!C$3:C$42="Real Estate",'DONNÉES BRUTES'!AB$3:AB$42+(ROW('DONNÉES BRUTES'!A$3:A$42)-ROW('DONNÉES BRUTES'!A$3))/1000,0),0))),"—")</f>
        <v/>
      </c>
    </row>
    <row r="14" ht="15.95" customHeight="1">
      <c r="B14">
        <f>IF(4&gt;COUNTIF('DONNÉES BRUTES'!C$3:C$42,"Real Estate"),"",4)</f>
        <v/>
      </c>
      <c r="C14">
        <f t="array" ref="C14">IFERROR(IF(4&gt;COUNTIF('DONNÉES BRUTES'!C$3:C$42,"Real Estate"),"",INDEX('DONNÉES BRUTES'!A$3:A$42,MATCH(LARGE(IF('DONNÉES BRUTES'!C$3:C$42="Real Estate",'DONNÉES BRUTES'!AB$3:AB$42+(ROW('DONNÉES BRUTES'!A$3:A$42)-ROW('DONNÉES BRUTES'!A$3))/1000,0),4),IF('DONNÉES BRUTES'!C$3:C$42="Real Estate",'DONNÉES BRUTES'!AB$3:AB$42+(ROW('DONNÉES BRUTES'!A$3:A$42)-ROW('DONNÉES BRUTES'!A$3))/1000,0),0))),"—")</f>
        <v/>
      </c>
      <c r="D14">
        <f t="array" ref="D14">IFERROR(IF(4&gt;COUNTIF('DONNÉES BRUTES'!C$3:C$42,"Real Estate"),"",INDEX('DONNÉES BRUTES'!B$3:B$42,MATCH(LARGE(IF('DONNÉES BRUTES'!C$3:C$42="Real Estate",'DONNÉES BRUTES'!AB$3:AB$42+(ROW('DONNÉES BRUTES'!A$3:A$42)-ROW('DONNÉES BRUTES'!A$3))/1000,0),4),IF('DONNÉES BRUTES'!C$3:C$42="Real Estate",'DONNÉES BRUTES'!AB$3:AB$42+(ROW('DONNÉES BRUTES'!A$3:A$42)-ROW('DONNÉES BRUTES'!A$3))/1000,0),0))),"—")</f>
        <v/>
      </c>
      <c r="E14">
        <f t="array" ref="E14">IFERROR(IF(4&gt;COUNTIF('DONNÉES BRUTES'!C$3:C$42,"Real Estate"),"",INT(LARGE(IF('DONNÉES BRUTES'!C$3:C$42="Real Estate",'DONNÉES BRUTES'!AB$3:AB$42+(ROW('DONNÉES BRUTES'!A$3:A$42)-ROW('DONNÉES BRUTES'!A$3))/1000,0),4))&amp;"/100"),"—")</f>
        <v/>
      </c>
      <c r="F14">
        <f t="array" ref="F14">IFERROR(IF(4&gt;COUNTIF('DONNÉES BRUTES'!C$3:C$42,"Real Estate"),"",INDEX('DONNÉES BRUTES'!Y$3:Y$42,MATCH(LARGE(IF('DONNÉES BRUTES'!C$3:C$42="Real Estate",'DONNÉES BRUTES'!AB$3:AB$42+(ROW('DONNÉES BRUTES'!A$3:A$42)-ROW('DONNÉES BRUTES'!A$3))/1000,0),4),IF('DONNÉES BRUTES'!C$3:C$42="Real Estate",'DONNÉES BRUTES'!AB$3:AB$42+(ROW('DONNÉES BRUTES'!A$3:A$42)-ROW('DONNÉES BRUTES'!A$3))/1000,0),0))),"—")</f>
        <v/>
      </c>
      <c r="G14">
        <f t="array" ref="G14">IFERROR(IF(4&gt;COUNTIF('DONNÉES BRUTES'!C$3:C$42,"Real Estate"),"",INDEX('DONNÉES BRUTES'!Z$3:Z$42,MATCH(LARGE(IF('DONNÉES BRUTES'!C$3:C$42="Real Estate",'DONNÉES BRUTES'!AB$3:AB$42+(ROW('DONNÉES BRUTES'!A$3:A$42)-ROW('DONNÉES BRUTES'!A$3))/1000,0),4),IF('DONNÉES BRUTES'!C$3:C$42="Real Estate",'DONNÉES BRUTES'!AB$3:AB$42+(ROW('DONNÉES BRUTES'!A$3:A$42)-ROW('DONNÉES BRUTES'!A$3))/1000,0),0))),"—")</f>
        <v/>
      </c>
      <c r="H14">
        <f t="array" ref="H14">IFERROR(IF(4&gt;COUNTIF('DONNÉES BRUTES'!C$3:C$42,"Real Estate"),"",INDEX('DONNÉES BRUTES'!AA$3:AA$42,MATCH(LARGE(IF('DONNÉES BRUTES'!C$3:C$42="Real Estate",'DONNÉES BRUTES'!AB$3:AB$42+(ROW('DONNÉES BRUTES'!A$3:A$42)-ROW('DONNÉES BRUTES'!A$3))/1000,0),4),IF('DONNÉES BRUTES'!C$3:C$42="Real Estate",'DONNÉES BRUTES'!AB$3:AB$42+(ROW('DONNÉES BRUTES'!A$3:A$42)-ROW('DONNÉES BRUTES'!A$3))/1000,0),0))),"—")</f>
        <v/>
      </c>
      <c r="I14">
        <f t="array" ref="I14">IFERROR(IF(4&gt;COUNTIF('DONNÉES BRUTES'!C$3:C$42,"Real Estate"),"",INDEX('DONNÉES BRUTES'!M$3:M$42,MATCH(LARGE(IF('DONNÉES BRUTES'!C$3:C$42="Real Estate",'DONNÉES BRUTES'!AB$3:AB$42+(ROW('DONNÉES BRUTES'!A$3:A$42)-ROW('DONNÉES BRUTES'!A$3))/1000,0),4),IF('DONNÉES BRUTES'!C$3:C$42="Real Estate",'DONNÉES BRUTES'!AB$3:AB$42+(ROW('DONNÉES BRUTES'!A$3:A$42)-ROW('DONNÉES BRUTES'!A$3))/1000,0),0))),"—")</f>
        <v/>
      </c>
      <c r="J14">
        <f t="array" ref="J14">IFERROR(IF(4&gt;COUNTIF('DONNÉES BRUTES'!C$3:C$42,"Real Estate"),"",INDEX('DONNÉES BRUTES'!N$3:N$42,MATCH(LARGE(IF('DONNÉES BRUTES'!C$3:C$42="Real Estate",'DONNÉES BRUTES'!AB$3:AB$42+(ROW('DONNÉES BRUTES'!A$3:A$42)-ROW('DONNÉES BRUTES'!A$3))/1000,0),4),IF('DONNÉES BRUTES'!C$3:C$42="Real Estate",'DONNÉES BRUTES'!AB$3:AB$42+(ROW('DONNÉES BRUTES'!A$3:A$42)-ROW('DONNÉES BRUTES'!A$3))/1000,0),0))),"—")</f>
        <v/>
      </c>
      <c r="K14">
        <f t="array" ref="K14">IFERROR(IF(4&gt;COUNTIF('DONNÉES BRUTES'!C$3:C$42,"Real Estate"),"",INDEX('DONNÉES BRUTES'!O$3:O$42,MATCH(LARGE(IF('DONNÉES BRUTES'!C$3:C$42="Real Estate",'DONNÉES BRUTES'!AB$3:AB$42+(ROW('DONNÉES BRUTES'!A$3:A$42)-ROW('DONNÉES BRUTES'!A$3))/1000,0),4),IF('DONNÉES BRUTES'!C$3:C$42="Real Estate",'DONNÉES BRUTES'!AB$3:AB$42+(ROW('DONNÉES BRUTES'!A$3:A$42)-ROW('DONNÉES BRUTES'!A$3))/1000,0),0))),"—")</f>
        <v/>
      </c>
      <c r="L14">
        <f t="array" ref="L14">IFERROR(IF(4&gt;COUNTIF('DONNÉES BRUTES'!C$3:C$42,"Real Estate"),"",INDEX('DONNÉES BRUTES'!P$3:P$42,MATCH(LARGE(IF('DONNÉES BRUTES'!C$3:C$42="Real Estate",'DONNÉES BRUTES'!AB$3:AB$42+(ROW('DONNÉES BRUTES'!A$3:A$42)-ROW('DONNÉES BRUTES'!A$3))/1000,0),4),IF('DONNÉES BRUTES'!C$3:C$42="Real Estate",'DONNÉES BRUTES'!AB$3:AB$42+(ROW('DONNÉES BRUTES'!A$3:A$42)-ROW('DONNÉES BRUTES'!A$3))/1000,0),0))),"—")</f>
        <v/>
      </c>
      <c r="M14">
        <f t="array" ref="M14">IFERROR(IF(4&gt;COUNTIF('DONNÉES BRUTES'!C$3:C$42,"Real Estate"),"",INDEX('DONNÉES BRUTES'!Q$3:Q$42,MATCH(LARGE(IF('DONNÉES BRUTES'!C$3:C$42="Real Estate",'DONNÉES BRUTES'!AB$3:AB$42+(ROW('DONNÉES BRUTES'!A$3:A$42)-ROW('DONNÉES BRUTES'!A$3))/1000,0),4),IF('DONNÉES BRUTES'!C$3:C$42="Real Estate",'DONNÉES BRUTES'!AB$3:AB$42+(ROW('DONNÉES BRUTES'!A$3:A$42)-ROW('DONNÉES BRUTES'!A$3))/1000,0),0))),"—")</f>
        <v/>
      </c>
      <c r="N14">
        <f t="array" ref="N14">IFERROR(IF(4&gt;COUNTIF('DONNÉES BRUTES'!C$3:C$42,"Real Estate"),"",INDEX('DONNÉES BRUTES'!S$3:S$42,MATCH(LARGE(IF('DONNÉES BRUTES'!C$3:C$42="Real Estate",'DONNÉES BRUTES'!AB$3:AB$42+(ROW('DONNÉES BRUTES'!A$3:A$42)-ROW('DONNÉES BRUTES'!A$3))/1000,0),4),IF('DONNÉES BRUTES'!C$3:C$42="Real Estate",'DONNÉES BRUTES'!AB$3:AB$42+(ROW('DONNÉES BRUTES'!A$3:A$42)-ROW('DONNÉES BRUTES'!A$3))/1000,0),0))),"—")</f>
        <v/>
      </c>
      <c r="O14">
        <f t="array" ref="O14">IFERROR(IF(4&gt;COUNTIF('DONNÉES BRUTES'!C$3:C$42,"Real Estate"),"",INDEX('DONNÉES BRUTES'!T$3:T$42,MATCH(LARGE(IF('DONNÉES BRUTES'!C$3:C$42="Real Estate",'DONNÉES BRUTES'!AB$3:AB$42+(ROW('DONNÉES BRUTES'!A$3:A$42)-ROW('DONNÉES BRUTES'!A$3))/1000,0),4),IF('DONNÉES BRUTES'!C$3:C$42="Real Estate",'DONNÉES BRUTES'!AB$3:AB$42+(ROW('DONNÉES BRUTES'!A$3:A$42)-ROW('DONNÉES BRUTES'!A$3))/1000,0),0))),"—")</f>
        <v/>
      </c>
      <c r="P14">
        <f t="array" ref="P14">IFERROR(IF(4&gt;COUNTIF('DONNÉES BRUTES'!C$3:C$42,"Real Estate"),"",INDEX('DONNÉES BRUTES'!U$3:U$42,MATCH(LARGE(IF('DONNÉES BRUTES'!C$3:C$42="Real Estate",'DONNÉES BRUTES'!AB$3:AB$42+(ROW('DONNÉES BRUTES'!A$3:A$42)-ROW('DONNÉES BRUTES'!A$3))/1000,0),4),IF('DONNÉES BRUTES'!C$3:C$42="Real Estate",'DONNÉES BRUTES'!AB$3:AB$42+(ROW('DONNÉES BRUTES'!A$3:A$42)-ROW('DONNÉES BRUTES'!A$3))/1000,0),0))),"—")</f>
        <v/>
      </c>
      <c r="Q14">
        <f t="array" ref="Q14">IFERROR(IF(4&gt;COUNTIF('DONNÉES BRUTES'!C$3:C$42,"Real Estate"),"",INDEX('DONNÉES BRUTES'!AD$3:AD$42,MATCH(LARGE(IF('DONNÉES BRUTES'!C$3:C$42="Real Estate",'DONNÉES BRUTES'!AB$3:AB$42+(ROW('DONNÉES BRUTES'!A$3:A$42)-ROW('DONNÉES BRUTES'!A$3))/1000,0),4),IF('DONNÉES BRUTES'!C$3:C$42="Real Estate",'DONNÉES BRUTES'!AB$3:AB$42+(ROW('DONNÉES BRUTES'!A$3:A$42)-ROW('DONNÉES BRUTES'!A$3))/1000,0),0))),"—")</f>
        <v/>
      </c>
    </row>
    <row r="15" ht="15.95" customHeight="1">
      <c r="B15">
        <f>IF(5&gt;COUNTIF('DONNÉES BRUTES'!C$3:C$42,"Real Estate"),"",5)</f>
        <v/>
      </c>
      <c r="C15">
        <f t="array" ref="C15">IFERROR(IF(5&gt;COUNTIF('DONNÉES BRUTES'!C$3:C$42,"Real Estate"),"",INDEX('DONNÉES BRUTES'!A$3:A$42,MATCH(LARGE(IF('DONNÉES BRUTES'!C$3:C$42="Real Estate",'DONNÉES BRUTES'!AB$3:AB$42+(ROW('DONNÉES BRUTES'!A$3:A$42)-ROW('DONNÉES BRUTES'!A$3))/1000,0),5),IF('DONNÉES BRUTES'!C$3:C$42="Real Estate",'DONNÉES BRUTES'!AB$3:AB$42+(ROW('DONNÉES BRUTES'!A$3:A$42)-ROW('DONNÉES BRUTES'!A$3))/1000,0),0))),"—")</f>
        <v/>
      </c>
      <c r="D15">
        <f t="array" ref="D15">IFERROR(IF(5&gt;COUNTIF('DONNÉES BRUTES'!C$3:C$42,"Real Estate"),"",INDEX('DONNÉES BRUTES'!B$3:B$42,MATCH(LARGE(IF('DONNÉES BRUTES'!C$3:C$42="Real Estate",'DONNÉES BRUTES'!AB$3:AB$42+(ROW('DONNÉES BRUTES'!A$3:A$42)-ROW('DONNÉES BRUTES'!A$3))/1000,0),5),IF('DONNÉES BRUTES'!C$3:C$42="Real Estate",'DONNÉES BRUTES'!AB$3:AB$42+(ROW('DONNÉES BRUTES'!A$3:A$42)-ROW('DONNÉES BRUTES'!A$3))/1000,0),0))),"—")</f>
        <v/>
      </c>
      <c r="E15">
        <f t="array" ref="E15">IFERROR(IF(5&gt;COUNTIF('DONNÉES BRUTES'!C$3:C$42,"Real Estate"),"",INT(LARGE(IF('DONNÉES BRUTES'!C$3:C$42="Real Estate",'DONNÉES BRUTES'!AB$3:AB$42+(ROW('DONNÉES BRUTES'!A$3:A$42)-ROW('DONNÉES BRUTES'!A$3))/1000,0),5))&amp;"/100"),"—")</f>
        <v/>
      </c>
      <c r="F15">
        <f t="array" ref="F15">IFERROR(IF(5&gt;COUNTIF('DONNÉES BRUTES'!C$3:C$42,"Real Estate"),"",INDEX('DONNÉES BRUTES'!Y$3:Y$42,MATCH(LARGE(IF('DONNÉES BRUTES'!C$3:C$42="Real Estate",'DONNÉES BRUTES'!AB$3:AB$42+(ROW('DONNÉES BRUTES'!A$3:A$42)-ROW('DONNÉES BRUTES'!A$3))/1000,0),5),IF('DONNÉES BRUTES'!C$3:C$42="Real Estate",'DONNÉES BRUTES'!AB$3:AB$42+(ROW('DONNÉES BRUTES'!A$3:A$42)-ROW('DONNÉES BRUTES'!A$3))/1000,0),0))),"—")</f>
        <v/>
      </c>
      <c r="G15">
        <f t="array" ref="G15">IFERROR(IF(5&gt;COUNTIF('DONNÉES BRUTES'!C$3:C$42,"Real Estate"),"",INDEX('DONNÉES BRUTES'!Z$3:Z$42,MATCH(LARGE(IF('DONNÉES BRUTES'!C$3:C$42="Real Estate",'DONNÉES BRUTES'!AB$3:AB$42+(ROW('DONNÉES BRUTES'!A$3:A$42)-ROW('DONNÉES BRUTES'!A$3))/1000,0),5),IF('DONNÉES BRUTES'!C$3:C$42="Real Estate",'DONNÉES BRUTES'!AB$3:AB$42+(ROW('DONNÉES BRUTES'!A$3:A$42)-ROW('DONNÉES BRUTES'!A$3))/1000,0),0))),"—")</f>
        <v/>
      </c>
      <c r="H15">
        <f t="array" ref="H15">IFERROR(IF(5&gt;COUNTIF('DONNÉES BRUTES'!C$3:C$42,"Real Estate"),"",INDEX('DONNÉES BRUTES'!AA$3:AA$42,MATCH(LARGE(IF('DONNÉES BRUTES'!C$3:C$42="Real Estate",'DONNÉES BRUTES'!AB$3:AB$42+(ROW('DONNÉES BRUTES'!A$3:A$42)-ROW('DONNÉES BRUTES'!A$3))/1000,0),5),IF('DONNÉES BRUTES'!C$3:C$42="Real Estate",'DONNÉES BRUTES'!AB$3:AB$42+(ROW('DONNÉES BRUTES'!A$3:A$42)-ROW('DONNÉES BRUTES'!A$3))/1000,0),0))),"—")</f>
        <v/>
      </c>
      <c r="I15">
        <f t="array" ref="I15">IFERROR(IF(5&gt;COUNTIF('DONNÉES BRUTES'!C$3:C$42,"Real Estate"),"",INDEX('DONNÉES BRUTES'!M$3:M$42,MATCH(LARGE(IF('DONNÉES BRUTES'!C$3:C$42="Real Estate",'DONNÉES BRUTES'!AB$3:AB$42+(ROW('DONNÉES BRUTES'!A$3:A$42)-ROW('DONNÉES BRUTES'!A$3))/1000,0),5),IF('DONNÉES BRUTES'!C$3:C$42="Real Estate",'DONNÉES BRUTES'!AB$3:AB$42+(ROW('DONNÉES BRUTES'!A$3:A$42)-ROW('DONNÉES BRUTES'!A$3))/1000,0),0))),"—")</f>
        <v/>
      </c>
      <c r="J15">
        <f t="array" ref="J15">IFERROR(IF(5&gt;COUNTIF('DONNÉES BRUTES'!C$3:C$42,"Real Estate"),"",INDEX('DONNÉES BRUTES'!N$3:N$42,MATCH(LARGE(IF('DONNÉES BRUTES'!C$3:C$42="Real Estate",'DONNÉES BRUTES'!AB$3:AB$42+(ROW('DONNÉES BRUTES'!A$3:A$42)-ROW('DONNÉES BRUTES'!A$3))/1000,0),5),IF('DONNÉES BRUTES'!C$3:C$42="Real Estate",'DONNÉES BRUTES'!AB$3:AB$42+(ROW('DONNÉES BRUTES'!A$3:A$42)-ROW('DONNÉES BRUTES'!A$3))/1000,0),0))),"—")</f>
        <v/>
      </c>
      <c r="K15">
        <f t="array" ref="K15">IFERROR(IF(5&gt;COUNTIF('DONNÉES BRUTES'!C$3:C$42,"Real Estate"),"",INDEX('DONNÉES BRUTES'!O$3:O$42,MATCH(LARGE(IF('DONNÉES BRUTES'!C$3:C$42="Real Estate",'DONNÉES BRUTES'!AB$3:AB$42+(ROW('DONNÉES BRUTES'!A$3:A$42)-ROW('DONNÉES BRUTES'!A$3))/1000,0),5),IF('DONNÉES BRUTES'!C$3:C$42="Real Estate",'DONNÉES BRUTES'!AB$3:AB$42+(ROW('DONNÉES BRUTES'!A$3:A$42)-ROW('DONNÉES BRUTES'!A$3))/1000,0),0))),"—")</f>
        <v/>
      </c>
      <c r="L15">
        <f t="array" ref="L15">IFERROR(IF(5&gt;COUNTIF('DONNÉES BRUTES'!C$3:C$42,"Real Estate"),"",INDEX('DONNÉES BRUTES'!P$3:P$42,MATCH(LARGE(IF('DONNÉES BRUTES'!C$3:C$42="Real Estate",'DONNÉES BRUTES'!AB$3:AB$42+(ROW('DONNÉES BRUTES'!A$3:A$42)-ROW('DONNÉES BRUTES'!A$3))/1000,0),5),IF('DONNÉES BRUTES'!C$3:C$42="Real Estate",'DONNÉES BRUTES'!AB$3:AB$42+(ROW('DONNÉES BRUTES'!A$3:A$42)-ROW('DONNÉES BRUTES'!A$3))/1000,0),0))),"—")</f>
        <v/>
      </c>
      <c r="M15">
        <f t="array" ref="M15">IFERROR(IF(5&gt;COUNTIF('DONNÉES BRUTES'!C$3:C$42,"Real Estate"),"",INDEX('DONNÉES BRUTES'!Q$3:Q$42,MATCH(LARGE(IF('DONNÉES BRUTES'!C$3:C$42="Real Estate",'DONNÉES BRUTES'!AB$3:AB$42+(ROW('DONNÉES BRUTES'!A$3:A$42)-ROW('DONNÉES BRUTES'!A$3))/1000,0),5),IF('DONNÉES BRUTES'!C$3:C$42="Real Estate",'DONNÉES BRUTES'!AB$3:AB$42+(ROW('DONNÉES BRUTES'!A$3:A$42)-ROW('DONNÉES BRUTES'!A$3))/1000,0),0))),"—")</f>
        <v/>
      </c>
      <c r="N15">
        <f t="array" ref="N15">IFERROR(IF(5&gt;COUNTIF('DONNÉES BRUTES'!C$3:C$42,"Real Estate"),"",INDEX('DONNÉES BRUTES'!S$3:S$42,MATCH(LARGE(IF('DONNÉES BRUTES'!C$3:C$42="Real Estate",'DONNÉES BRUTES'!AB$3:AB$42+(ROW('DONNÉES BRUTES'!A$3:A$42)-ROW('DONNÉES BRUTES'!A$3))/1000,0),5),IF('DONNÉES BRUTES'!C$3:C$42="Real Estate",'DONNÉES BRUTES'!AB$3:AB$42+(ROW('DONNÉES BRUTES'!A$3:A$42)-ROW('DONNÉES BRUTES'!A$3))/1000,0),0))),"—")</f>
        <v/>
      </c>
      <c r="O15">
        <f t="array" ref="O15">IFERROR(IF(5&gt;COUNTIF('DONNÉES BRUTES'!C$3:C$42,"Real Estate"),"",INDEX('DONNÉES BRUTES'!T$3:T$42,MATCH(LARGE(IF('DONNÉES BRUTES'!C$3:C$42="Real Estate",'DONNÉES BRUTES'!AB$3:AB$42+(ROW('DONNÉES BRUTES'!A$3:A$42)-ROW('DONNÉES BRUTES'!A$3))/1000,0),5),IF('DONNÉES BRUTES'!C$3:C$42="Real Estate",'DONNÉES BRUTES'!AB$3:AB$42+(ROW('DONNÉES BRUTES'!A$3:A$42)-ROW('DONNÉES BRUTES'!A$3))/1000,0),0))),"—")</f>
        <v/>
      </c>
      <c r="P15">
        <f t="array" ref="P15">IFERROR(IF(5&gt;COUNTIF('DONNÉES BRUTES'!C$3:C$42,"Real Estate"),"",INDEX('DONNÉES BRUTES'!U$3:U$42,MATCH(LARGE(IF('DONNÉES BRUTES'!C$3:C$42="Real Estate",'DONNÉES BRUTES'!AB$3:AB$42+(ROW('DONNÉES BRUTES'!A$3:A$42)-ROW('DONNÉES BRUTES'!A$3))/1000,0),5),IF('DONNÉES BRUTES'!C$3:C$42="Real Estate",'DONNÉES BRUTES'!AB$3:AB$42+(ROW('DONNÉES BRUTES'!A$3:A$42)-ROW('DONNÉES BRUTES'!A$3))/1000,0),0))),"—")</f>
        <v/>
      </c>
      <c r="Q15">
        <f t="array" ref="Q15">IFERROR(IF(5&gt;COUNTIF('DONNÉES BRUTES'!C$3:C$42,"Real Estate"),"",INDEX('DONNÉES BRUTES'!AD$3:AD$42,MATCH(LARGE(IF('DONNÉES BRUTES'!C$3:C$42="Real Estate",'DONNÉES BRUTES'!AB$3:AB$42+(ROW('DONNÉES BRUTES'!A$3:A$42)-ROW('DONNÉES BRUTES'!A$3))/1000,0),5),IF('DONNÉES BRUTES'!C$3:C$42="Real Estate",'DONNÉES BRUTES'!AB$3:AB$42+(ROW('DONNÉES BRUTES'!A$3:A$42)-ROW('DONNÉES BRUTES'!A$3))/1000,0),0))),"—")</f>
        <v/>
      </c>
    </row>
    <row r="16" ht="15.95" customHeight="1">
      <c r="B16">
        <f>IF(6&gt;COUNTIF('DONNÉES BRUTES'!C$3:C$42,"Real Estate"),"",6)</f>
        <v/>
      </c>
      <c r="C16">
        <f t="array" ref="C16">IFERROR(IF(6&gt;COUNTIF('DONNÉES BRUTES'!C$3:C$42,"Real Estate"),"",INDEX('DONNÉES BRUTES'!A$3:A$42,MATCH(LARGE(IF('DONNÉES BRUTES'!C$3:C$42="Real Estate",'DONNÉES BRUTES'!AB$3:AB$42+(ROW('DONNÉES BRUTES'!A$3:A$42)-ROW('DONNÉES BRUTES'!A$3))/1000,0),6),IF('DONNÉES BRUTES'!C$3:C$42="Real Estate",'DONNÉES BRUTES'!AB$3:AB$42+(ROW('DONNÉES BRUTES'!A$3:A$42)-ROW('DONNÉES BRUTES'!A$3))/1000,0),0))),"—")</f>
        <v/>
      </c>
      <c r="D16">
        <f t="array" ref="D16">IFERROR(IF(6&gt;COUNTIF('DONNÉES BRUTES'!C$3:C$42,"Real Estate"),"",INDEX('DONNÉES BRUTES'!B$3:B$42,MATCH(LARGE(IF('DONNÉES BRUTES'!C$3:C$42="Real Estate",'DONNÉES BRUTES'!AB$3:AB$42+(ROW('DONNÉES BRUTES'!A$3:A$42)-ROW('DONNÉES BRUTES'!A$3))/1000,0),6),IF('DONNÉES BRUTES'!C$3:C$42="Real Estate",'DONNÉES BRUTES'!AB$3:AB$42+(ROW('DONNÉES BRUTES'!A$3:A$42)-ROW('DONNÉES BRUTES'!A$3))/1000,0),0))),"—")</f>
        <v/>
      </c>
      <c r="E16">
        <f t="array" ref="E16">IFERROR(IF(6&gt;COUNTIF('DONNÉES BRUTES'!C$3:C$42,"Real Estate"),"",INT(LARGE(IF('DONNÉES BRUTES'!C$3:C$42="Real Estate",'DONNÉES BRUTES'!AB$3:AB$42+(ROW('DONNÉES BRUTES'!A$3:A$42)-ROW('DONNÉES BRUTES'!A$3))/1000,0),6))&amp;"/100"),"—")</f>
        <v/>
      </c>
      <c r="F16">
        <f t="array" ref="F16">IFERROR(IF(6&gt;COUNTIF('DONNÉES BRUTES'!C$3:C$42,"Real Estate"),"",INDEX('DONNÉES BRUTES'!Y$3:Y$42,MATCH(LARGE(IF('DONNÉES BRUTES'!C$3:C$42="Real Estate",'DONNÉES BRUTES'!AB$3:AB$42+(ROW('DONNÉES BRUTES'!A$3:A$42)-ROW('DONNÉES BRUTES'!A$3))/1000,0),6),IF('DONNÉES BRUTES'!C$3:C$42="Real Estate",'DONNÉES BRUTES'!AB$3:AB$42+(ROW('DONNÉES BRUTES'!A$3:A$42)-ROW('DONNÉES BRUTES'!A$3))/1000,0),0))),"—")</f>
        <v/>
      </c>
      <c r="G16">
        <f t="array" ref="G16">IFERROR(IF(6&gt;COUNTIF('DONNÉES BRUTES'!C$3:C$42,"Real Estate"),"",INDEX('DONNÉES BRUTES'!Z$3:Z$42,MATCH(LARGE(IF('DONNÉES BRUTES'!C$3:C$42="Real Estate",'DONNÉES BRUTES'!AB$3:AB$42+(ROW('DONNÉES BRUTES'!A$3:A$42)-ROW('DONNÉES BRUTES'!A$3))/1000,0),6),IF('DONNÉES BRUTES'!C$3:C$42="Real Estate",'DONNÉES BRUTES'!AB$3:AB$42+(ROW('DONNÉES BRUTES'!A$3:A$42)-ROW('DONNÉES BRUTES'!A$3))/1000,0),0))),"—")</f>
        <v/>
      </c>
      <c r="H16">
        <f t="array" ref="H16">IFERROR(IF(6&gt;COUNTIF('DONNÉES BRUTES'!C$3:C$42,"Real Estate"),"",INDEX('DONNÉES BRUTES'!AA$3:AA$42,MATCH(LARGE(IF('DONNÉES BRUTES'!C$3:C$42="Real Estate",'DONNÉES BRUTES'!AB$3:AB$42+(ROW('DONNÉES BRUTES'!A$3:A$42)-ROW('DONNÉES BRUTES'!A$3))/1000,0),6),IF('DONNÉES BRUTES'!C$3:C$42="Real Estate",'DONNÉES BRUTES'!AB$3:AB$42+(ROW('DONNÉES BRUTES'!A$3:A$42)-ROW('DONNÉES BRUTES'!A$3))/1000,0),0))),"—")</f>
        <v/>
      </c>
      <c r="I16">
        <f t="array" ref="I16">IFERROR(IF(6&gt;COUNTIF('DONNÉES BRUTES'!C$3:C$42,"Real Estate"),"",INDEX('DONNÉES BRUTES'!M$3:M$42,MATCH(LARGE(IF('DONNÉES BRUTES'!C$3:C$42="Real Estate",'DONNÉES BRUTES'!AB$3:AB$42+(ROW('DONNÉES BRUTES'!A$3:A$42)-ROW('DONNÉES BRUTES'!A$3))/1000,0),6),IF('DONNÉES BRUTES'!C$3:C$42="Real Estate",'DONNÉES BRUTES'!AB$3:AB$42+(ROW('DONNÉES BRUTES'!A$3:A$42)-ROW('DONNÉES BRUTES'!A$3))/1000,0),0))),"—")</f>
        <v/>
      </c>
      <c r="J16">
        <f t="array" ref="J16">IFERROR(IF(6&gt;COUNTIF('DONNÉES BRUTES'!C$3:C$42,"Real Estate"),"",INDEX('DONNÉES BRUTES'!N$3:N$42,MATCH(LARGE(IF('DONNÉES BRUTES'!C$3:C$42="Real Estate",'DONNÉES BRUTES'!AB$3:AB$42+(ROW('DONNÉES BRUTES'!A$3:A$42)-ROW('DONNÉES BRUTES'!A$3))/1000,0),6),IF('DONNÉES BRUTES'!C$3:C$42="Real Estate",'DONNÉES BRUTES'!AB$3:AB$42+(ROW('DONNÉES BRUTES'!A$3:A$42)-ROW('DONNÉES BRUTES'!A$3))/1000,0),0))),"—")</f>
        <v/>
      </c>
      <c r="K16">
        <f t="array" ref="K16">IFERROR(IF(6&gt;COUNTIF('DONNÉES BRUTES'!C$3:C$42,"Real Estate"),"",INDEX('DONNÉES BRUTES'!O$3:O$42,MATCH(LARGE(IF('DONNÉES BRUTES'!C$3:C$42="Real Estate",'DONNÉES BRUTES'!AB$3:AB$42+(ROW('DONNÉES BRUTES'!A$3:A$42)-ROW('DONNÉES BRUTES'!A$3))/1000,0),6),IF('DONNÉES BRUTES'!C$3:C$42="Real Estate",'DONNÉES BRUTES'!AB$3:AB$42+(ROW('DONNÉES BRUTES'!A$3:A$42)-ROW('DONNÉES BRUTES'!A$3))/1000,0),0))),"—")</f>
        <v/>
      </c>
      <c r="L16">
        <f t="array" ref="L16">IFERROR(IF(6&gt;COUNTIF('DONNÉES BRUTES'!C$3:C$42,"Real Estate"),"",INDEX('DONNÉES BRUTES'!P$3:P$42,MATCH(LARGE(IF('DONNÉES BRUTES'!C$3:C$42="Real Estate",'DONNÉES BRUTES'!AB$3:AB$42+(ROW('DONNÉES BRUTES'!A$3:A$42)-ROW('DONNÉES BRUTES'!A$3))/1000,0),6),IF('DONNÉES BRUTES'!C$3:C$42="Real Estate",'DONNÉES BRUTES'!AB$3:AB$42+(ROW('DONNÉES BRUTES'!A$3:A$42)-ROW('DONNÉES BRUTES'!A$3))/1000,0),0))),"—")</f>
        <v/>
      </c>
      <c r="M16">
        <f t="array" ref="M16">IFERROR(IF(6&gt;COUNTIF('DONNÉES BRUTES'!C$3:C$42,"Real Estate"),"",INDEX('DONNÉES BRUTES'!Q$3:Q$42,MATCH(LARGE(IF('DONNÉES BRUTES'!C$3:C$42="Real Estate",'DONNÉES BRUTES'!AB$3:AB$42+(ROW('DONNÉES BRUTES'!A$3:A$42)-ROW('DONNÉES BRUTES'!A$3))/1000,0),6),IF('DONNÉES BRUTES'!C$3:C$42="Real Estate",'DONNÉES BRUTES'!AB$3:AB$42+(ROW('DONNÉES BRUTES'!A$3:A$42)-ROW('DONNÉES BRUTES'!A$3))/1000,0),0))),"—")</f>
        <v/>
      </c>
      <c r="N16">
        <f t="array" ref="N16">IFERROR(IF(6&gt;COUNTIF('DONNÉES BRUTES'!C$3:C$42,"Real Estate"),"",INDEX('DONNÉES BRUTES'!S$3:S$42,MATCH(LARGE(IF('DONNÉES BRUTES'!C$3:C$42="Real Estate",'DONNÉES BRUTES'!AB$3:AB$42+(ROW('DONNÉES BRUTES'!A$3:A$42)-ROW('DONNÉES BRUTES'!A$3))/1000,0),6),IF('DONNÉES BRUTES'!C$3:C$42="Real Estate",'DONNÉES BRUTES'!AB$3:AB$42+(ROW('DONNÉES BRUTES'!A$3:A$42)-ROW('DONNÉES BRUTES'!A$3))/1000,0),0))),"—")</f>
        <v/>
      </c>
      <c r="O16">
        <f t="array" ref="O16">IFERROR(IF(6&gt;COUNTIF('DONNÉES BRUTES'!C$3:C$42,"Real Estate"),"",INDEX('DONNÉES BRUTES'!T$3:T$42,MATCH(LARGE(IF('DONNÉES BRUTES'!C$3:C$42="Real Estate",'DONNÉES BRUTES'!AB$3:AB$42+(ROW('DONNÉES BRUTES'!A$3:A$42)-ROW('DONNÉES BRUTES'!A$3))/1000,0),6),IF('DONNÉES BRUTES'!C$3:C$42="Real Estate",'DONNÉES BRUTES'!AB$3:AB$42+(ROW('DONNÉES BRUTES'!A$3:A$42)-ROW('DONNÉES BRUTES'!A$3))/1000,0),0))),"—")</f>
        <v/>
      </c>
      <c r="P16">
        <f t="array" ref="P16">IFERROR(IF(6&gt;COUNTIF('DONNÉES BRUTES'!C$3:C$42,"Real Estate"),"",INDEX('DONNÉES BRUTES'!U$3:U$42,MATCH(LARGE(IF('DONNÉES BRUTES'!C$3:C$42="Real Estate",'DONNÉES BRUTES'!AB$3:AB$42+(ROW('DONNÉES BRUTES'!A$3:A$42)-ROW('DONNÉES BRUTES'!A$3))/1000,0),6),IF('DONNÉES BRUTES'!C$3:C$42="Real Estate",'DONNÉES BRUTES'!AB$3:AB$42+(ROW('DONNÉES BRUTES'!A$3:A$42)-ROW('DONNÉES BRUTES'!A$3))/1000,0),0))),"—")</f>
        <v/>
      </c>
      <c r="Q16">
        <f t="array" ref="Q16">IFERROR(IF(6&gt;COUNTIF('DONNÉES BRUTES'!C$3:C$42,"Real Estate"),"",INDEX('DONNÉES BRUTES'!AD$3:AD$42,MATCH(LARGE(IF('DONNÉES BRUTES'!C$3:C$42="Real Estate",'DONNÉES BRUTES'!AB$3:AB$42+(ROW('DONNÉES BRUTES'!A$3:A$42)-ROW('DONNÉES BRUTES'!A$3))/1000,0),6),IF('DONNÉES BRUTES'!C$3:C$42="Real Estate",'DONNÉES BRUTES'!AB$3:AB$42+(ROW('DONNÉES BRUTES'!A$3:A$42)-ROW('DONNÉES BRUTES'!A$3))/1000,0),0))),"—")</f>
        <v/>
      </c>
    </row>
    <row r="17" ht="15.95" customHeight="1">
      <c r="B17">
        <f>IF(7&gt;COUNTIF('DONNÉES BRUTES'!C$3:C$42,"Real Estate"),"",7)</f>
        <v/>
      </c>
      <c r="C17">
        <f t="array" ref="C17">IFERROR(IF(7&gt;COUNTIF('DONNÉES BRUTES'!C$3:C$42,"Real Estate"),"",INDEX('DONNÉES BRUTES'!A$3:A$42,MATCH(LARGE(IF('DONNÉES BRUTES'!C$3:C$42="Real Estate",'DONNÉES BRUTES'!AB$3:AB$42+(ROW('DONNÉES BRUTES'!A$3:A$42)-ROW('DONNÉES BRUTES'!A$3))/1000,0),7),IF('DONNÉES BRUTES'!C$3:C$42="Real Estate",'DONNÉES BRUTES'!AB$3:AB$42+(ROW('DONNÉES BRUTES'!A$3:A$42)-ROW('DONNÉES BRUTES'!A$3))/1000,0),0))),"—")</f>
        <v/>
      </c>
      <c r="D17">
        <f t="array" ref="D17">IFERROR(IF(7&gt;COUNTIF('DONNÉES BRUTES'!C$3:C$42,"Real Estate"),"",INDEX('DONNÉES BRUTES'!B$3:B$42,MATCH(LARGE(IF('DONNÉES BRUTES'!C$3:C$42="Real Estate",'DONNÉES BRUTES'!AB$3:AB$42+(ROW('DONNÉES BRUTES'!A$3:A$42)-ROW('DONNÉES BRUTES'!A$3))/1000,0),7),IF('DONNÉES BRUTES'!C$3:C$42="Real Estate",'DONNÉES BRUTES'!AB$3:AB$42+(ROW('DONNÉES BRUTES'!A$3:A$42)-ROW('DONNÉES BRUTES'!A$3))/1000,0),0))),"—")</f>
        <v/>
      </c>
      <c r="E17">
        <f t="array" ref="E17">IFERROR(IF(7&gt;COUNTIF('DONNÉES BRUTES'!C$3:C$42,"Real Estate"),"",INT(LARGE(IF('DONNÉES BRUTES'!C$3:C$42="Real Estate",'DONNÉES BRUTES'!AB$3:AB$42+(ROW('DONNÉES BRUTES'!A$3:A$42)-ROW('DONNÉES BRUTES'!A$3))/1000,0),7))&amp;"/100"),"—")</f>
        <v/>
      </c>
      <c r="F17">
        <f t="array" ref="F17">IFERROR(IF(7&gt;COUNTIF('DONNÉES BRUTES'!C$3:C$42,"Real Estate"),"",INDEX('DONNÉES BRUTES'!Y$3:Y$42,MATCH(LARGE(IF('DONNÉES BRUTES'!C$3:C$42="Real Estate",'DONNÉES BRUTES'!AB$3:AB$42+(ROW('DONNÉES BRUTES'!A$3:A$42)-ROW('DONNÉES BRUTES'!A$3))/1000,0),7),IF('DONNÉES BRUTES'!C$3:C$42="Real Estate",'DONNÉES BRUTES'!AB$3:AB$42+(ROW('DONNÉES BRUTES'!A$3:A$42)-ROW('DONNÉES BRUTES'!A$3))/1000,0),0))),"—")</f>
        <v/>
      </c>
      <c r="G17">
        <f t="array" ref="G17">IFERROR(IF(7&gt;COUNTIF('DONNÉES BRUTES'!C$3:C$42,"Real Estate"),"",INDEX('DONNÉES BRUTES'!Z$3:Z$42,MATCH(LARGE(IF('DONNÉES BRUTES'!C$3:C$42="Real Estate",'DONNÉES BRUTES'!AB$3:AB$42+(ROW('DONNÉES BRUTES'!A$3:A$42)-ROW('DONNÉES BRUTES'!A$3))/1000,0),7),IF('DONNÉES BRUTES'!C$3:C$42="Real Estate",'DONNÉES BRUTES'!AB$3:AB$42+(ROW('DONNÉES BRUTES'!A$3:A$42)-ROW('DONNÉES BRUTES'!A$3))/1000,0),0))),"—")</f>
        <v/>
      </c>
      <c r="H17">
        <f t="array" ref="H17">IFERROR(IF(7&gt;COUNTIF('DONNÉES BRUTES'!C$3:C$42,"Real Estate"),"",INDEX('DONNÉES BRUTES'!AA$3:AA$42,MATCH(LARGE(IF('DONNÉES BRUTES'!C$3:C$42="Real Estate",'DONNÉES BRUTES'!AB$3:AB$42+(ROW('DONNÉES BRUTES'!A$3:A$42)-ROW('DONNÉES BRUTES'!A$3))/1000,0),7),IF('DONNÉES BRUTES'!C$3:C$42="Real Estate",'DONNÉES BRUTES'!AB$3:AB$42+(ROW('DONNÉES BRUTES'!A$3:A$42)-ROW('DONNÉES BRUTES'!A$3))/1000,0),0))),"—")</f>
        <v/>
      </c>
      <c r="I17">
        <f t="array" ref="I17">IFERROR(IF(7&gt;COUNTIF('DONNÉES BRUTES'!C$3:C$42,"Real Estate"),"",INDEX('DONNÉES BRUTES'!M$3:M$42,MATCH(LARGE(IF('DONNÉES BRUTES'!C$3:C$42="Real Estate",'DONNÉES BRUTES'!AB$3:AB$42+(ROW('DONNÉES BRUTES'!A$3:A$42)-ROW('DONNÉES BRUTES'!A$3))/1000,0),7),IF('DONNÉES BRUTES'!C$3:C$42="Real Estate",'DONNÉES BRUTES'!AB$3:AB$42+(ROW('DONNÉES BRUTES'!A$3:A$42)-ROW('DONNÉES BRUTES'!A$3))/1000,0),0))),"—")</f>
        <v/>
      </c>
      <c r="J17">
        <f t="array" ref="J17">IFERROR(IF(7&gt;COUNTIF('DONNÉES BRUTES'!C$3:C$42,"Real Estate"),"",INDEX('DONNÉES BRUTES'!N$3:N$42,MATCH(LARGE(IF('DONNÉES BRUTES'!C$3:C$42="Real Estate",'DONNÉES BRUTES'!AB$3:AB$42+(ROW('DONNÉES BRUTES'!A$3:A$42)-ROW('DONNÉES BRUTES'!A$3))/1000,0),7),IF('DONNÉES BRUTES'!C$3:C$42="Real Estate",'DONNÉES BRUTES'!AB$3:AB$42+(ROW('DONNÉES BRUTES'!A$3:A$42)-ROW('DONNÉES BRUTES'!A$3))/1000,0),0))),"—")</f>
        <v/>
      </c>
      <c r="K17">
        <f t="array" ref="K17">IFERROR(IF(7&gt;COUNTIF('DONNÉES BRUTES'!C$3:C$42,"Real Estate"),"",INDEX('DONNÉES BRUTES'!O$3:O$42,MATCH(LARGE(IF('DONNÉES BRUTES'!C$3:C$42="Real Estate",'DONNÉES BRUTES'!AB$3:AB$42+(ROW('DONNÉES BRUTES'!A$3:A$42)-ROW('DONNÉES BRUTES'!A$3))/1000,0),7),IF('DONNÉES BRUTES'!C$3:C$42="Real Estate",'DONNÉES BRUTES'!AB$3:AB$42+(ROW('DONNÉES BRUTES'!A$3:A$42)-ROW('DONNÉES BRUTES'!A$3))/1000,0),0))),"—")</f>
        <v/>
      </c>
      <c r="L17">
        <f t="array" ref="L17">IFERROR(IF(7&gt;COUNTIF('DONNÉES BRUTES'!C$3:C$42,"Real Estate"),"",INDEX('DONNÉES BRUTES'!P$3:P$42,MATCH(LARGE(IF('DONNÉES BRUTES'!C$3:C$42="Real Estate",'DONNÉES BRUTES'!AB$3:AB$42+(ROW('DONNÉES BRUTES'!A$3:A$42)-ROW('DONNÉES BRUTES'!A$3))/1000,0),7),IF('DONNÉES BRUTES'!C$3:C$42="Real Estate",'DONNÉES BRUTES'!AB$3:AB$42+(ROW('DONNÉES BRUTES'!A$3:A$42)-ROW('DONNÉES BRUTES'!A$3))/1000,0),0))),"—")</f>
        <v/>
      </c>
      <c r="M17">
        <f t="array" ref="M17">IFERROR(IF(7&gt;COUNTIF('DONNÉES BRUTES'!C$3:C$42,"Real Estate"),"",INDEX('DONNÉES BRUTES'!Q$3:Q$42,MATCH(LARGE(IF('DONNÉES BRUTES'!C$3:C$42="Real Estate",'DONNÉES BRUTES'!AB$3:AB$42+(ROW('DONNÉES BRUTES'!A$3:A$42)-ROW('DONNÉES BRUTES'!A$3))/1000,0),7),IF('DONNÉES BRUTES'!C$3:C$42="Real Estate",'DONNÉES BRUTES'!AB$3:AB$42+(ROW('DONNÉES BRUTES'!A$3:A$42)-ROW('DONNÉES BRUTES'!A$3))/1000,0),0))),"—")</f>
        <v/>
      </c>
      <c r="N17">
        <f t="array" ref="N17">IFERROR(IF(7&gt;COUNTIF('DONNÉES BRUTES'!C$3:C$42,"Real Estate"),"",INDEX('DONNÉES BRUTES'!S$3:S$42,MATCH(LARGE(IF('DONNÉES BRUTES'!C$3:C$42="Real Estate",'DONNÉES BRUTES'!AB$3:AB$42+(ROW('DONNÉES BRUTES'!A$3:A$42)-ROW('DONNÉES BRUTES'!A$3))/1000,0),7),IF('DONNÉES BRUTES'!C$3:C$42="Real Estate",'DONNÉES BRUTES'!AB$3:AB$42+(ROW('DONNÉES BRUTES'!A$3:A$42)-ROW('DONNÉES BRUTES'!A$3))/1000,0),0))),"—")</f>
        <v/>
      </c>
      <c r="O17">
        <f t="array" ref="O17">IFERROR(IF(7&gt;COUNTIF('DONNÉES BRUTES'!C$3:C$42,"Real Estate"),"",INDEX('DONNÉES BRUTES'!T$3:T$42,MATCH(LARGE(IF('DONNÉES BRUTES'!C$3:C$42="Real Estate",'DONNÉES BRUTES'!AB$3:AB$42+(ROW('DONNÉES BRUTES'!A$3:A$42)-ROW('DONNÉES BRUTES'!A$3))/1000,0),7),IF('DONNÉES BRUTES'!C$3:C$42="Real Estate",'DONNÉES BRUTES'!AB$3:AB$42+(ROW('DONNÉES BRUTES'!A$3:A$42)-ROW('DONNÉES BRUTES'!A$3))/1000,0),0))),"—")</f>
        <v/>
      </c>
      <c r="P17">
        <f t="array" ref="P17">IFERROR(IF(7&gt;COUNTIF('DONNÉES BRUTES'!C$3:C$42,"Real Estate"),"",INDEX('DONNÉES BRUTES'!U$3:U$42,MATCH(LARGE(IF('DONNÉES BRUTES'!C$3:C$42="Real Estate",'DONNÉES BRUTES'!AB$3:AB$42+(ROW('DONNÉES BRUTES'!A$3:A$42)-ROW('DONNÉES BRUTES'!A$3))/1000,0),7),IF('DONNÉES BRUTES'!C$3:C$42="Real Estate",'DONNÉES BRUTES'!AB$3:AB$42+(ROW('DONNÉES BRUTES'!A$3:A$42)-ROW('DONNÉES BRUTES'!A$3))/1000,0),0))),"—")</f>
        <v/>
      </c>
      <c r="Q17">
        <f t="array" ref="Q17">IFERROR(IF(7&gt;COUNTIF('DONNÉES BRUTES'!C$3:C$42,"Real Estate"),"",INDEX('DONNÉES BRUTES'!AD$3:AD$42,MATCH(LARGE(IF('DONNÉES BRUTES'!C$3:C$42="Real Estate",'DONNÉES BRUTES'!AB$3:AB$42+(ROW('DONNÉES BRUTES'!A$3:A$42)-ROW('DONNÉES BRUTES'!A$3))/1000,0),7),IF('DONNÉES BRUTES'!C$3:C$42="Real Estate",'DONNÉES BRUTES'!AB$3:AB$42+(ROW('DONNÉES BRUTES'!A$3:A$42)-ROW('DONNÉES BRUTES'!A$3))/1000,0),0))),"—")</f>
        <v/>
      </c>
    </row>
    <row r="18" ht="15.95" customHeight="1">
      <c r="B18">
        <f>IF(8&gt;COUNTIF('DONNÉES BRUTES'!C$3:C$42,"Real Estate"),"",8)</f>
        <v/>
      </c>
      <c r="C18">
        <f t="array" ref="C18">IFERROR(IF(8&gt;COUNTIF('DONNÉES BRUTES'!C$3:C$42,"Real Estate"),"",INDEX('DONNÉES BRUTES'!A$3:A$42,MATCH(LARGE(IF('DONNÉES BRUTES'!C$3:C$42="Real Estate",'DONNÉES BRUTES'!AB$3:AB$42+(ROW('DONNÉES BRUTES'!A$3:A$42)-ROW('DONNÉES BRUTES'!A$3))/1000,0),8),IF('DONNÉES BRUTES'!C$3:C$42="Real Estate",'DONNÉES BRUTES'!AB$3:AB$42+(ROW('DONNÉES BRUTES'!A$3:A$42)-ROW('DONNÉES BRUTES'!A$3))/1000,0),0))),"—")</f>
        <v/>
      </c>
      <c r="D18">
        <f t="array" ref="D18">IFERROR(IF(8&gt;COUNTIF('DONNÉES BRUTES'!C$3:C$42,"Real Estate"),"",INDEX('DONNÉES BRUTES'!B$3:B$42,MATCH(LARGE(IF('DONNÉES BRUTES'!C$3:C$42="Real Estate",'DONNÉES BRUTES'!AB$3:AB$42+(ROW('DONNÉES BRUTES'!A$3:A$42)-ROW('DONNÉES BRUTES'!A$3))/1000,0),8),IF('DONNÉES BRUTES'!C$3:C$42="Real Estate",'DONNÉES BRUTES'!AB$3:AB$42+(ROW('DONNÉES BRUTES'!A$3:A$42)-ROW('DONNÉES BRUTES'!A$3))/1000,0),0))),"—")</f>
        <v/>
      </c>
      <c r="E18">
        <f t="array" ref="E18">IFERROR(IF(8&gt;COUNTIF('DONNÉES BRUTES'!C$3:C$42,"Real Estate"),"",INT(LARGE(IF('DONNÉES BRUTES'!C$3:C$42="Real Estate",'DONNÉES BRUTES'!AB$3:AB$42+(ROW('DONNÉES BRUTES'!A$3:A$42)-ROW('DONNÉES BRUTES'!A$3))/1000,0),8))&amp;"/100"),"—")</f>
        <v/>
      </c>
      <c r="F18">
        <f t="array" ref="F18">IFERROR(IF(8&gt;COUNTIF('DONNÉES BRUTES'!C$3:C$42,"Real Estate"),"",INDEX('DONNÉES BRUTES'!Y$3:Y$42,MATCH(LARGE(IF('DONNÉES BRUTES'!C$3:C$42="Real Estate",'DONNÉES BRUTES'!AB$3:AB$42+(ROW('DONNÉES BRUTES'!A$3:A$42)-ROW('DONNÉES BRUTES'!A$3))/1000,0),8),IF('DONNÉES BRUTES'!C$3:C$42="Real Estate",'DONNÉES BRUTES'!AB$3:AB$42+(ROW('DONNÉES BRUTES'!A$3:A$42)-ROW('DONNÉES BRUTES'!A$3))/1000,0),0))),"—")</f>
        <v/>
      </c>
      <c r="G18">
        <f t="array" ref="G18">IFERROR(IF(8&gt;COUNTIF('DONNÉES BRUTES'!C$3:C$42,"Real Estate"),"",INDEX('DONNÉES BRUTES'!Z$3:Z$42,MATCH(LARGE(IF('DONNÉES BRUTES'!C$3:C$42="Real Estate",'DONNÉES BRUTES'!AB$3:AB$42+(ROW('DONNÉES BRUTES'!A$3:A$42)-ROW('DONNÉES BRUTES'!A$3))/1000,0),8),IF('DONNÉES BRUTES'!C$3:C$42="Real Estate",'DONNÉES BRUTES'!AB$3:AB$42+(ROW('DONNÉES BRUTES'!A$3:A$42)-ROW('DONNÉES BRUTES'!A$3))/1000,0),0))),"—")</f>
        <v/>
      </c>
      <c r="H18">
        <f t="array" ref="H18">IFERROR(IF(8&gt;COUNTIF('DONNÉES BRUTES'!C$3:C$42,"Real Estate"),"",INDEX('DONNÉES BRUTES'!AA$3:AA$42,MATCH(LARGE(IF('DONNÉES BRUTES'!C$3:C$42="Real Estate",'DONNÉES BRUTES'!AB$3:AB$42+(ROW('DONNÉES BRUTES'!A$3:A$42)-ROW('DONNÉES BRUTES'!A$3))/1000,0),8),IF('DONNÉES BRUTES'!C$3:C$42="Real Estate",'DONNÉES BRUTES'!AB$3:AB$42+(ROW('DONNÉES BRUTES'!A$3:A$42)-ROW('DONNÉES BRUTES'!A$3))/1000,0),0))),"—")</f>
        <v/>
      </c>
      <c r="I18">
        <f t="array" ref="I18">IFERROR(IF(8&gt;COUNTIF('DONNÉES BRUTES'!C$3:C$42,"Real Estate"),"",INDEX('DONNÉES BRUTES'!M$3:M$42,MATCH(LARGE(IF('DONNÉES BRUTES'!C$3:C$42="Real Estate",'DONNÉES BRUTES'!AB$3:AB$42+(ROW('DONNÉES BRUTES'!A$3:A$42)-ROW('DONNÉES BRUTES'!A$3))/1000,0),8),IF('DONNÉES BRUTES'!C$3:C$42="Real Estate",'DONNÉES BRUTES'!AB$3:AB$42+(ROW('DONNÉES BRUTES'!A$3:A$42)-ROW('DONNÉES BRUTES'!A$3))/1000,0),0))),"—")</f>
        <v/>
      </c>
      <c r="J18">
        <f t="array" ref="J18">IFERROR(IF(8&gt;COUNTIF('DONNÉES BRUTES'!C$3:C$42,"Real Estate"),"",INDEX('DONNÉES BRUTES'!N$3:N$42,MATCH(LARGE(IF('DONNÉES BRUTES'!C$3:C$42="Real Estate",'DONNÉES BRUTES'!AB$3:AB$42+(ROW('DONNÉES BRUTES'!A$3:A$42)-ROW('DONNÉES BRUTES'!A$3))/1000,0),8),IF('DONNÉES BRUTES'!C$3:C$42="Real Estate",'DONNÉES BRUTES'!AB$3:AB$42+(ROW('DONNÉES BRUTES'!A$3:A$42)-ROW('DONNÉES BRUTES'!A$3))/1000,0),0))),"—")</f>
        <v/>
      </c>
      <c r="K18">
        <f t="array" ref="K18">IFERROR(IF(8&gt;COUNTIF('DONNÉES BRUTES'!C$3:C$42,"Real Estate"),"",INDEX('DONNÉES BRUTES'!O$3:O$42,MATCH(LARGE(IF('DONNÉES BRUTES'!C$3:C$42="Real Estate",'DONNÉES BRUTES'!AB$3:AB$42+(ROW('DONNÉES BRUTES'!A$3:A$42)-ROW('DONNÉES BRUTES'!A$3))/1000,0),8),IF('DONNÉES BRUTES'!C$3:C$42="Real Estate",'DONNÉES BRUTES'!AB$3:AB$42+(ROW('DONNÉES BRUTES'!A$3:A$42)-ROW('DONNÉES BRUTES'!A$3))/1000,0),0))),"—")</f>
        <v/>
      </c>
      <c r="L18">
        <f t="array" ref="L18">IFERROR(IF(8&gt;COUNTIF('DONNÉES BRUTES'!C$3:C$42,"Real Estate"),"",INDEX('DONNÉES BRUTES'!P$3:P$42,MATCH(LARGE(IF('DONNÉES BRUTES'!C$3:C$42="Real Estate",'DONNÉES BRUTES'!AB$3:AB$42+(ROW('DONNÉES BRUTES'!A$3:A$42)-ROW('DONNÉES BRUTES'!A$3))/1000,0),8),IF('DONNÉES BRUTES'!C$3:C$42="Real Estate",'DONNÉES BRUTES'!AB$3:AB$42+(ROW('DONNÉES BRUTES'!A$3:A$42)-ROW('DONNÉES BRUTES'!A$3))/1000,0),0))),"—")</f>
        <v/>
      </c>
      <c r="M18">
        <f t="array" ref="M18">IFERROR(IF(8&gt;COUNTIF('DONNÉES BRUTES'!C$3:C$42,"Real Estate"),"",INDEX('DONNÉES BRUTES'!Q$3:Q$42,MATCH(LARGE(IF('DONNÉES BRUTES'!C$3:C$42="Real Estate",'DONNÉES BRUTES'!AB$3:AB$42+(ROW('DONNÉES BRUTES'!A$3:A$42)-ROW('DONNÉES BRUTES'!A$3))/1000,0),8),IF('DONNÉES BRUTES'!C$3:C$42="Real Estate",'DONNÉES BRUTES'!AB$3:AB$42+(ROW('DONNÉES BRUTES'!A$3:A$42)-ROW('DONNÉES BRUTES'!A$3))/1000,0),0))),"—")</f>
        <v/>
      </c>
      <c r="N18">
        <f t="array" ref="N18">IFERROR(IF(8&gt;COUNTIF('DONNÉES BRUTES'!C$3:C$42,"Real Estate"),"",INDEX('DONNÉES BRUTES'!S$3:S$42,MATCH(LARGE(IF('DONNÉES BRUTES'!C$3:C$42="Real Estate",'DONNÉES BRUTES'!AB$3:AB$42+(ROW('DONNÉES BRUTES'!A$3:A$42)-ROW('DONNÉES BRUTES'!A$3))/1000,0),8),IF('DONNÉES BRUTES'!C$3:C$42="Real Estate",'DONNÉES BRUTES'!AB$3:AB$42+(ROW('DONNÉES BRUTES'!A$3:A$42)-ROW('DONNÉES BRUTES'!A$3))/1000,0),0))),"—")</f>
        <v/>
      </c>
      <c r="O18">
        <f t="array" ref="O18">IFERROR(IF(8&gt;COUNTIF('DONNÉES BRUTES'!C$3:C$42,"Real Estate"),"",INDEX('DONNÉES BRUTES'!T$3:T$42,MATCH(LARGE(IF('DONNÉES BRUTES'!C$3:C$42="Real Estate",'DONNÉES BRUTES'!AB$3:AB$42+(ROW('DONNÉES BRUTES'!A$3:A$42)-ROW('DONNÉES BRUTES'!A$3))/1000,0),8),IF('DONNÉES BRUTES'!C$3:C$42="Real Estate",'DONNÉES BRUTES'!AB$3:AB$42+(ROW('DONNÉES BRUTES'!A$3:A$42)-ROW('DONNÉES BRUTES'!A$3))/1000,0),0))),"—")</f>
        <v/>
      </c>
      <c r="P18">
        <f t="array" ref="P18">IFERROR(IF(8&gt;COUNTIF('DONNÉES BRUTES'!C$3:C$42,"Real Estate"),"",INDEX('DONNÉES BRUTES'!U$3:U$42,MATCH(LARGE(IF('DONNÉES BRUTES'!C$3:C$42="Real Estate",'DONNÉES BRUTES'!AB$3:AB$42+(ROW('DONNÉES BRUTES'!A$3:A$42)-ROW('DONNÉES BRUTES'!A$3))/1000,0),8),IF('DONNÉES BRUTES'!C$3:C$42="Real Estate",'DONNÉES BRUTES'!AB$3:AB$42+(ROW('DONNÉES BRUTES'!A$3:A$42)-ROW('DONNÉES BRUTES'!A$3))/1000,0),0))),"—")</f>
        <v/>
      </c>
      <c r="Q18">
        <f t="array" ref="Q18">IFERROR(IF(8&gt;COUNTIF('DONNÉES BRUTES'!C$3:C$42,"Real Estate"),"",INDEX('DONNÉES BRUTES'!AD$3:AD$42,MATCH(LARGE(IF('DONNÉES BRUTES'!C$3:C$42="Real Estate",'DONNÉES BRUTES'!AB$3:AB$42+(ROW('DONNÉES BRUTES'!A$3:A$42)-ROW('DONNÉES BRUTES'!A$3))/1000,0),8),IF('DONNÉES BRUTES'!C$3:C$42="Real Estate",'DONNÉES BRUTES'!AB$3:AB$42+(ROW('DONNÉES BRUTES'!A$3:A$42)-ROW('DONNÉES BRUTES'!A$3))/1000,0),0))),"—")</f>
        <v/>
      </c>
    </row>
    <row r="19" ht="15.95" customHeight="1">
      <c r="B19">
        <f>IF(9&gt;COUNTIF('DONNÉES BRUTES'!C$3:C$42,"Real Estate"),"",9)</f>
        <v/>
      </c>
      <c r="C19">
        <f t="array" ref="C19">IFERROR(IF(9&gt;COUNTIF('DONNÉES BRUTES'!C$3:C$42,"Real Estate"),"",INDEX('DONNÉES BRUTES'!A$3:A$42,MATCH(LARGE(IF('DONNÉES BRUTES'!C$3:C$42="Real Estate",'DONNÉES BRUTES'!AB$3:AB$42+(ROW('DONNÉES BRUTES'!A$3:A$42)-ROW('DONNÉES BRUTES'!A$3))/1000,0),9),IF('DONNÉES BRUTES'!C$3:C$42="Real Estate",'DONNÉES BRUTES'!AB$3:AB$42+(ROW('DONNÉES BRUTES'!A$3:A$42)-ROW('DONNÉES BRUTES'!A$3))/1000,0),0))),"—")</f>
        <v/>
      </c>
      <c r="D19">
        <f t="array" ref="D19">IFERROR(IF(9&gt;COUNTIF('DONNÉES BRUTES'!C$3:C$42,"Real Estate"),"",INDEX('DONNÉES BRUTES'!B$3:B$42,MATCH(LARGE(IF('DONNÉES BRUTES'!C$3:C$42="Real Estate",'DONNÉES BRUTES'!AB$3:AB$42+(ROW('DONNÉES BRUTES'!A$3:A$42)-ROW('DONNÉES BRUTES'!A$3))/1000,0),9),IF('DONNÉES BRUTES'!C$3:C$42="Real Estate",'DONNÉES BRUTES'!AB$3:AB$42+(ROW('DONNÉES BRUTES'!A$3:A$42)-ROW('DONNÉES BRUTES'!A$3))/1000,0),0))),"—")</f>
        <v/>
      </c>
      <c r="E19">
        <f t="array" ref="E19">IFERROR(IF(9&gt;COUNTIF('DONNÉES BRUTES'!C$3:C$42,"Real Estate"),"",INT(LARGE(IF('DONNÉES BRUTES'!C$3:C$42="Real Estate",'DONNÉES BRUTES'!AB$3:AB$42+(ROW('DONNÉES BRUTES'!A$3:A$42)-ROW('DONNÉES BRUTES'!A$3))/1000,0),9))&amp;"/100"),"—")</f>
        <v/>
      </c>
      <c r="F19">
        <f t="array" ref="F19">IFERROR(IF(9&gt;COUNTIF('DONNÉES BRUTES'!C$3:C$42,"Real Estate"),"",INDEX('DONNÉES BRUTES'!Y$3:Y$42,MATCH(LARGE(IF('DONNÉES BRUTES'!C$3:C$42="Real Estate",'DONNÉES BRUTES'!AB$3:AB$42+(ROW('DONNÉES BRUTES'!A$3:A$42)-ROW('DONNÉES BRUTES'!A$3))/1000,0),9),IF('DONNÉES BRUTES'!C$3:C$42="Real Estate",'DONNÉES BRUTES'!AB$3:AB$42+(ROW('DONNÉES BRUTES'!A$3:A$42)-ROW('DONNÉES BRUTES'!A$3))/1000,0),0))),"—")</f>
        <v/>
      </c>
      <c r="G19">
        <f t="array" ref="G19">IFERROR(IF(9&gt;COUNTIF('DONNÉES BRUTES'!C$3:C$42,"Real Estate"),"",INDEX('DONNÉES BRUTES'!Z$3:Z$42,MATCH(LARGE(IF('DONNÉES BRUTES'!C$3:C$42="Real Estate",'DONNÉES BRUTES'!AB$3:AB$42+(ROW('DONNÉES BRUTES'!A$3:A$42)-ROW('DONNÉES BRUTES'!A$3))/1000,0),9),IF('DONNÉES BRUTES'!C$3:C$42="Real Estate",'DONNÉES BRUTES'!AB$3:AB$42+(ROW('DONNÉES BRUTES'!A$3:A$42)-ROW('DONNÉES BRUTES'!A$3))/1000,0),0))),"—")</f>
        <v/>
      </c>
      <c r="H19">
        <f t="array" ref="H19">IFERROR(IF(9&gt;COUNTIF('DONNÉES BRUTES'!C$3:C$42,"Real Estate"),"",INDEX('DONNÉES BRUTES'!AA$3:AA$42,MATCH(LARGE(IF('DONNÉES BRUTES'!C$3:C$42="Real Estate",'DONNÉES BRUTES'!AB$3:AB$42+(ROW('DONNÉES BRUTES'!A$3:A$42)-ROW('DONNÉES BRUTES'!A$3))/1000,0),9),IF('DONNÉES BRUTES'!C$3:C$42="Real Estate",'DONNÉES BRUTES'!AB$3:AB$42+(ROW('DONNÉES BRUTES'!A$3:A$42)-ROW('DONNÉES BRUTES'!A$3))/1000,0),0))),"—")</f>
        <v/>
      </c>
      <c r="I19">
        <f t="array" ref="I19">IFERROR(IF(9&gt;COUNTIF('DONNÉES BRUTES'!C$3:C$42,"Real Estate"),"",INDEX('DONNÉES BRUTES'!M$3:M$42,MATCH(LARGE(IF('DONNÉES BRUTES'!C$3:C$42="Real Estate",'DONNÉES BRUTES'!AB$3:AB$42+(ROW('DONNÉES BRUTES'!A$3:A$42)-ROW('DONNÉES BRUTES'!A$3))/1000,0),9),IF('DONNÉES BRUTES'!C$3:C$42="Real Estate",'DONNÉES BRUTES'!AB$3:AB$42+(ROW('DONNÉES BRUTES'!A$3:A$42)-ROW('DONNÉES BRUTES'!A$3))/1000,0),0))),"—")</f>
        <v/>
      </c>
      <c r="J19">
        <f t="array" ref="J19">IFERROR(IF(9&gt;COUNTIF('DONNÉES BRUTES'!C$3:C$42,"Real Estate"),"",INDEX('DONNÉES BRUTES'!N$3:N$42,MATCH(LARGE(IF('DONNÉES BRUTES'!C$3:C$42="Real Estate",'DONNÉES BRUTES'!AB$3:AB$42+(ROW('DONNÉES BRUTES'!A$3:A$42)-ROW('DONNÉES BRUTES'!A$3))/1000,0),9),IF('DONNÉES BRUTES'!C$3:C$42="Real Estate",'DONNÉES BRUTES'!AB$3:AB$42+(ROW('DONNÉES BRUTES'!A$3:A$42)-ROW('DONNÉES BRUTES'!A$3))/1000,0),0))),"—")</f>
        <v/>
      </c>
      <c r="K19">
        <f t="array" ref="K19">IFERROR(IF(9&gt;COUNTIF('DONNÉES BRUTES'!C$3:C$42,"Real Estate"),"",INDEX('DONNÉES BRUTES'!O$3:O$42,MATCH(LARGE(IF('DONNÉES BRUTES'!C$3:C$42="Real Estate",'DONNÉES BRUTES'!AB$3:AB$42+(ROW('DONNÉES BRUTES'!A$3:A$42)-ROW('DONNÉES BRUTES'!A$3))/1000,0),9),IF('DONNÉES BRUTES'!C$3:C$42="Real Estate",'DONNÉES BRUTES'!AB$3:AB$42+(ROW('DONNÉES BRUTES'!A$3:A$42)-ROW('DONNÉES BRUTES'!A$3))/1000,0),0))),"—")</f>
        <v/>
      </c>
      <c r="L19">
        <f t="array" ref="L19">IFERROR(IF(9&gt;COUNTIF('DONNÉES BRUTES'!C$3:C$42,"Real Estate"),"",INDEX('DONNÉES BRUTES'!P$3:P$42,MATCH(LARGE(IF('DONNÉES BRUTES'!C$3:C$42="Real Estate",'DONNÉES BRUTES'!AB$3:AB$42+(ROW('DONNÉES BRUTES'!A$3:A$42)-ROW('DONNÉES BRUTES'!A$3))/1000,0),9),IF('DONNÉES BRUTES'!C$3:C$42="Real Estate",'DONNÉES BRUTES'!AB$3:AB$42+(ROW('DONNÉES BRUTES'!A$3:A$42)-ROW('DONNÉES BRUTES'!A$3))/1000,0),0))),"—")</f>
        <v/>
      </c>
      <c r="M19">
        <f t="array" ref="M19">IFERROR(IF(9&gt;COUNTIF('DONNÉES BRUTES'!C$3:C$42,"Real Estate"),"",INDEX('DONNÉES BRUTES'!Q$3:Q$42,MATCH(LARGE(IF('DONNÉES BRUTES'!C$3:C$42="Real Estate",'DONNÉES BRUTES'!AB$3:AB$42+(ROW('DONNÉES BRUTES'!A$3:A$42)-ROW('DONNÉES BRUTES'!A$3))/1000,0),9),IF('DONNÉES BRUTES'!C$3:C$42="Real Estate",'DONNÉES BRUTES'!AB$3:AB$42+(ROW('DONNÉES BRUTES'!A$3:A$42)-ROW('DONNÉES BRUTES'!A$3))/1000,0),0))),"—")</f>
        <v/>
      </c>
      <c r="N19">
        <f t="array" ref="N19">IFERROR(IF(9&gt;COUNTIF('DONNÉES BRUTES'!C$3:C$42,"Real Estate"),"",INDEX('DONNÉES BRUTES'!S$3:S$42,MATCH(LARGE(IF('DONNÉES BRUTES'!C$3:C$42="Real Estate",'DONNÉES BRUTES'!AB$3:AB$42+(ROW('DONNÉES BRUTES'!A$3:A$42)-ROW('DONNÉES BRUTES'!A$3))/1000,0),9),IF('DONNÉES BRUTES'!C$3:C$42="Real Estate",'DONNÉES BRUTES'!AB$3:AB$42+(ROW('DONNÉES BRUTES'!A$3:A$42)-ROW('DONNÉES BRUTES'!A$3))/1000,0),0))),"—")</f>
        <v/>
      </c>
      <c r="O19">
        <f t="array" ref="O19">IFERROR(IF(9&gt;COUNTIF('DONNÉES BRUTES'!C$3:C$42,"Real Estate"),"",INDEX('DONNÉES BRUTES'!T$3:T$42,MATCH(LARGE(IF('DONNÉES BRUTES'!C$3:C$42="Real Estate",'DONNÉES BRUTES'!AB$3:AB$42+(ROW('DONNÉES BRUTES'!A$3:A$42)-ROW('DONNÉES BRUTES'!A$3))/1000,0),9),IF('DONNÉES BRUTES'!C$3:C$42="Real Estate",'DONNÉES BRUTES'!AB$3:AB$42+(ROW('DONNÉES BRUTES'!A$3:A$42)-ROW('DONNÉES BRUTES'!A$3))/1000,0),0))),"—")</f>
        <v/>
      </c>
      <c r="P19">
        <f t="array" ref="P19">IFERROR(IF(9&gt;COUNTIF('DONNÉES BRUTES'!C$3:C$42,"Real Estate"),"",INDEX('DONNÉES BRUTES'!U$3:U$42,MATCH(LARGE(IF('DONNÉES BRUTES'!C$3:C$42="Real Estate",'DONNÉES BRUTES'!AB$3:AB$42+(ROW('DONNÉES BRUTES'!A$3:A$42)-ROW('DONNÉES BRUTES'!A$3))/1000,0),9),IF('DONNÉES BRUTES'!C$3:C$42="Real Estate",'DONNÉES BRUTES'!AB$3:AB$42+(ROW('DONNÉES BRUTES'!A$3:A$42)-ROW('DONNÉES BRUTES'!A$3))/1000,0),0))),"—")</f>
        <v/>
      </c>
      <c r="Q19">
        <f t="array" ref="Q19">IFERROR(IF(9&gt;COUNTIF('DONNÉES BRUTES'!C$3:C$42,"Real Estate"),"",INDEX('DONNÉES BRUTES'!AD$3:AD$42,MATCH(LARGE(IF('DONNÉES BRUTES'!C$3:C$42="Real Estate",'DONNÉES BRUTES'!AB$3:AB$42+(ROW('DONNÉES BRUTES'!A$3:A$42)-ROW('DONNÉES BRUTES'!A$3))/1000,0),9),IF('DONNÉES BRUTES'!C$3:C$42="Real Estate",'DONNÉES BRUTES'!AB$3:AB$42+(ROW('DONNÉES BRUTES'!A$3:A$42)-ROW('DONNÉES BRUTES'!A$3))/1000,0),0))),"—")</f>
        <v/>
      </c>
    </row>
    <row r="20" ht="15.95" customHeight="1">
      <c r="B20">
        <f>IF(10&gt;COUNTIF('DONNÉES BRUTES'!C$3:C$42,"Real Estate"),"",10)</f>
        <v/>
      </c>
      <c r="C20">
        <f t="array" ref="C20">IFERROR(IF(10&gt;COUNTIF('DONNÉES BRUTES'!C$3:C$42,"Real Estate"),"",INDEX('DONNÉES BRUTES'!A$3:A$42,MATCH(LARGE(IF('DONNÉES BRUTES'!C$3:C$42="Real Estate",'DONNÉES BRUTES'!AB$3:AB$42+(ROW('DONNÉES BRUTES'!A$3:A$42)-ROW('DONNÉES BRUTES'!A$3))/1000,0),10),IF('DONNÉES BRUTES'!C$3:C$42="Real Estate",'DONNÉES BRUTES'!AB$3:AB$42+(ROW('DONNÉES BRUTES'!A$3:A$42)-ROW('DONNÉES BRUTES'!A$3))/1000,0),0))),"—")</f>
        <v/>
      </c>
      <c r="D20">
        <f t="array" ref="D20">IFERROR(IF(10&gt;COUNTIF('DONNÉES BRUTES'!C$3:C$42,"Real Estate"),"",INDEX('DONNÉES BRUTES'!B$3:B$42,MATCH(LARGE(IF('DONNÉES BRUTES'!C$3:C$42="Real Estate",'DONNÉES BRUTES'!AB$3:AB$42+(ROW('DONNÉES BRUTES'!A$3:A$42)-ROW('DONNÉES BRUTES'!A$3))/1000,0),10),IF('DONNÉES BRUTES'!C$3:C$42="Real Estate",'DONNÉES BRUTES'!AB$3:AB$42+(ROW('DONNÉES BRUTES'!A$3:A$42)-ROW('DONNÉES BRUTES'!A$3))/1000,0),0))),"—")</f>
        <v/>
      </c>
      <c r="E20">
        <f t="array" ref="E20">IFERROR(IF(10&gt;COUNTIF('DONNÉES BRUTES'!C$3:C$42,"Real Estate"),"",INT(LARGE(IF('DONNÉES BRUTES'!C$3:C$42="Real Estate",'DONNÉES BRUTES'!AB$3:AB$42+(ROW('DONNÉES BRUTES'!A$3:A$42)-ROW('DONNÉES BRUTES'!A$3))/1000,0),10))&amp;"/100"),"—")</f>
        <v/>
      </c>
      <c r="F20">
        <f t="array" ref="F20">IFERROR(IF(10&gt;COUNTIF('DONNÉES BRUTES'!C$3:C$42,"Real Estate"),"",INDEX('DONNÉES BRUTES'!Y$3:Y$42,MATCH(LARGE(IF('DONNÉES BRUTES'!C$3:C$42="Real Estate",'DONNÉES BRUTES'!AB$3:AB$42+(ROW('DONNÉES BRUTES'!A$3:A$42)-ROW('DONNÉES BRUTES'!A$3))/1000,0),10),IF('DONNÉES BRUTES'!C$3:C$42="Real Estate",'DONNÉES BRUTES'!AB$3:AB$42+(ROW('DONNÉES BRUTES'!A$3:A$42)-ROW('DONNÉES BRUTES'!A$3))/1000,0),0))),"—")</f>
        <v/>
      </c>
      <c r="G20">
        <f t="array" ref="G20">IFERROR(IF(10&gt;COUNTIF('DONNÉES BRUTES'!C$3:C$42,"Real Estate"),"",INDEX('DONNÉES BRUTES'!Z$3:Z$42,MATCH(LARGE(IF('DONNÉES BRUTES'!C$3:C$42="Real Estate",'DONNÉES BRUTES'!AB$3:AB$42+(ROW('DONNÉES BRUTES'!A$3:A$42)-ROW('DONNÉES BRUTES'!A$3))/1000,0),10),IF('DONNÉES BRUTES'!C$3:C$42="Real Estate",'DONNÉES BRUTES'!AB$3:AB$42+(ROW('DONNÉES BRUTES'!A$3:A$42)-ROW('DONNÉES BRUTES'!A$3))/1000,0),0))),"—")</f>
        <v/>
      </c>
      <c r="H20">
        <f t="array" ref="H20">IFERROR(IF(10&gt;COUNTIF('DONNÉES BRUTES'!C$3:C$42,"Real Estate"),"",INDEX('DONNÉES BRUTES'!AA$3:AA$42,MATCH(LARGE(IF('DONNÉES BRUTES'!C$3:C$42="Real Estate",'DONNÉES BRUTES'!AB$3:AB$42+(ROW('DONNÉES BRUTES'!A$3:A$42)-ROW('DONNÉES BRUTES'!A$3))/1000,0),10),IF('DONNÉES BRUTES'!C$3:C$42="Real Estate",'DONNÉES BRUTES'!AB$3:AB$42+(ROW('DONNÉES BRUTES'!A$3:A$42)-ROW('DONNÉES BRUTES'!A$3))/1000,0),0))),"—")</f>
        <v/>
      </c>
      <c r="I20">
        <f t="array" ref="I20">IFERROR(IF(10&gt;COUNTIF('DONNÉES BRUTES'!C$3:C$42,"Real Estate"),"",INDEX('DONNÉES BRUTES'!M$3:M$42,MATCH(LARGE(IF('DONNÉES BRUTES'!C$3:C$42="Real Estate",'DONNÉES BRUTES'!AB$3:AB$42+(ROW('DONNÉES BRUTES'!A$3:A$42)-ROW('DONNÉES BRUTES'!A$3))/1000,0),10),IF('DONNÉES BRUTES'!C$3:C$42="Real Estate",'DONNÉES BRUTES'!AB$3:AB$42+(ROW('DONNÉES BRUTES'!A$3:A$42)-ROW('DONNÉES BRUTES'!A$3))/1000,0),0))),"—")</f>
        <v/>
      </c>
      <c r="J20">
        <f t="array" ref="J20">IFERROR(IF(10&gt;COUNTIF('DONNÉES BRUTES'!C$3:C$42,"Real Estate"),"",INDEX('DONNÉES BRUTES'!N$3:N$42,MATCH(LARGE(IF('DONNÉES BRUTES'!C$3:C$42="Real Estate",'DONNÉES BRUTES'!AB$3:AB$42+(ROW('DONNÉES BRUTES'!A$3:A$42)-ROW('DONNÉES BRUTES'!A$3))/1000,0),10),IF('DONNÉES BRUTES'!C$3:C$42="Real Estate",'DONNÉES BRUTES'!AB$3:AB$42+(ROW('DONNÉES BRUTES'!A$3:A$42)-ROW('DONNÉES BRUTES'!A$3))/1000,0),0))),"—")</f>
        <v/>
      </c>
      <c r="K20">
        <f t="array" ref="K20">IFERROR(IF(10&gt;COUNTIF('DONNÉES BRUTES'!C$3:C$42,"Real Estate"),"",INDEX('DONNÉES BRUTES'!O$3:O$42,MATCH(LARGE(IF('DONNÉES BRUTES'!C$3:C$42="Real Estate",'DONNÉES BRUTES'!AB$3:AB$42+(ROW('DONNÉES BRUTES'!A$3:A$42)-ROW('DONNÉES BRUTES'!A$3))/1000,0),10),IF('DONNÉES BRUTES'!C$3:C$42="Real Estate",'DONNÉES BRUTES'!AB$3:AB$42+(ROW('DONNÉES BRUTES'!A$3:A$42)-ROW('DONNÉES BRUTES'!A$3))/1000,0),0))),"—")</f>
        <v/>
      </c>
      <c r="L20">
        <f t="array" ref="L20">IFERROR(IF(10&gt;COUNTIF('DONNÉES BRUTES'!C$3:C$42,"Real Estate"),"",INDEX('DONNÉES BRUTES'!P$3:P$42,MATCH(LARGE(IF('DONNÉES BRUTES'!C$3:C$42="Real Estate",'DONNÉES BRUTES'!AB$3:AB$42+(ROW('DONNÉES BRUTES'!A$3:A$42)-ROW('DONNÉES BRUTES'!A$3))/1000,0),10),IF('DONNÉES BRUTES'!C$3:C$42="Real Estate",'DONNÉES BRUTES'!AB$3:AB$42+(ROW('DONNÉES BRUTES'!A$3:A$42)-ROW('DONNÉES BRUTES'!A$3))/1000,0),0))),"—")</f>
        <v/>
      </c>
      <c r="M20">
        <f t="array" ref="M20">IFERROR(IF(10&gt;COUNTIF('DONNÉES BRUTES'!C$3:C$42,"Real Estate"),"",INDEX('DONNÉES BRUTES'!Q$3:Q$42,MATCH(LARGE(IF('DONNÉES BRUTES'!C$3:C$42="Real Estate",'DONNÉES BRUTES'!AB$3:AB$42+(ROW('DONNÉES BRUTES'!A$3:A$42)-ROW('DONNÉES BRUTES'!A$3))/1000,0),10),IF('DONNÉES BRUTES'!C$3:C$42="Real Estate",'DONNÉES BRUTES'!AB$3:AB$42+(ROW('DONNÉES BRUTES'!A$3:A$42)-ROW('DONNÉES BRUTES'!A$3))/1000,0),0))),"—")</f>
        <v/>
      </c>
      <c r="N20">
        <f t="array" ref="N20">IFERROR(IF(10&gt;COUNTIF('DONNÉES BRUTES'!C$3:C$42,"Real Estate"),"",INDEX('DONNÉES BRUTES'!S$3:S$42,MATCH(LARGE(IF('DONNÉES BRUTES'!C$3:C$42="Real Estate",'DONNÉES BRUTES'!AB$3:AB$42+(ROW('DONNÉES BRUTES'!A$3:A$42)-ROW('DONNÉES BRUTES'!A$3))/1000,0),10),IF('DONNÉES BRUTES'!C$3:C$42="Real Estate",'DONNÉES BRUTES'!AB$3:AB$42+(ROW('DONNÉES BRUTES'!A$3:A$42)-ROW('DONNÉES BRUTES'!A$3))/1000,0),0))),"—")</f>
        <v/>
      </c>
      <c r="O20">
        <f t="array" ref="O20">IFERROR(IF(10&gt;COUNTIF('DONNÉES BRUTES'!C$3:C$42,"Real Estate"),"",INDEX('DONNÉES BRUTES'!T$3:T$42,MATCH(LARGE(IF('DONNÉES BRUTES'!C$3:C$42="Real Estate",'DONNÉES BRUTES'!AB$3:AB$42+(ROW('DONNÉES BRUTES'!A$3:A$42)-ROW('DONNÉES BRUTES'!A$3))/1000,0),10),IF('DONNÉES BRUTES'!C$3:C$42="Real Estate",'DONNÉES BRUTES'!AB$3:AB$42+(ROW('DONNÉES BRUTES'!A$3:A$42)-ROW('DONNÉES BRUTES'!A$3))/1000,0),0))),"—")</f>
        <v/>
      </c>
      <c r="P20">
        <f t="array" ref="P20">IFERROR(IF(10&gt;COUNTIF('DONNÉES BRUTES'!C$3:C$42,"Real Estate"),"",INDEX('DONNÉES BRUTES'!U$3:U$42,MATCH(LARGE(IF('DONNÉES BRUTES'!C$3:C$42="Real Estate",'DONNÉES BRUTES'!AB$3:AB$42+(ROW('DONNÉES BRUTES'!A$3:A$42)-ROW('DONNÉES BRUTES'!A$3))/1000,0),10),IF('DONNÉES BRUTES'!C$3:C$42="Real Estate",'DONNÉES BRUTES'!AB$3:AB$42+(ROW('DONNÉES BRUTES'!A$3:A$42)-ROW('DONNÉES BRUTES'!A$3))/1000,0),0))),"—")</f>
        <v/>
      </c>
      <c r="Q20">
        <f t="array" ref="Q20">IFERROR(IF(10&gt;COUNTIF('DONNÉES BRUTES'!C$3:C$42,"Real Estate"),"",INDEX('DONNÉES BRUTES'!AD$3:AD$42,MATCH(LARGE(IF('DONNÉES BRUTES'!C$3:C$42="Real Estate",'DONNÉES BRUTES'!AB$3:AB$42+(ROW('DONNÉES BRUTES'!A$3:A$42)-ROW('DONNÉES BRUTES'!A$3))/1000,0),10),IF('DONNÉES BRUTES'!C$3:C$42="Real Estate",'DONNÉES BRUTES'!AB$3:AB$42+(ROW('DONNÉES BRUTES'!A$3:A$42)-ROW('DONNÉES BRUTES'!A$3))/1000,0),0))),"—")</f>
        <v/>
      </c>
    </row>
    <row r="21" ht="15.95" customHeight="1">
      <c r="B21">
        <f>IF(11&gt;COUNTIF('DONNÉES BRUTES'!C$3:C$42,"Real Estate"),"",11)</f>
        <v/>
      </c>
      <c r="C21">
        <f t="array" ref="C21">IFERROR(IF(11&gt;COUNTIF('DONNÉES BRUTES'!C$3:C$42,"Real Estate"),"",INDEX('DONNÉES BRUTES'!A$3:A$42,MATCH(LARGE(IF('DONNÉES BRUTES'!C$3:C$42="Real Estate",'DONNÉES BRUTES'!AB$3:AB$42+(ROW('DONNÉES BRUTES'!A$3:A$42)-ROW('DONNÉES BRUTES'!A$3))/1000,0),11),IF('DONNÉES BRUTES'!C$3:C$42="Real Estate",'DONNÉES BRUTES'!AB$3:AB$42+(ROW('DONNÉES BRUTES'!A$3:A$42)-ROW('DONNÉES BRUTES'!A$3))/1000,0),0))),"—")</f>
        <v/>
      </c>
      <c r="D21">
        <f t="array" ref="D21">IFERROR(IF(11&gt;COUNTIF('DONNÉES BRUTES'!C$3:C$42,"Real Estate"),"",INDEX('DONNÉES BRUTES'!B$3:B$42,MATCH(LARGE(IF('DONNÉES BRUTES'!C$3:C$42="Real Estate",'DONNÉES BRUTES'!AB$3:AB$42+(ROW('DONNÉES BRUTES'!A$3:A$42)-ROW('DONNÉES BRUTES'!A$3))/1000,0),11),IF('DONNÉES BRUTES'!C$3:C$42="Real Estate",'DONNÉES BRUTES'!AB$3:AB$42+(ROW('DONNÉES BRUTES'!A$3:A$42)-ROW('DONNÉES BRUTES'!A$3))/1000,0),0))),"—")</f>
        <v/>
      </c>
      <c r="E21">
        <f t="array" ref="E21">IFERROR(IF(11&gt;COUNTIF('DONNÉES BRUTES'!C$3:C$42,"Real Estate"),"",INT(LARGE(IF('DONNÉES BRUTES'!C$3:C$42="Real Estate",'DONNÉES BRUTES'!AB$3:AB$42+(ROW('DONNÉES BRUTES'!A$3:A$42)-ROW('DONNÉES BRUTES'!A$3))/1000,0),11))&amp;"/100"),"—")</f>
        <v/>
      </c>
      <c r="F21">
        <f t="array" ref="F21">IFERROR(IF(11&gt;COUNTIF('DONNÉES BRUTES'!C$3:C$42,"Real Estate"),"",INDEX('DONNÉES BRUTES'!Y$3:Y$42,MATCH(LARGE(IF('DONNÉES BRUTES'!C$3:C$42="Real Estate",'DONNÉES BRUTES'!AB$3:AB$42+(ROW('DONNÉES BRUTES'!A$3:A$42)-ROW('DONNÉES BRUTES'!A$3))/1000,0),11),IF('DONNÉES BRUTES'!C$3:C$42="Real Estate",'DONNÉES BRUTES'!AB$3:AB$42+(ROW('DONNÉES BRUTES'!A$3:A$42)-ROW('DONNÉES BRUTES'!A$3))/1000,0),0))),"—")</f>
        <v/>
      </c>
      <c r="G21">
        <f t="array" ref="G21">IFERROR(IF(11&gt;COUNTIF('DONNÉES BRUTES'!C$3:C$42,"Real Estate"),"",INDEX('DONNÉES BRUTES'!Z$3:Z$42,MATCH(LARGE(IF('DONNÉES BRUTES'!C$3:C$42="Real Estate",'DONNÉES BRUTES'!AB$3:AB$42+(ROW('DONNÉES BRUTES'!A$3:A$42)-ROW('DONNÉES BRUTES'!A$3))/1000,0),11),IF('DONNÉES BRUTES'!C$3:C$42="Real Estate",'DONNÉES BRUTES'!AB$3:AB$42+(ROW('DONNÉES BRUTES'!A$3:A$42)-ROW('DONNÉES BRUTES'!A$3))/1000,0),0))),"—")</f>
        <v/>
      </c>
      <c r="H21">
        <f t="array" ref="H21">IFERROR(IF(11&gt;COUNTIF('DONNÉES BRUTES'!C$3:C$42,"Real Estate"),"",INDEX('DONNÉES BRUTES'!AA$3:AA$42,MATCH(LARGE(IF('DONNÉES BRUTES'!C$3:C$42="Real Estate",'DONNÉES BRUTES'!AB$3:AB$42+(ROW('DONNÉES BRUTES'!A$3:A$42)-ROW('DONNÉES BRUTES'!A$3))/1000,0),11),IF('DONNÉES BRUTES'!C$3:C$42="Real Estate",'DONNÉES BRUTES'!AB$3:AB$42+(ROW('DONNÉES BRUTES'!A$3:A$42)-ROW('DONNÉES BRUTES'!A$3))/1000,0),0))),"—")</f>
        <v/>
      </c>
      <c r="I21">
        <f t="array" ref="I21">IFERROR(IF(11&gt;COUNTIF('DONNÉES BRUTES'!C$3:C$42,"Real Estate"),"",INDEX('DONNÉES BRUTES'!M$3:M$42,MATCH(LARGE(IF('DONNÉES BRUTES'!C$3:C$42="Real Estate",'DONNÉES BRUTES'!AB$3:AB$42+(ROW('DONNÉES BRUTES'!A$3:A$42)-ROW('DONNÉES BRUTES'!A$3))/1000,0),11),IF('DONNÉES BRUTES'!C$3:C$42="Real Estate",'DONNÉES BRUTES'!AB$3:AB$42+(ROW('DONNÉES BRUTES'!A$3:A$42)-ROW('DONNÉES BRUTES'!A$3))/1000,0),0))),"—")</f>
        <v/>
      </c>
      <c r="J21">
        <f t="array" ref="J21">IFERROR(IF(11&gt;COUNTIF('DONNÉES BRUTES'!C$3:C$42,"Real Estate"),"",INDEX('DONNÉES BRUTES'!N$3:N$42,MATCH(LARGE(IF('DONNÉES BRUTES'!C$3:C$42="Real Estate",'DONNÉES BRUTES'!AB$3:AB$42+(ROW('DONNÉES BRUTES'!A$3:A$42)-ROW('DONNÉES BRUTES'!A$3))/1000,0),11),IF('DONNÉES BRUTES'!C$3:C$42="Real Estate",'DONNÉES BRUTES'!AB$3:AB$42+(ROW('DONNÉES BRUTES'!A$3:A$42)-ROW('DONNÉES BRUTES'!A$3))/1000,0),0))),"—")</f>
        <v/>
      </c>
      <c r="K21">
        <f t="array" ref="K21">IFERROR(IF(11&gt;COUNTIF('DONNÉES BRUTES'!C$3:C$42,"Real Estate"),"",INDEX('DONNÉES BRUTES'!O$3:O$42,MATCH(LARGE(IF('DONNÉES BRUTES'!C$3:C$42="Real Estate",'DONNÉES BRUTES'!AB$3:AB$42+(ROW('DONNÉES BRUTES'!A$3:A$42)-ROW('DONNÉES BRUTES'!A$3))/1000,0),11),IF('DONNÉES BRUTES'!C$3:C$42="Real Estate",'DONNÉES BRUTES'!AB$3:AB$42+(ROW('DONNÉES BRUTES'!A$3:A$42)-ROW('DONNÉES BRUTES'!A$3))/1000,0),0))),"—")</f>
        <v/>
      </c>
      <c r="L21">
        <f t="array" ref="L21">IFERROR(IF(11&gt;COUNTIF('DONNÉES BRUTES'!C$3:C$42,"Real Estate"),"",INDEX('DONNÉES BRUTES'!P$3:P$42,MATCH(LARGE(IF('DONNÉES BRUTES'!C$3:C$42="Real Estate",'DONNÉES BRUTES'!AB$3:AB$42+(ROW('DONNÉES BRUTES'!A$3:A$42)-ROW('DONNÉES BRUTES'!A$3))/1000,0),11),IF('DONNÉES BRUTES'!C$3:C$42="Real Estate",'DONNÉES BRUTES'!AB$3:AB$42+(ROW('DONNÉES BRUTES'!A$3:A$42)-ROW('DONNÉES BRUTES'!A$3))/1000,0),0))),"—")</f>
        <v/>
      </c>
      <c r="M21">
        <f t="array" ref="M21">IFERROR(IF(11&gt;COUNTIF('DONNÉES BRUTES'!C$3:C$42,"Real Estate"),"",INDEX('DONNÉES BRUTES'!Q$3:Q$42,MATCH(LARGE(IF('DONNÉES BRUTES'!C$3:C$42="Real Estate",'DONNÉES BRUTES'!AB$3:AB$42+(ROW('DONNÉES BRUTES'!A$3:A$42)-ROW('DONNÉES BRUTES'!A$3))/1000,0),11),IF('DONNÉES BRUTES'!C$3:C$42="Real Estate",'DONNÉES BRUTES'!AB$3:AB$42+(ROW('DONNÉES BRUTES'!A$3:A$42)-ROW('DONNÉES BRUTES'!A$3))/1000,0),0))),"—")</f>
        <v/>
      </c>
      <c r="N21">
        <f t="array" ref="N21">IFERROR(IF(11&gt;COUNTIF('DONNÉES BRUTES'!C$3:C$42,"Real Estate"),"",INDEX('DONNÉES BRUTES'!S$3:S$42,MATCH(LARGE(IF('DONNÉES BRUTES'!C$3:C$42="Real Estate",'DONNÉES BRUTES'!AB$3:AB$42+(ROW('DONNÉES BRUTES'!A$3:A$42)-ROW('DONNÉES BRUTES'!A$3))/1000,0),11),IF('DONNÉES BRUTES'!C$3:C$42="Real Estate",'DONNÉES BRUTES'!AB$3:AB$42+(ROW('DONNÉES BRUTES'!A$3:A$42)-ROW('DONNÉES BRUTES'!A$3))/1000,0),0))),"—")</f>
        <v/>
      </c>
      <c r="O21">
        <f t="array" ref="O21">IFERROR(IF(11&gt;COUNTIF('DONNÉES BRUTES'!C$3:C$42,"Real Estate"),"",INDEX('DONNÉES BRUTES'!T$3:T$42,MATCH(LARGE(IF('DONNÉES BRUTES'!C$3:C$42="Real Estate",'DONNÉES BRUTES'!AB$3:AB$42+(ROW('DONNÉES BRUTES'!A$3:A$42)-ROW('DONNÉES BRUTES'!A$3))/1000,0),11),IF('DONNÉES BRUTES'!C$3:C$42="Real Estate",'DONNÉES BRUTES'!AB$3:AB$42+(ROW('DONNÉES BRUTES'!A$3:A$42)-ROW('DONNÉES BRUTES'!A$3))/1000,0),0))),"—")</f>
        <v/>
      </c>
      <c r="P21">
        <f t="array" ref="P21">IFERROR(IF(11&gt;COUNTIF('DONNÉES BRUTES'!C$3:C$42,"Real Estate"),"",INDEX('DONNÉES BRUTES'!U$3:U$42,MATCH(LARGE(IF('DONNÉES BRUTES'!C$3:C$42="Real Estate",'DONNÉES BRUTES'!AB$3:AB$42+(ROW('DONNÉES BRUTES'!A$3:A$42)-ROW('DONNÉES BRUTES'!A$3))/1000,0),11),IF('DONNÉES BRUTES'!C$3:C$42="Real Estate",'DONNÉES BRUTES'!AB$3:AB$42+(ROW('DONNÉES BRUTES'!A$3:A$42)-ROW('DONNÉES BRUTES'!A$3))/1000,0),0))),"—")</f>
        <v/>
      </c>
      <c r="Q21">
        <f t="array" ref="Q21">IFERROR(IF(11&gt;COUNTIF('DONNÉES BRUTES'!C$3:C$42,"Real Estate"),"",INDEX('DONNÉES BRUTES'!AD$3:AD$42,MATCH(LARGE(IF('DONNÉES BRUTES'!C$3:C$42="Real Estate",'DONNÉES BRUTES'!AB$3:AB$42+(ROW('DONNÉES BRUTES'!A$3:A$42)-ROW('DONNÉES BRUTES'!A$3))/1000,0),11),IF('DONNÉES BRUTES'!C$3:C$42="Real Estate",'DONNÉES BRUTES'!AB$3:AB$42+(ROW('DONNÉES BRUTES'!A$3:A$42)-ROW('DONNÉES BRUTES'!A$3))/1000,0),0))),"—")</f>
        <v/>
      </c>
    </row>
    <row r="22" ht="15.95" customHeight="1">
      <c r="B22">
        <f>IF(12&gt;COUNTIF('DONNÉES BRUTES'!C$3:C$42,"Real Estate"),"",12)</f>
        <v/>
      </c>
      <c r="C22">
        <f t="array" ref="C22">IFERROR(IF(12&gt;COUNTIF('DONNÉES BRUTES'!C$3:C$42,"Real Estate"),"",INDEX('DONNÉES BRUTES'!A$3:A$42,MATCH(LARGE(IF('DONNÉES BRUTES'!C$3:C$42="Real Estate",'DONNÉES BRUTES'!AB$3:AB$42+(ROW('DONNÉES BRUTES'!A$3:A$42)-ROW('DONNÉES BRUTES'!A$3))/1000,0),12),IF('DONNÉES BRUTES'!C$3:C$42="Real Estate",'DONNÉES BRUTES'!AB$3:AB$42+(ROW('DONNÉES BRUTES'!A$3:A$42)-ROW('DONNÉES BRUTES'!A$3))/1000,0),0))),"—")</f>
        <v/>
      </c>
      <c r="D22">
        <f t="array" ref="D22">IFERROR(IF(12&gt;COUNTIF('DONNÉES BRUTES'!C$3:C$42,"Real Estate"),"",INDEX('DONNÉES BRUTES'!B$3:B$42,MATCH(LARGE(IF('DONNÉES BRUTES'!C$3:C$42="Real Estate",'DONNÉES BRUTES'!AB$3:AB$42+(ROW('DONNÉES BRUTES'!A$3:A$42)-ROW('DONNÉES BRUTES'!A$3))/1000,0),12),IF('DONNÉES BRUTES'!C$3:C$42="Real Estate",'DONNÉES BRUTES'!AB$3:AB$42+(ROW('DONNÉES BRUTES'!A$3:A$42)-ROW('DONNÉES BRUTES'!A$3))/1000,0),0))),"—")</f>
        <v/>
      </c>
      <c r="E22">
        <f t="array" ref="E22">IFERROR(IF(12&gt;COUNTIF('DONNÉES BRUTES'!C$3:C$42,"Real Estate"),"",INT(LARGE(IF('DONNÉES BRUTES'!C$3:C$42="Real Estate",'DONNÉES BRUTES'!AB$3:AB$42+(ROW('DONNÉES BRUTES'!A$3:A$42)-ROW('DONNÉES BRUTES'!A$3))/1000,0),12))&amp;"/100"),"—")</f>
        <v/>
      </c>
      <c r="F22">
        <f t="array" ref="F22">IFERROR(IF(12&gt;COUNTIF('DONNÉES BRUTES'!C$3:C$42,"Real Estate"),"",INDEX('DONNÉES BRUTES'!Y$3:Y$42,MATCH(LARGE(IF('DONNÉES BRUTES'!C$3:C$42="Real Estate",'DONNÉES BRUTES'!AB$3:AB$42+(ROW('DONNÉES BRUTES'!A$3:A$42)-ROW('DONNÉES BRUTES'!A$3))/1000,0),12),IF('DONNÉES BRUTES'!C$3:C$42="Real Estate",'DONNÉES BRUTES'!AB$3:AB$42+(ROW('DONNÉES BRUTES'!A$3:A$42)-ROW('DONNÉES BRUTES'!A$3))/1000,0),0))),"—")</f>
        <v/>
      </c>
      <c r="G22">
        <f t="array" ref="G22">IFERROR(IF(12&gt;COUNTIF('DONNÉES BRUTES'!C$3:C$42,"Real Estate"),"",INDEX('DONNÉES BRUTES'!Z$3:Z$42,MATCH(LARGE(IF('DONNÉES BRUTES'!C$3:C$42="Real Estate",'DONNÉES BRUTES'!AB$3:AB$42+(ROW('DONNÉES BRUTES'!A$3:A$42)-ROW('DONNÉES BRUTES'!A$3))/1000,0),12),IF('DONNÉES BRUTES'!C$3:C$42="Real Estate",'DONNÉES BRUTES'!AB$3:AB$42+(ROW('DONNÉES BRUTES'!A$3:A$42)-ROW('DONNÉES BRUTES'!A$3))/1000,0),0))),"—")</f>
        <v/>
      </c>
      <c r="H22">
        <f t="array" ref="H22">IFERROR(IF(12&gt;COUNTIF('DONNÉES BRUTES'!C$3:C$42,"Real Estate"),"",INDEX('DONNÉES BRUTES'!AA$3:AA$42,MATCH(LARGE(IF('DONNÉES BRUTES'!C$3:C$42="Real Estate",'DONNÉES BRUTES'!AB$3:AB$42+(ROW('DONNÉES BRUTES'!A$3:A$42)-ROW('DONNÉES BRUTES'!A$3))/1000,0),12),IF('DONNÉES BRUTES'!C$3:C$42="Real Estate",'DONNÉES BRUTES'!AB$3:AB$42+(ROW('DONNÉES BRUTES'!A$3:A$42)-ROW('DONNÉES BRUTES'!A$3))/1000,0),0))),"—")</f>
        <v/>
      </c>
      <c r="I22">
        <f t="array" ref="I22">IFERROR(IF(12&gt;COUNTIF('DONNÉES BRUTES'!C$3:C$42,"Real Estate"),"",INDEX('DONNÉES BRUTES'!M$3:M$42,MATCH(LARGE(IF('DONNÉES BRUTES'!C$3:C$42="Real Estate",'DONNÉES BRUTES'!AB$3:AB$42+(ROW('DONNÉES BRUTES'!A$3:A$42)-ROW('DONNÉES BRUTES'!A$3))/1000,0),12),IF('DONNÉES BRUTES'!C$3:C$42="Real Estate",'DONNÉES BRUTES'!AB$3:AB$42+(ROW('DONNÉES BRUTES'!A$3:A$42)-ROW('DONNÉES BRUTES'!A$3))/1000,0),0))),"—")</f>
        <v/>
      </c>
      <c r="J22">
        <f t="array" ref="J22">IFERROR(IF(12&gt;COUNTIF('DONNÉES BRUTES'!C$3:C$42,"Real Estate"),"",INDEX('DONNÉES BRUTES'!N$3:N$42,MATCH(LARGE(IF('DONNÉES BRUTES'!C$3:C$42="Real Estate",'DONNÉES BRUTES'!AB$3:AB$42+(ROW('DONNÉES BRUTES'!A$3:A$42)-ROW('DONNÉES BRUTES'!A$3))/1000,0),12),IF('DONNÉES BRUTES'!C$3:C$42="Real Estate",'DONNÉES BRUTES'!AB$3:AB$42+(ROW('DONNÉES BRUTES'!A$3:A$42)-ROW('DONNÉES BRUTES'!A$3))/1000,0),0))),"—")</f>
        <v/>
      </c>
      <c r="K22">
        <f t="array" ref="K22">IFERROR(IF(12&gt;COUNTIF('DONNÉES BRUTES'!C$3:C$42,"Real Estate"),"",INDEX('DONNÉES BRUTES'!O$3:O$42,MATCH(LARGE(IF('DONNÉES BRUTES'!C$3:C$42="Real Estate",'DONNÉES BRUTES'!AB$3:AB$42+(ROW('DONNÉES BRUTES'!A$3:A$42)-ROW('DONNÉES BRUTES'!A$3))/1000,0),12),IF('DONNÉES BRUTES'!C$3:C$42="Real Estate",'DONNÉES BRUTES'!AB$3:AB$42+(ROW('DONNÉES BRUTES'!A$3:A$42)-ROW('DONNÉES BRUTES'!A$3))/1000,0),0))),"—")</f>
        <v/>
      </c>
      <c r="L22">
        <f t="array" ref="L22">IFERROR(IF(12&gt;COUNTIF('DONNÉES BRUTES'!C$3:C$42,"Real Estate"),"",INDEX('DONNÉES BRUTES'!P$3:P$42,MATCH(LARGE(IF('DONNÉES BRUTES'!C$3:C$42="Real Estate",'DONNÉES BRUTES'!AB$3:AB$42+(ROW('DONNÉES BRUTES'!A$3:A$42)-ROW('DONNÉES BRUTES'!A$3))/1000,0),12),IF('DONNÉES BRUTES'!C$3:C$42="Real Estate",'DONNÉES BRUTES'!AB$3:AB$42+(ROW('DONNÉES BRUTES'!A$3:A$42)-ROW('DONNÉES BRUTES'!A$3))/1000,0),0))),"—")</f>
        <v/>
      </c>
      <c r="M22">
        <f t="array" ref="M22">IFERROR(IF(12&gt;COUNTIF('DONNÉES BRUTES'!C$3:C$42,"Real Estate"),"",INDEX('DONNÉES BRUTES'!Q$3:Q$42,MATCH(LARGE(IF('DONNÉES BRUTES'!C$3:C$42="Real Estate",'DONNÉES BRUTES'!AB$3:AB$42+(ROW('DONNÉES BRUTES'!A$3:A$42)-ROW('DONNÉES BRUTES'!A$3))/1000,0),12),IF('DONNÉES BRUTES'!C$3:C$42="Real Estate",'DONNÉES BRUTES'!AB$3:AB$42+(ROW('DONNÉES BRUTES'!A$3:A$42)-ROW('DONNÉES BRUTES'!A$3))/1000,0),0))),"—")</f>
        <v/>
      </c>
      <c r="N22">
        <f t="array" ref="N22">IFERROR(IF(12&gt;COUNTIF('DONNÉES BRUTES'!C$3:C$42,"Real Estate"),"",INDEX('DONNÉES BRUTES'!S$3:S$42,MATCH(LARGE(IF('DONNÉES BRUTES'!C$3:C$42="Real Estate",'DONNÉES BRUTES'!AB$3:AB$42+(ROW('DONNÉES BRUTES'!A$3:A$42)-ROW('DONNÉES BRUTES'!A$3))/1000,0),12),IF('DONNÉES BRUTES'!C$3:C$42="Real Estate",'DONNÉES BRUTES'!AB$3:AB$42+(ROW('DONNÉES BRUTES'!A$3:A$42)-ROW('DONNÉES BRUTES'!A$3))/1000,0),0))),"—")</f>
        <v/>
      </c>
      <c r="O22">
        <f t="array" ref="O22">IFERROR(IF(12&gt;COUNTIF('DONNÉES BRUTES'!C$3:C$42,"Real Estate"),"",INDEX('DONNÉES BRUTES'!T$3:T$42,MATCH(LARGE(IF('DONNÉES BRUTES'!C$3:C$42="Real Estate",'DONNÉES BRUTES'!AB$3:AB$42+(ROW('DONNÉES BRUTES'!A$3:A$42)-ROW('DONNÉES BRUTES'!A$3))/1000,0),12),IF('DONNÉES BRUTES'!C$3:C$42="Real Estate",'DONNÉES BRUTES'!AB$3:AB$42+(ROW('DONNÉES BRUTES'!A$3:A$42)-ROW('DONNÉES BRUTES'!A$3))/1000,0),0))),"—")</f>
        <v/>
      </c>
      <c r="P22">
        <f t="array" ref="P22">IFERROR(IF(12&gt;COUNTIF('DONNÉES BRUTES'!C$3:C$42,"Real Estate"),"",INDEX('DONNÉES BRUTES'!U$3:U$42,MATCH(LARGE(IF('DONNÉES BRUTES'!C$3:C$42="Real Estate",'DONNÉES BRUTES'!AB$3:AB$42+(ROW('DONNÉES BRUTES'!A$3:A$42)-ROW('DONNÉES BRUTES'!A$3))/1000,0),12),IF('DONNÉES BRUTES'!C$3:C$42="Real Estate",'DONNÉES BRUTES'!AB$3:AB$42+(ROW('DONNÉES BRUTES'!A$3:A$42)-ROW('DONNÉES BRUTES'!A$3))/1000,0),0))),"—")</f>
        <v/>
      </c>
      <c r="Q22">
        <f t="array" ref="Q22">IFERROR(IF(12&gt;COUNTIF('DONNÉES BRUTES'!C$3:C$42,"Real Estate"),"",INDEX('DONNÉES BRUTES'!AD$3:AD$42,MATCH(LARGE(IF('DONNÉES BRUTES'!C$3:C$42="Real Estate",'DONNÉES BRUTES'!AB$3:AB$42+(ROW('DONNÉES BRUTES'!A$3:A$42)-ROW('DONNÉES BRUTES'!A$3))/1000,0),12),IF('DONNÉES BRUTES'!C$3:C$42="Real Estate",'DONNÉES BRUTES'!AB$3:AB$42+(ROW('DONNÉES BRUTES'!A$3:A$42)-ROW('DONNÉES BRUTES'!A$3))/1000,0),0))),"—")</f>
        <v/>
      </c>
    </row>
    <row r="23" ht="15.95" customHeight="1">
      <c r="B23">
        <f>IF(13&gt;COUNTIF('DONNÉES BRUTES'!C$3:C$42,"Real Estate"),"",13)</f>
        <v/>
      </c>
      <c r="C23">
        <f t="array" ref="C23">IFERROR(IF(13&gt;COUNTIF('DONNÉES BRUTES'!C$3:C$42,"Real Estate"),"",INDEX('DONNÉES BRUTES'!A$3:A$42,MATCH(LARGE(IF('DONNÉES BRUTES'!C$3:C$42="Real Estate",'DONNÉES BRUTES'!AB$3:AB$42+(ROW('DONNÉES BRUTES'!A$3:A$42)-ROW('DONNÉES BRUTES'!A$3))/1000,0),13),IF('DONNÉES BRUTES'!C$3:C$42="Real Estate",'DONNÉES BRUTES'!AB$3:AB$42+(ROW('DONNÉES BRUTES'!A$3:A$42)-ROW('DONNÉES BRUTES'!A$3))/1000,0),0))),"—")</f>
        <v/>
      </c>
      <c r="D23">
        <f t="array" ref="D23">IFERROR(IF(13&gt;COUNTIF('DONNÉES BRUTES'!C$3:C$42,"Real Estate"),"",INDEX('DONNÉES BRUTES'!B$3:B$42,MATCH(LARGE(IF('DONNÉES BRUTES'!C$3:C$42="Real Estate",'DONNÉES BRUTES'!AB$3:AB$42+(ROW('DONNÉES BRUTES'!A$3:A$42)-ROW('DONNÉES BRUTES'!A$3))/1000,0),13),IF('DONNÉES BRUTES'!C$3:C$42="Real Estate",'DONNÉES BRUTES'!AB$3:AB$42+(ROW('DONNÉES BRUTES'!A$3:A$42)-ROW('DONNÉES BRUTES'!A$3))/1000,0),0))),"—")</f>
        <v/>
      </c>
      <c r="E23">
        <f t="array" ref="E23">IFERROR(IF(13&gt;COUNTIF('DONNÉES BRUTES'!C$3:C$42,"Real Estate"),"",INT(LARGE(IF('DONNÉES BRUTES'!C$3:C$42="Real Estate",'DONNÉES BRUTES'!AB$3:AB$42+(ROW('DONNÉES BRUTES'!A$3:A$42)-ROW('DONNÉES BRUTES'!A$3))/1000,0),13))&amp;"/100"),"—")</f>
        <v/>
      </c>
      <c r="F23">
        <f t="array" ref="F23">IFERROR(IF(13&gt;COUNTIF('DONNÉES BRUTES'!C$3:C$42,"Real Estate"),"",INDEX('DONNÉES BRUTES'!Y$3:Y$42,MATCH(LARGE(IF('DONNÉES BRUTES'!C$3:C$42="Real Estate",'DONNÉES BRUTES'!AB$3:AB$42+(ROW('DONNÉES BRUTES'!A$3:A$42)-ROW('DONNÉES BRUTES'!A$3))/1000,0),13),IF('DONNÉES BRUTES'!C$3:C$42="Real Estate",'DONNÉES BRUTES'!AB$3:AB$42+(ROW('DONNÉES BRUTES'!A$3:A$42)-ROW('DONNÉES BRUTES'!A$3))/1000,0),0))),"—")</f>
        <v/>
      </c>
      <c r="G23">
        <f t="array" ref="G23">IFERROR(IF(13&gt;COUNTIF('DONNÉES BRUTES'!C$3:C$42,"Real Estate"),"",INDEX('DONNÉES BRUTES'!Z$3:Z$42,MATCH(LARGE(IF('DONNÉES BRUTES'!C$3:C$42="Real Estate",'DONNÉES BRUTES'!AB$3:AB$42+(ROW('DONNÉES BRUTES'!A$3:A$42)-ROW('DONNÉES BRUTES'!A$3))/1000,0),13),IF('DONNÉES BRUTES'!C$3:C$42="Real Estate",'DONNÉES BRUTES'!AB$3:AB$42+(ROW('DONNÉES BRUTES'!A$3:A$42)-ROW('DONNÉES BRUTES'!A$3))/1000,0),0))),"—")</f>
        <v/>
      </c>
      <c r="H23">
        <f t="array" ref="H23">IFERROR(IF(13&gt;COUNTIF('DONNÉES BRUTES'!C$3:C$42,"Real Estate"),"",INDEX('DONNÉES BRUTES'!AA$3:AA$42,MATCH(LARGE(IF('DONNÉES BRUTES'!C$3:C$42="Real Estate",'DONNÉES BRUTES'!AB$3:AB$42+(ROW('DONNÉES BRUTES'!A$3:A$42)-ROW('DONNÉES BRUTES'!A$3))/1000,0),13),IF('DONNÉES BRUTES'!C$3:C$42="Real Estate",'DONNÉES BRUTES'!AB$3:AB$42+(ROW('DONNÉES BRUTES'!A$3:A$42)-ROW('DONNÉES BRUTES'!A$3))/1000,0),0))),"—")</f>
        <v/>
      </c>
      <c r="I23">
        <f t="array" ref="I23">IFERROR(IF(13&gt;COUNTIF('DONNÉES BRUTES'!C$3:C$42,"Real Estate"),"",INDEX('DONNÉES BRUTES'!M$3:M$42,MATCH(LARGE(IF('DONNÉES BRUTES'!C$3:C$42="Real Estate",'DONNÉES BRUTES'!AB$3:AB$42+(ROW('DONNÉES BRUTES'!A$3:A$42)-ROW('DONNÉES BRUTES'!A$3))/1000,0),13),IF('DONNÉES BRUTES'!C$3:C$42="Real Estate",'DONNÉES BRUTES'!AB$3:AB$42+(ROW('DONNÉES BRUTES'!A$3:A$42)-ROW('DONNÉES BRUTES'!A$3))/1000,0),0))),"—")</f>
        <v/>
      </c>
      <c r="J23">
        <f t="array" ref="J23">IFERROR(IF(13&gt;COUNTIF('DONNÉES BRUTES'!C$3:C$42,"Real Estate"),"",INDEX('DONNÉES BRUTES'!N$3:N$42,MATCH(LARGE(IF('DONNÉES BRUTES'!C$3:C$42="Real Estate",'DONNÉES BRUTES'!AB$3:AB$42+(ROW('DONNÉES BRUTES'!A$3:A$42)-ROW('DONNÉES BRUTES'!A$3))/1000,0),13),IF('DONNÉES BRUTES'!C$3:C$42="Real Estate",'DONNÉES BRUTES'!AB$3:AB$42+(ROW('DONNÉES BRUTES'!A$3:A$42)-ROW('DONNÉES BRUTES'!A$3))/1000,0),0))),"—")</f>
        <v/>
      </c>
      <c r="K23">
        <f t="array" ref="K23">IFERROR(IF(13&gt;COUNTIF('DONNÉES BRUTES'!C$3:C$42,"Real Estate"),"",INDEX('DONNÉES BRUTES'!O$3:O$42,MATCH(LARGE(IF('DONNÉES BRUTES'!C$3:C$42="Real Estate",'DONNÉES BRUTES'!AB$3:AB$42+(ROW('DONNÉES BRUTES'!A$3:A$42)-ROW('DONNÉES BRUTES'!A$3))/1000,0),13),IF('DONNÉES BRUTES'!C$3:C$42="Real Estate",'DONNÉES BRUTES'!AB$3:AB$42+(ROW('DONNÉES BRUTES'!A$3:A$42)-ROW('DONNÉES BRUTES'!A$3))/1000,0),0))),"—")</f>
        <v/>
      </c>
      <c r="L23">
        <f t="array" ref="L23">IFERROR(IF(13&gt;COUNTIF('DONNÉES BRUTES'!C$3:C$42,"Real Estate"),"",INDEX('DONNÉES BRUTES'!P$3:P$42,MATCH(LARGE(IF('DONNÉES BRUTES'!C$3:C$42="Real Estate",'DONNÉES BRUTES'!AB$3:AB$42+(ROW('DONNÉES BRUTES'!A$3:A$42)-ROW('DONNÉES BRUTES'!A$3))/1000,0),13),IF('DONNÉES BRUTES'!C$3:C$42="Real Estate",'DONNÉES BRUTES'!AB$3:AB$42+(ROW('DONNÉES BRUTES'!A$3:A$42)-ROW('DONNÉES BRUTES'!A$3))/1000,0),0))),"—")</f>
        <v/>
      </c>
      <c r="M23">
        <f t="array" ref="M23">IFERROR(IF(13&gt;COUNTIF('DONNÉES BRUTES'!C$3:C$42,"Real Estate"),"",INDEX('DONNÉES BRUTES'!Q$3:Q$42,MATCH(LARGE(IF('DONNÉES BRUTES'!C$3:C$42="Real Estate",'DONNÉES BRUTES'!AB$3:AB$42+(ROW('DONNÉES BRUTES'!A$3:A$42)-ROW('DONNÉES BRUTES'!A$3))/1000,0),13),IF('DONNÉES BRUTES'!C$3:C$42="Real Estate",'DONNÉES BRUTES'!AB$3:AB$42+(ROW('DONNÉES BRUTES'!A$3:A$42)-ROW('DONNÉES BRUTES'!A$3))/1000,0),0))),"—")</f>
        <v/>
      </c>
      <c r="N23">
        <f t="array" ref="N23">IFERROR(IF(13&gt;COUNTIF('DONNÉES BRUTES'!C$3:C$42,"Real Estate"),"",INDEX('DONNÉES BRUTES'!S$3:S$42,MATCH(LARGE(IF('DONNÉES BRUTES'!C$3:C$42="Real Estate",'DONNÉES BRUTES'!AB$3:AB$42+(ROW('DONNÉES BRUTES'!A$3:A$42)-ROW('DONNÉES BRUTES'!A$3))/1000,0),13),IF('DONNÉES BRUTES'!C$3:C$42="Real Estate",'DONNÉES BRUTES'!AB$3:AB$42+(ROW('DONNÉES BRUTES'!A$3:A$42)-ROW('DONNÉES BRUTES'!A$3))/1000,0),0))),"—")</f>
        <v/>
      </c>
      <c r="O23">
        <f t="array" ref="O23">IFERROR(IF(13&gt;COUNTIF('DONNÉES BRUTES'!C$3:C$42,"Real Estate"),"",INDEX('DONNÉES BRUTES'!T$3:T$42,MATCH(LARGE(IF('DONNÉES BRUTES'!C$3:C$42="Real Estate",'DONNÉES BRUTES'!AB$3:AB$42+(ROW('DONNÉES BRUTES'!A$3:A$42)-ROW('DONNÉES BRUTES'!A$3))/1000,0),13),IF('DONNÉES BRUTES'!C$3:C$42="Real Estate",'DONNÉES BRUTES'!AB$3:AB$42+(ROW('DONNÉES BRUTES'!A$3:A$42)-ROW('DONNÉES BRUTES'!A$3))/1000,0),0))),"—")</f>
        <v/>
      </c>
      <c r="P23">
        <f t="array" ref="P23">IFERROR(IF(13&gt;COUNTIF('DONNÉES BRUTES'!C$3:C$42,"Real Estate"),"",INDEX('DONNÉES BRUTES'!U$3:U$42,MATCH(LARGE(IF('DONNÉES BRUTES'!C$3:C$42="Real Estate",'DONNÉES BRUTES'!AB$3:AB$42+(ROW('DONNÉES BRUTES'!A$3:A$42)-ROW('DONNÉES BRUTES'!A$3))/1000,0),13),IF('DONNÉES BRUTES'!C$3:C$42="Real Estate",'DONNÉES BRUTES'!AB$3:AB$42+(ROW('DONNÉES BRUTES'!A$3:A$42)-ROW('DONNÉES BRUTES'!A$3))/1000,0),0))),"—")</f>
        <v/>
      </c>
      <c r="Q23">
        <f t="array" ref="Q23">IFERROR(IF(13&gt;COUNTIF('DONNÉES BRUTES'!C$3:C$42,"Real Estate"),"",INDEX('DONNÉES BRUTES'!AD$3:AD$42,MATCH(LARGE(IF('DONNÉES BRUTES'!C$3:C$42="Real Estate",'DONNÉES BRUTES'!AB$3:AB$42+(ROW('DONNÉES BRUTES'!A$3:A$42)-ROW('DONNÉES BRUTES'!A$3))/1000,0),13),IF('DONNÉES BRUTES'!C$3:C$42="Real Estate",'DONNÉES BRUTES'!AB$3:AB$42+(ROW('DONNÉES BRUTES'!A$3:A$42)-ROW('DONNÉES BRUTES'!A$3))/1000,0),0))),"—")</f>
        <v/>
      </c>
    </row>
    <row r="24" ht="15.95" customHeight="1">
      <c r="B24">
        <f>IF(14&gt;COUNTIF('DONNÉES BRUTES'!C$3:C$42,"Real Estate"),"",14)</f>
        <v/>
      </c>
      <c r="C24">
        <f t="array" ref="C24">IFERROR(IF(14&gt;COUNTIF('DONNÉES BRUTES'!C$3:C$42,"Real Estate"),"",INDEX('DONNÉES BRUTES'!A$3:A$42,MATCH(LARGE(IF('DONNÉES BRUTES'!C$3:C$42="Real Estate",'DONNÉES BRUTES'!AB$3:AB$42+(ROW('DONNÉES BRUTES'!A$3:A$42)-ROW('DONNÉES BRUTES'!A$3))/1000,0),14),IF('DONNÉES BRUTES'!C$3:C$42="Real Estate",'DONNÉES BRUTES'!AB$3:AB$42+(ROW('DONNÉES BRUTES'!A$3:A$42)-ROW('DONNÉES BRUTES'!A$3))/1000,0),0))),"—")</f>
        <v/>
      </c>
      <c r="D24">
        <f t="array" ref="D24">IFERROR(IF(14&gt;COUNTIF('DONNÉES BRUTES'!C$3:C$42,"Real Estate"),"",INDEX('DONNÉES BRUTES'!B$3:B$42,MATCH(LARGE(IF('DONNÉES BRUTES'!C$3:C$42="Real Estate",'DONNÉES BRUTES'!AB$3:AB$42+(ROW('DONNÉES BRUTES'!A$3:A$42)-ROW('DONNÉES BRUTES'!A$3))/1000,0),14),IF('DONNÉES BRUTES'!C$3:C$42="Real Estate",'DONNÉES BRUTES'!AB$3:AB$42+(ROW('DONNÉES BRUTES'!A$3:A$42)-ROW('DONNÉES BRUTES'!A$3))/1000,0),0))),"—")</f>
        <v/>
      </c>
      <c r="E24">
        <f t="array" ref="E24">IFERROR(IF(14&gt;COUNTIF('DONNÉES BRUTES'!C$3:C$42,"Real Estate"),"",INT(LARGE(IF('DONNÉES BRUTES'!C$3:C$42="Real Estate",'DONNÉES BRUTES'!AB$3:AB$42+(ROW('DONNÉES BRUTES'!A$3:A$42)-ROW('DONNÉES BRUTES'!A$3))/1000,0),14))&amp;"/100"),"—")</f>
        <v/>
      </c>
      <c r="F24">
        <f t="array" ref="F24">IFERROR(IF(14&gt;COUNTIF('DONNÉES BRUTES'!C$3:C$42,"Real Estate"),"",INDEX('DONNÉES BRUTES'!Y$3:Y$42,MATCH(LARGE(IF('DONNÉES BRUTES'!C$3:C$42="Real Estate",'DONNÉES BRUTES'!AB$3:AB$42+(ROW('DONNÉES BRUTES'!A$3:A$42)-ROW('DONNÉES BRUTES'!A$3))/1000,0),14),IF('DONNÉES BRUTES'!C$3:C$42="Real Estate",'DONNÉES BRUTES'!AB$3:AB$42+(ROW('DONNÉES BRUTES'!A$3:A$42)-ROW('DONNÉES BRUTES'!A$3))/1000,0),0))),"—")</f>
        <v/>
      </c>
      <c r="G24">
        <f t="array" ref="G24">IFERROR(IF(14&gt;COUNTIF('DONNÉES BRUTES'!C$3:C$42,"Real Estate"),"",INDEX('DONNÉES BRUTES'!Z$3:Z$42,MATCH(LARGE(IF('DONNÉES BRUTES'!C$3:C$42="Real Estate",'DONNÉES BRUTES'!AB$3:AB$42+(ROW('DONNÉES BRUTES'!A$3:A$42)-ROW('DONNÉES BRUTES'!A$3))/1000,0),14),IF('DONNÉES BRUTES'!C$3:C$42="Real Estate",'DONNÉES BRUTES'!AB$3:AB$42+(ROW('DONNÉES BRUTES'!A$3:A$42)-ROW('DONNÉES BRUTES'!A$3))/1000,0),0))),"—")</f>
        <v/>
      </c>
      <c r="H24">
        <f t="array" ref="H24">IFERROR(IF(14&gt;COUNTIF('DONNÉES BRUTES'!C$3:C$42,"Real Estate"),"",INDEX('DONNÉES BRUTES'!AA$3:AA$42,MATCH(LARGE(IF('DONNÉES BRUTES'!C$3:C$42="Real Estate",'DONNÉES BRUTES'!AB$3:AB$42+(ROW('DONNÉES BRUTES'!A$3:A$42)-ROW('DONNÉES BRUTES'!A$3))/1000,0),14),IF('DONNÉES BRUTES'!C$3:C$42="Real Estate",'DONNÉES BRUTES'!AB$3:AB$42+(ROW('DONNÉES BRUTES'!A$3:A$42)-ROW('DONNÉES BRUTES'!A$3))/1000,0),0))),"—")</f>
        <v/>
      </c>
      <c r="I24">
        <f t="array" ref="I24">IFERROR(IF(14&gt;COUNTIF('DONNÉES BRUTES'!C$3:C$42,"Real Estate"),"",INDEX('DONNÉES BRUTES'!M$3:M$42,MATCH(LARGE(IF('DONNÉES BRUTES'!C$3:C$42="Real Estate",'DONNÉES BRUTES'!AB$3:AB$42+(ROW('DONNÉES BRUTES'!A$3:A$42)-ROW('DONNÉES BRUTES'!A$3))/1000,0),14),IF('DONNÉES BRUTES'!C$3:C$42="Real Estate",'DONNÉES BRUTES'!AB$3:AB$42+(ROW('DONNÉES BRUTES'!A$3:A$42)-ROW('DONNÉES BRUTES'!A$3))/1000,0),0))),"—")</f>
        <v/>
      </c>
      <c r="J24">
        <f t="array" ref="J24">IFERROR(IF(14&gt;COUNTIF('DONNÉES BRUTES'!C$3:C$42,"Real Estate"),"",INDEX('DONNÉES BRUTES'!N$3:N$42,MATCH(LARGE(IF('DONNÉES BRUTES'!C$3:C$42="Real Estate",'DONNÉES BRUTES'!AB$3:AB$42+(ROW('DONNÉES BRUTES'!A$3:A$42)-ROW('DONNÉES BRUTES'!A$3))/1000,0),14),IF('DONNÉES BRUTES'!C$3:C$42="Real Estate",'DONNÉES BRUTES'!AB$3:AB$42+(ROW('DONNÉES BRUTES'!A$3:A$42)-ROW('DONNÉES BRUTES'!A$3))/1000,0),0))),"—")</f>
        <v/>
      </c>
      <c r="K24">
        <f t="array" ref="K24">IFERROR(IF(14&gt;COUNTIF('DONNÉES BRUTES'!C$3:C$42,"Real Estate"),"",INDEX('DONNÉES BRUTES'!O$3:O$42,MATCH(LARGE(IF('DONNÉES BRUTES'!C$3:C$42="Real Estate",'DONNÉES BRUTES'!AB$3:AB$42+(ROW('DONNÉES BRUTES'!A$3:A$42)-ROW('DONNÉES BRUTES'!A$3))/1000,0),14),IF('DONNÉES BRUTES'!C$3:C$42="Real Estate",'DONNÉES BRUTES'!AB$3:AB$42+(ROW('DONNÉES BRUTES'!A$3:A$42)-ROW('DONNÉES BRUTES'!A$3))/1000,0),0))),"—")</f>
        <v/>
      </c>
      <c r="L24">
        <f t="array" ref="L24">IFERROR(IF(14&gt;COUNTIF('DONNÉES BRUTES'!C$3:C$42,"Real Estate"),"",INDEX('DONNÉES BRUTES'!P$3:P$42,MATCH(LARGE(IF('DONNÉES BRUTES'!C$3:C$42="Real Estate",'DONNÉES BRUTES'!AB$3:AB$42+(ROW('DONNÉES BRUTES'!A$3:A$42)-ROW('DONNÉES BRUTES'!A$3))/1000,0),14),IF('DONNÉES BRUTES'!C$3:C$42="Real Estate",'DONNÉES BRUTES'!AB$3:AB$42+(ROW('DONNÉES BRUTES'!A$3:A$42)-ROW('DONNÉES BRUTES'!A$3))/1000,0),0))),"—")</f>
        <v/>
      </c>
      <c r="M24">
        <f t="array" ref="M24">IFERROR(IF(14&gt;COUNTIF('DONNÉES BRUTES'!C$3:C$42,"Real Estate"),"",INDEX('DONNÉES BRUTES'!Q$3:Q$42,MATCH(LARGE(IF('DONNÉES BRUTES'!C$3:C$42="Real Estate",'DONNÉES BRUTES'!AB$3:AB$42+(ROW('DONNÉES BRUTES'!A$3:A$42)-ROW('DONNÉES BRUTES'!A$3))/1000,0),14),IF('DONNÉES BRUTES'!C$3:C$42="Real Estate",'DONNÉES BRUTES'!AB$3:AB$42+(ROW('DONNÉES BRUTES'!A$3:A$42)-ROW('DONNÉES BRUTES'!A$3))/1000,0),0))),"—")</f>
        <v/>
      </c>
      <c r="N24">
        <f t="array" ref="N24">IFERROR(IF(14&gt;COUNTIF('DONNÉES BRUTES'!C$3:C$42,"Real Estate"),"",INDEX('DONNÉES BRUTES'!S$3:S$42,MATCH(LARGE(IF('DONNÉES BRUTES'!C$3:C$42="Real Estate",'DONNÉES BRUTES'!AB$3:AB$42+(ROW('DONNÉES BRUTES'!A$3:A$42)-ROW('DONNÉES BRUTES'!A$3))/1000,0),14),IF('DONNÉES BRUTES'!C$3:C$42="Real Estate",'DONNÉES BRUTES'!AB$3:AB$42+(ROW('DONNÉES BRUTES'!A$3:A$42)-ROW('DONNÉES BRUTES'!A$3))/1000,0),0))),"—")</f>
        <v/>
      </c>
      <c r="O24">
        <f t="array" ref="O24">IFERROR(IF(14&gt;COUNTIF('DONNÉES BRUTES'!C$3:C$42,"Real Estate"),"",INDEX('DONNÉES BRUTES'!T$3:T$42,MATCH(LARGE(IF('DONNÉES BRUTES'!C$3:C$42="Real Estate",'DONNÉES BRUTES'!AB$3:AB$42+(ROW('DONNÉES BRUTES'!A$3:A$42)-ROW('DONNÉES BRUTES'!A$3))/1000,0),14),IF('DONNÉES BRUTES'!C$3:C$42="Real Estate",'DONNÉES BRUTES'!AB$3:AB$42+(ROW('DONNÉES BRUTES'!A$3:A$42)-ROW('DONNÉES BRUTES'!A$3))/1000,0),0))),"—")</f>
        <v/>
      </c>
      <c r="P24">
        <f t="array" ref="P24">IFERROR(IF(14&gt;COUNTIF('DONNÉES BRUTES'!C$3:C$42,"Real Estate"),"",INDEX('DONNÉES BRUTES'!U$3:U$42,MATCH(LARGE(IF('DONNÉES BRUTES'!C$3:C$42="Real Estate",'DONNÉES BRUTES'!AB$3:AB$42+(ROW('DONNÉES BRUTES'!A$3:A$42)-ROW('DONNÉES BRUTES'!A$3))/1000,0),14),IF('DONNÉES BRUTES'!C$3:C$42="Real Estate",'DONNÉES BRUTES'!AB$3:AB$42+(ROW('DONNÉES BRUTES'!A$3:A$42)-ROW('DONNÉES BRUTES'!A$3))/1000,0),0))),"—")</f>
        <v/>
      </c>
      <c r="Q24">
        <f t="array" ref="Q24">IFERROR(IF(14&gt;COUNTIF('DONNÉES BRUTES'!C$3:C$42,"Real Estate"),"",INDEX('DONNÉES BRUTES'!AD$3:AD$42,MATCH(LARGE(IF('DONNÉES BRUTES'!C$3:C$42="Real Estate",'DONNÉES BRUTES'!AB$3:AB$42+(ROW('DONNÉES BRUTES'!A$3:A$42)-ROW('DONNÉES BRUTES'!A$3))/1000,0),14),IF('DONNÉES BRUTES'!C$3:C$42="Real Estate",'DONNÉES BRUTES'!AB$3:AB$42+(ROW('DONNÉES BRUTES'!A$3:A$42)-ROW('DONNÉES BRUTES'!A$3))/1000,0),0))),"—")</f>
        <v/>
      </c>
    </row>
    <row r="25" ht="15.95" customHeight="1">
      <c r="B25">
        <f>IF(15&gt;COUNTIF('DONNÉES BRUTES'!C$3:C$42,"Real Estate"),"",15)</f>
        <v/>
      </c>
      <c r="C25">
        <f t="array" ref="C25">IFERROR(IF(15&gt;COUNTIF('DONNÉES BRUTES'!C$3:C$42,"Real Estate"),"",INDEX('DONNÉES BRUTES'!A$3:A$42,MATCH(LARGE(IF('DONNÉES BRUTES'!C$3:C$42="Real Estate",'DONNÉES BRUTES'!AB$3:AB$42+(ROW('DONNÉES BRUTES'!A$3:A$42)-ROW('DONNÉES BRUTES'!A$3))/1000,0),15),IF('DONNÉES BRUTES'!C$3:C$42="Real Estate",'DONNÉES BRUTES'!AB$3:AB$42+(ROW('DONNÉES BRUTES'!A$3:A$42)-ROW('DONNÉES BRUTES'!A$3))/1000,0),0))),"—")</f>
        <v/>
      </c>
      <c r="D25">
        <f t="array" ref="D25">IFERROR(IF(15&gt;COUNTIF('DONNÉES BRUTES'!C$3:C$42,"Real Estate"),"",INDEX('DONNÉES BRUTES'!B$3:B$42,MATCH(LARGE(IF('DONNÉES BRUTES'!C$3:C$42="Real Estate",'DONNÉES BRUTES'!AB$3:AB$42+(ROW('DONNÉES BRUTES'!A$3:A$42)-ROW('DONNÉES BRUTES'!A$3))/1000,0),15),IF('DONNÉES BRUTES'!C$3:C$42="Real Estate",'DONNÉES BRUTES'!AB$3:AB$42+(ROW('DONNÉES BRUTES'!A$3:A$42)-ROW('DONNÉES BRUTES'!A$3))/1000,0),0))),"—")</f>
        <v/>
      </c>
      <c r="E25">
        <f t="array" ref="E25">IFERROR(IF(15&gt;COUNTIF('DONNÉES BRUTES'!C$3:C$42,"Real Estate"),"",INT(LARGE(IF('DONNÉES BRUTES'!C$3:C$42="Real Estate",'DONNÉES BRUTES'!AB$3:AB$42+(ROW('DONNÉES BRUTES'!A$3:A$42)-ROW('DONNÉES BRUTES'!A$3))/1000,0),15))&amp;"/100"),"—")</f>
        <v/>
      </c>
      <c r="F25">
        <f t="array" ref="F25">IFERROR(IF(15&gt;COUNTIF('DONNÉES BRUTES'!C$3:C$42,"Real Estate"),"",INDEX('DONNÉES BRUTES'!Y$3:Y$42,MATCH(LARGE(IF('DONNÉES BRUTES'!C$3:C$42="Real Estate",'DONNÉES BRUTES'!AB$3:AB$42+(ROW('DONNÉES BRUTES'!A$3:A$42)-ROW('DONNÉES BRUTES'!A$3))/1000,0),15),IF('DONNÉES BRUTES'!C$3:C$42="Real Estate",'DONNÉES BRUTES'!AB$3:AB$42+(ROW('DONNÉES BRUTES'!A$3:A$42)-ROW('DONNÉES BRUTES'!A$3))/1000,0),0))),"—")</f>
        <v/>
      </c>
      <c r="G25">
        <f t="array" ref="G25">IFERROR(IF(15&gt;COUNTIF('DONNÉES BRUTES'!C$3:C$42,"Real Estate"),"",INDEX('DONNÉES BRUTES'!Z$3:Z$42,MATCH(LARGE(IF('DONNÉES BRUTES'!C$3:C$42="Real Estate",'DONNÉES BRUTES'!AB$3:AB$42+(ROW('DONNÉES BRUTES'!A$3:A$42)-ROW('DONNÉES BRUTES'!A$3))/1000,0),15),IF('DONNÉES BRUTES'!C$3:C$42="Real Estate",'DONNÉES BRUTES'!AB$3:AB$42+(ROW('DONNÉES BRUTES'!A$3:A$42)-ROW('DONNÉES BRUTES'!A$3))/1000,0),0))),"—")</f>
        <v/>
      </c>
      <c r="H25">
        <f t="array" ref="H25">IFERROR(IF(15&gt;COUNTIF('DONNÉES BRUTES'!C$3:C$42,"Real Estate"),"",INDEX('DONNÉES BRUTES'!AA$3:AA$42,MATCH(LARGE(IF('DONNÉES BRUTES'!C$3:C$42="Real Estate",'DONNÉES BRUTES'!AB$3:AB$42+(ROW('DONNÉES BRUTES'!A$3:A$42)-ROW('DONNÉES BRUTES'!A$3))/1000,0),15),IF('DONNÉES BRUTES'!C$3:C$42="Real Estate",'DONNÉES BRUTES'!AB$3:AB$42+(ROW('DONNÉES BRUTES'!A$3:A$42)-ROW('DONNÉES BRUTES'!A$3))/1000,0),0))),"—")</f>
        <v/>
      </c>
      <c r="I25">
        <f t="array" ref="I25">IFERROR(IF(15&gt;COUNTIF('DONNÉES BRUTES'!C$3:C$42,"Real Estate"),"",INDEX('DONNÉES BRUTES'!M$3:M$42,MATCH(LARGE(IF('DONNÉES BRUTES'!C$3:C$42="Real Estate",'DONNÉES BRUTES'!AB$3:AB$42+(ROW('DONNÉES BRUTES'!A$3:A$42)-ROW('DONNÉES BRUTES'!A$3))/1000,0),15),IF('DONNÉES BRUTES'!C$3:C$42="Real Estate",'DONNÉES BRUTES'!AB$3:AB$42+(ROW('DONNÉES BRUTES'!A$3:A$42)-ROW('DONNÉES BRUTES'!A$3))/1000,0),0))),"—")</f>
        <v/>
      </c>
      <c r="J25">
        <f t="array" ref="J25">IFERROR(IF(15&gt;COUNTIF('DONNÉES BRUTES'!C$3:C$42,"Real Estate"),"",INDEX('DONNÉES BRUTES'!N$3:N$42,MATCH(LARGE(IF('DONNÉES BRUTES'!C$3:C$42="Real Estate",'DONNÉES BRUTES'!AB$3:AB$42+(ROW('DONNÉES BRUTES'!A$3:A$42)-ROW('DONNÉES BRUTES'!A$3))/1000,0),15),IF('DONNÉES BRUTES'!C$3:C$42="Real Estate",'DONNÉES BRUTES'!AB$3:AB$42+(ROW('DONNÉES BRUTES'!A$3:A$42)-ROW('DONNÉES BRUTES'!A$3))/1000,0),0))),"—")</f>
        <v/>
      </c>
      <c r="K25">
        <f t="array" ref="K25">IFERROR(IF(15&gt;COUNTIF('DONNÉES BRUTES'!C$3:C$42,"Real Estate"),"",INDEX('DONNÉES BRUTES'!O$3:O$42,MATCH(LARGE(IF('DONNÉES BRUTES'!C$3:C$42="Real Estate",'DONNÉES BRUTES'!AB$3:AB$42+(ROW('DONNÉES BRUTES'!A$3:A$42)-ROW('DONNÉES BRUTES'!A$3))/1000,0),15),IF('DONNÉES BRUTES'!C$3:C$42="Real Estate",'DONNÉES BRUTES'!AB$3:AB$42+(ROW('DONNÉES BRUTES'!A$3:A$42)-ROW('DONNÉES BRUTES'!A$3))/1000,0),0))),"—")</f>
        <v/>
      </c>
      <c r="L25">
        <f t="array" ref="L25">IFERROR(IF(15&gt;COUNTIF('DONNÉES BRUTES'!C$3:C$42,"Real Estate"),"",INDEX('DONNÉES BRUTES'!P$3:P$42,MATCH(LARGE(IF('DONNÉES BRUTES'!C$3:C$42="Real Estate",'DONNÉES BRUTES'!AB$3:AB$42+(ROW('DONNÉES BRUTES'!A$3:A$42)-ROW('DONNÉES BRUTES'!A$3))/1000,0),15),IF('DONNÉES BRUTES'!C$3:C$42="Real Estate",'DONNÉES BRUTES'!AB$3:AB$42+(ROW('DONNÉES BRUTES'!A$3:A$42)-ROW('DONNÉES BRUTES'!A$3))/1000,0),0))),"—")</f>
        <v/>
      </c>
      <c r="M25">
        <f t="array" ref="M25">IFERROR(IF(15&gt;COUNTIF('DONNÉES BRUTES'!C$3:C$42,"Real Estate"),"",INDEX('DONNÉES BRUTES'!Q$3:Q$42,MATCH(LARGE(IF('DONNÉES BRUTES'!C$3:C$42="Real Estate",'DONNÉES BRUTES'!AB$3:AB$42+(ROW('DONNÉES BRUTES'!A$3:A$42)-ROW('DONNÉES BRUTES'!A$3))/1000,0),15),IF('DONNÉES BRUTES'!C$3:C$42="Real Estate",'DONNÉES BRUTES'!AB$3:AB$42+(ROW('DONNÉES BRUTES'!A$3:A$42)-ROW('DONNÉES BRUTES'!A$3))/1000,0),0))),"—")</f>
        <v/>
      </c>
      <c r="N25">
        <f t="array" ref="N25">IFERROR(IF(15&gt;COUNTIF('DONNÉES BRUTES'!C$3:C$42,"Real Estate"),"",INDEX('DONNÉES BRUTES'!S$3:S$42,MATCH(LARGE(IF('DONNÉES BRUTES'!C$3:C$42="Real Estate",'DONNÉES BRUTES'!AB$3:AB$42+(ROW('DONNÉES BRUTES'!A$3:A$42)-ROW('DONNÉES BRUTES'!A$3))/1000,0),15),IF('DONNÉES BRUTES'!C$3:C$42="Real Estate",'DONNÉES BRUTES'!AB$3:AB$42+(ROW('DONNÉES BRUTES'!A$3:A$42)-ROW('DONNÉES BRUTES'!A$3))/1000,0),0))),"—")</f>
        <v/>
      </c>
      <c r="O25">
        <f t="array" ref="O25">IFERROR(IF(15&gt;COUNTIF('DONNÉES BRUTES'!C$3:C$42,"Real Estate"),"",INDEX('DONNÉES BRUTES'!T$3:T$42,MATCH(LARGE(IF('DONNÉES BRUTES'!C$3:C$42="Real Estate",'DONNÉES BRUTES'!AB$3:AB$42+(ROW('DONNÉES BRUTES'!A$3:A$42)-ROW('DONNÉES BRUTES'!A$3))/1000,0),15),IF('DONNÉES BRUTES'!C$3:C$42="Real Estate",'DONNÉES BRUTES'!AB$3:AB$42+(ROW('DONNÉES BRUTES'!A$3:A$42)-ROW('DONNÉES BRUTES'!A$3))/1000,0),0))),"—")</f>
        <v/>
      </c>
      <c r="P25">
        <f t="array" ref="P25">IFERROR(IF(15&gt;COUNTIF('DONNÉES BRUTES'!C$3:C$42,"Real Estate"),"",INDEX('DONNÉES BRUTES'!U$3:U$42,MATCH(LARGE(IF('DONNÉES BRUTES'!C$3:C$42="Real Estate",'DONNÉES BRUTES'!AB$3:AB$42+(ROW('DONNÉES BRUTES'!A$3:A$42)-ROW('DONNÉES BRUTES'!A$3))/1000,0),15),IF('DONNÉES BRUTES'!C$3:C$42="Real Estate",'DONNÉES BRUTES'!AB$3:AB$42+(ROW('DONNÉES BRUTES'!A$3:A$42)-ROW('DONNÉES BRUTES'!A$3))/1000,0),0))),"—")</f>
        <v/>
      </c>
      <c r="Q25">
        <f t="array" ref="Q25">IFERROR(IF(15&gt;COUNTIF('DONNÉES BRUTES'!C$3:C$42,"Real Estate"),"",INDEX('DONNÉES BRUTES'!AD$3:AD$42,MATCH(LARGE(IF('DONNÉES BRUTES'!C$3:C$42="Real Estate",'DONNÉES BRUTES'!AB$3:AB$42+(ROW('DONNÉES BRUTES'!A$3:A$42)-ROW('DONNÉES BRUTES'!A$3))/1000,0),15),IF('DONNÉES BRUTES'!C$3:C$42="Real Estate",'DONNÉES BRUTES'!AB$3:AB$42+(ROW('DONNÉES BRUTES'!A$3:A$42)-ROW('DONNÉES BRUTES'!A$3))/1000,0),0))),"—")</f>
        <v/>
      </c>
    </row>
    <row r="26" ht="15.95" customHeight="1"/>
    <row r="27" ht="15.95" customHeight="1"/>
    <row r="28" ht="15.95" customHeight="1">
      <c r="S28" s="235" t="inlineStr">
        <is>
          <t>Société</t>
        </is>
      </c>
      <c r="T28" s="235" t="inlineStr">
        <is>
          <t>Score</t>
        </is>
      </c>
      <c r="U28" s="235" t="inlineStr">
        <is>
          <t>Growth</t>
        </is>
      </c>
      <c r="V28" s="235" t="inlineStr">
        <is>
          <t>Quality</t>
        </is>
      </c>
      <c r="W28" s="235" t="inlineStr">
        <is>
          <t>Momentum</t>
        </is>
      </c>
      <c r="X28" s="235" t="n"/>
      <c r="Y28" s="235" t="inlineStr">
        <is>
          <t>Société</t>
        </is>
      </c>
      <c r="Z28" s="235" t="inlineStr">
        <is>
          <t>Growth</t>
        </is>
      </c>
      <c r="AA28" s="235" t="inlineStr">
        <is>
          <t>Quality</t>
        </is>
      </c>
      <c r="AB28" s="235" t="inlineStr">
        <is>
          <t>Momentum</t>
        </is>
      </c>
    </row>
    <row r="29" ht="15.95" customHeight="1">
      <c r="S29" s="235">
        <f>IF(D11="","",LEFT(D11,14))</f>
        <v/>
      </c>
      <c r="T29" s="235">
        <f>IF(E11="","",IFERROR(VALUE(LEFT(E11,FIND("/",E11)-1)),0))</f>
        <v/>
      </c>
      <c r="U29" s="235">
        <f>IF(ISNUMBER(F11),F11,0)</f>
        <v/>
      </c>
      <c r="V29" s="235">
        <f>IF(ISNUMBER(G11),G11,0)</f>
        <v/>
      </c>
      <c r="W29" s="235">
        <f>IF(ISNUMBER(H11),H11,0)</f>
        <v/>
      </c>
      <c r="X29" s="235">
        <f>IF(ISNUMBER(F11),F11,"")</f>
        <v/>
      </c>
      <c r="Y29" s="235">
        <f>IF(ISNUMBER(G11),G11,"")</f>
        <v/>
      </c>
      <c r="Z29" s="235">
        <f>IF(ISNUMBER(H11),H11,"")</f>
        <v/>
      </c>
      <c r="AA29" s="235" t="n">
        <v>95</v>
      </c>
      <c r="AB29" s="235" t="n">
        <v>21</v>
      </c>
    </row>
    <row r="30" ht="15.95" customHeight="1"/>
  </sheetData>
  <mergeCells count="3">
    <mergeCell ref="B2:Q2"/>
    <mergeCell ref="B1:Q1"/>
    <mergeCell ref="B8:Q8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42"/>
  <sheetViews>
    <sheetView showGridLines="0" zoomScale="90" workbookViewId="0">
      <selection activeCell="A1" sqref="A1"/>
    </sheetView>
  </sheetViews>
  <sheetFormatPr baseColWidth="10" defaultColWidth="8.85546875" defaultRowHeight="15"/>
  <cols>
    <col width="14.7109375" customWidth="1" min="1" max="1"/>
    <col width="25.85546875" customWidth="1" min="2" max="2"/>
    <col width="21.28515625" customWidth="1" min="3" max="3"/>
    <col width="13.85546875" customWidth="1" min="4" max="4"/>
    <col width="14.7109375" customWidth="1" min="5" max="5"/>
    <col width="13.85546875" customWidth="1" min="6" max="6"/>
    <col width="15.7109375" customWidth="1" min="7" max="7"/>
    <col width="17.5703125" customWidth="1" min="8" max="8"/>
    <col width="17" customWidth="1" min="9" max="9"/>
    <col width="14.140625" customWidth="1" min="10" max="10"/>
    <col width="12.5703125" customWidth="1" min="11" max="12"/>
    <col width="15.28515625" customWidth="1" min="13" max="13"/>
    <col width="16.7109375" customWidth="1" min="14" max="14"/>
    <col width="15.28515625" customWidth="1" min="15" max="15"/>
    <col width="14.140625" customWidth="1" min="16" max="16"/>
    <col width="12.5703125" customWidth="1" min="17" max="18"/>
    <col width="14.7109375" customWidth="1" min="19" max="19"/>
    <col width="17.5703125" customWidth="1" min="20" max="20"/>
    <col width="14.7109375" customWidth="1" min="21" max="21"/>
    <col width="16.28515625" customWidth="1" min="22" max="22"/>
    <col width="15.28515625" customWidth="1" min="23" max="24"/>
    <col width="14.140625" customWidth="1" min="25" max="25"/>
    <col width="15.85546875" customWidth="1" min="26" max="27"/>
    <col width="17.42578125" customWidth="1" min="28" max="28"/>
    <col width="17" customWidth="1" min="29" max="29"/>
    <col width="15.28515625" customWidth="1" min="30" max="30"/>
  </cols>
  <sheetData>
    <row r="1" ht="28.15" customHeight="1" thickBot="1">
      <c r="A1" s="7" t="inlineStr">
        <is>
          <t>DONNÉES BRUTES  ·  Source de vérité  ·  CAC 40  ·  22/03/2026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F1" t="inlineStr">
        <is>
          <t>Ticker</t>
        </is>
      </c>
      <c r="AG1" t="inlineStr">
        <is>
          <t>Score Global</t>
        </is>
      </c>
      <c r="AH1" t="inlineStr">
        <is>
          <t>Mg EBITDA</t>
        </is>
      </c>
    </row>
    <row r="2">
      <c r="A2" s="6" t="inlineStr">
        <is>
          <t>Ticker</t>
        </is>
      </c>
      <c r="B2" s="6" t="inlineStr">
        <is>
          <t>Société</t>
        </is>
      </c>
      <c r="C2" s="6" t="inlineStr">
        <is>
          <t>Secteur</t>
        </is>
      </c>
      <c r="D2" s="6" t="inlineStr">
        <is>
          <t>Cours</t>
        </is>
      </c>
      <c r="E2" s="6" t="inlineStr">
        <is>
          <t>Mkt Cap</t>
        </is>
      </c>
      <c r="F2" s="6" t="inlineStr">
        <is>
          <t>EV</t>
        </is>
      </c>
      <c r="G2" s="6" t="inlineStr">
        <is>
          <t>Rev LTM</t>
        </is>
      </c>
      <c r="H2" s="6" t="inlineStr">
        <is>
          <t>EBITDA LTM</t>
        </is>
      </c>
      <c r="I2" s="6" t="inlineStr">
        <is>
          <t>EV/EBITDA</t>
        </is>
      </c>
      <c r="J2" s="6" t="inlineStr">
        <is>
          <t>EV/Rev</t>
        </is>
      </c>
      <c r="K2" s="6" t="inlineStr">
        <is>
          <t>P/E</t>
        </is>
      </c>
      <c r="L2" s="6" t="inlineStr">
        <is>
          <t>EPS</t>
        </is>
      </c>
      <c r="M2" s="6" t="inlineStr">
        <is>
          <t>Mg Brute</t>
        </is>
      </c>
      <c r="N2" s="6" t="inlineStr">
        <is>
          <t>Mg EBITDA</t>
        </is>
      </c>
      <c r="O2" s="6" t="inlineStr">
        <is>
          <t>Mg Nette</t>
        </is>
      </c>
      <c r="P2" s="6" t="inlineStr">
        <is>
          <t>Cro Rev</t>
        </is>
      </c>
      <c r="Q2" s="6" t="inlineStr">
        <is>
          <t>ROE</t>
        </is>
      </c>
      <c r="R2" s="6" t="inlineStr">
        <is>
          <t>ROA</t>
        </is>
      </c>
      <c r="S2" s="6" t="inlineStr">
        <is>
          <t>Current R</t>
        </is>
      </c>
      <c r="T2" s="6" t="inlineStr">
        <is>
          <t>ND/EBITDA</t>
        </is>
      </c>
      <c r="U2" s="6" t="inlineStr">
        <is>
          <t>Altman Z</t>
        </is>
      </c>
      <c r="V2" s="6" t="inlineStr">
        <is>
          <t>Beneish M</t>
        </is>
      </c>
      <c r="W2" s="6" t="inlineStr">
        <is>
          <t>Mom 52W</t>
        </is>
      </c>
      <c r="X2" s="6" t="inlineStr">
        <is>
          <t>Score Val</t>
        </is>
      </c>
      <c r="Y2" s="6" t="inlineStr">
        <is>
          <t>Score Gr</t>
        </is>
      </c>
      <c r="Z2" s="6" t="inlineStr">
        <is>
          <t>Score Qual</t>
        </is>
      </c>
      <c r="AA2" s="1" t="inlineStr">
        <is>
          <t>Score Mom</t>
        </is>
      </c>
      <c r="AB2" s="1" t="inlineStr">
        <is>
          <t>Score Global</t>
        </is>
      </c>
      <c r="AC2" s="1" t="inlineStr">
        <is>
          <t>Next Earn</t>
        </is>
      </c>
      <c r="AD2" s="1" t="inlineStr">
        <is>
          <t>Signal</t>
        </is>
      </c>
      <c r="AF2" t="inlineStr">
        <is>
          <t>RMS.PA</t>
        </is>
      </c>
      <c r="AG2" t="n">
        <v>75</v>
      </c>
      <c r="AH2" t="n">
        <v>46.8</v>
      </c>
    </row>
    <row r="3" ht="13.15" customHeight="1" thickBot="1">
      <c r="A3" s="4" t="inlineStr">
        <is>
          <t>RMS.PA</t>
        </is>
      </c>
      <c r="B3" s="4" t="inlineStr">
        <is>
          <t>Hermès International Société en commandite par actions</t>
        </is>
      </c>
      <c r="C3" s="4" t="inlineStr">
        <is>
          <t>Consumer Disc.</t>
        </is>
      </c>
      <c r="D3" s="4" t="inlineStr">
        <is>
          <t>—</t>
        </is>
      </c>
      <c r="E3" s="4" t="inlineStr">
        <is>
          <t>—</t>
        </is>
      </c>
      <c r="F3" s="4" t="inlineStr">
        <is>
          <t>—</t>
        </is>
      </c>
      <c r="G3" s="4" t="inlineStr">
        <is>
          <t>€16.0</t>
        </is>
      </c>
      <c r="H3" s="4" t="inlineStr">
        <is>
          <t>€7.5</t>
        </is>
      </c>
      <c r="I3" s="4" t="inlineStr">
        <is>
          <t>—</t>
        </is>
      </c>
      <c r="J3" s="4" t="inlineStr">
        <is>
          <t>—</t>
        </is>
      </c>
      <c r="K3" s="4" t="inlineStr">
        <is>
          <t>—</t>
        </is>
      </c>
      <c r="L3" s="4" t="inlineStr">
        <is>
          <t>—</t>
        </is>
      </c>
      <c r="M3" s="4" t="inlineStr">
        <is>
          <t>71.1%</t>
        </is>
      </c>
      <c r="N3" s="4" t="inlineStr">
        <is>
          <t>46.8%</t>
        </is>
      </c>
      <c r="O3" s="4" t="inlineStr">
        <is>
          <t>28.3%</t>
        </is>
      </c>
      <c r="P3" s="4" t="inlineStr">
        <is>
          <t>+5.5%</t>
        </is>
      </c>
      <c r="Q3" s="4" t="inlineStr">
        <is>
          <t>+24.0%</t>
        </is>
      </c>
      <c r="R3" s="4" t="inlineStr">
        <is>
          <t>+18.6%</t>
        </is>
      </c>
      <c r="S3" s="4" t="inlineStr">
        <is>
          <t>4.99</t>
        </is>
      </c>
      <c r="T3" s="4" t="inlineStr">
        <is>
          <t>-1.6x</t>
        </is>
      </c>
      <c r="U3" s="4" t="inlineStr">
        <is>
          <t>9.47</t>
        </is>
      </c>
      <c r="V3" s="4" t="inlineStr">
        <is>
          <t>-3.21</t>
        </is>
      </c>
      <c r="W3" s="4" t="inlineStr">
        <is>
          <t>nan%</t>
        </is>
      </c>
      <c r="X3" s="4" t="inlineStr">
        <is>
          <t>—</t>
        </is>
      </c>
      <c r="Y3" s="4" t="n">
        <v>74</v>
      </c>
      <c r="Z3" s="4" t="n">
        <v>90</v>
      </c>
      <c r="AA3" s="2" t="n">
        <v>62</v>
      </c>
      <c r="AB3" s="2" t="n">
        <v>75</v>
      </c>
      <c r="AC3" s="2" t="inlineStr">
        <is>
          <t>—</t>
        </is>
      </c>
      <c r="AD3" s="2" t="inlineStr">
        <is>
          <t>Surpondérer</t>
        </is>
      </c>
      <c r="AF3" t="inlineStr">
        <is>
          <t>AI.PA</t>
        </is>
      </c>
      <c r="AG3" t="n">
        <v>74</v>
      </c>
      <c r="AH3" t="n">
        <v>27.9</v>
      </c>
    </row>
    <row r="4" ht="13.15" customHeight="1" thickBot="1">
      <c r="A4" s="13" t="inlineStr">
        <is>
          <t>AI.PA</t>
        </is>
      </c>
      <c r="B4" s="13" t="inlineStr">
        <is>
          <t>L'Air Liquide S.A.</t>
        </is>
      </c>
      <c r="C4" s="13" t="inlineStr">
        <is>
          <t>Materials</t>
        </is>
      </c>
      <c r="D4" s="13" t="inlineStr">
        <is>
          <t>—</t>
        </is>
      </c>
      <c r="E4" s="13" t="inlineStr">
        <is>
          <t>—</t>
        </is>
      </c>
      <c r="F4" s="13" t="inlineStr">
        <is>
          <t>—</t>
        </is>
      </c>
      <c r="G4" s="13" t="inlineStr">
        <is>
          <t>€26.9</t>
        </is>
      </c>
      <c r="H4" s="13" t="inlineStr">
        <is>
          <t>€7.5</t>
        </is>
      </c>
      <c r="I4" s="13" t="inlineStr">
        <is>
          <t>—</t>
        </is>
      </c>
      <c r="J4" s="13" t="inlineStr">
        <is>
          <t>—</t>
        </is>
      </c>
      <c r="K4" s="13" t="inlineStr">
        <is>
          <t>—</t>
        </is>
      </c>
      <c r="L4" s="13" t="inlineStr">
        <is>
          <t>—</t>
        </is>
      </c>
      <c r="M4" s="13" t="inlineStr">
        <is>
          <t>64.2%</t>
        </is>
      </c>
      <c r="N4" s="13" t="inlineStr">
        <is>
          <t>27.9%</t>
        </is>
      </c>
      <c r="O4" s="13" t="inlineStr">
        <is>
          <t>13.1%</t>
        </is>
      </c>
      <c r="P4" s="13" t="inlineStr">
        <is>
          <t>-0.4%</t>
        </is>
      </c>
      <c r="Q4" s="13" t="inlineStr">
        <is>
          <t>+13.4%</t>
        </is>
      </c>
      <c r="R4" s="13" t="inlineStr">
        <is>
          <t>+6.8%</t>
        </is>
      </c>
      <c r="S4" s="13" t="inlineStr">
        <is>
          <t>1.17</t>
        </is>
      </c>
      <c r="T4" s="13" t="inlineStr">
        <is>
          <t>1.2x</t>
        </is>
      </c>
      <c r="U4" s="13" t="inlineStr">
        <is>
          <t>3.26</t>
        </is>
      </c>
      <c r="V4" s="13" t="inlineStr">
        <is>
          <t>-3.19</t>
        </is>
      </c>
      <c r="W4" s="13" t="inlineStr">
        <is>
          <t>nan%</t>
        </is>
      </c>
      <c r="X4" s="13" t="inlineStr">
        <is>
          <t>—</t>
        </is>
      </c>
      <c r="Y4" s="13" t="n">
        <v>55</v>
      </c>
      <c r="Z4" s="13" t="n">
        <v>77</v>
      </c>
      <c r="AA4" s="8" t="n">
        <v>90</v>
      </c>
      <c r="AB4" s="3" t="n">
        <v>74</v>
      </c>
      <c r="AC4" s="3" t="inlineStr">
        <is>
          <t>—</t>
        </is>
      </c>
      <c r="AD4" s="3" t="inlineStr">
        <is>
          <t>Neutre</t>
        </is>
      </c>
      <c r="AF4" t="inlineStr">
        <is>
          <t>DSY.PA</t>
        </is>
      </c>
      <c r="AG4" t="n">
        <v>72</v>
      </c>
      <c r="AH4" t="n">
        <v>30.4</v>
      </c>
    </row>
    <row r="5" ht="15.95" customHeight="1" thickBot="1">
      <c r="A5" s="14" t="inlineStr">
        <is>
          <t>DSY.PA</t>
        </is>
      </c>
      <c r="B5" s="15" t="inlineStr">
        <is>
          <t>Dassault Systèmes SE</t>
        </is>
      </c>
      <c r="C5" s="14" t="inlineStr">
        <is>
          <t>Technology</t>
        </is>
      </c>
      <c r="D5" s="15" t="inlineStr">
        <is>
          <t>—</t>
        </is>
      </c>
      <c r="E5" s="15" t="inlineStr">
        <is>
          <t>—</t>
        </is>
      </c>
      <c r="F5" s="15" t="inlineStr">
        <is>
          <t>—</t>
        </is>
      </c>
      <c r="G5" s="15" t="inlineStr">
        <is>
          <t>€6.2</t>
        </is>
      </c>
      <c r="H5" s="15" t="inlineStr">
        <is>
          <t>€1.9</t>
        </is>
      </c>
      <c r="I5" s="15" t="inlineStr">
        <is>
          <t>—</t>
        </is>
      </c>
      <c r="J5" s="15" t="inlineStr">
        <is>
          <t>—</t>
        </is>
      </c>
      <c r="K5" s="15" t="inlineStr">
        <is>
          <t>—</t>
        </is>
      </c>
      <c r="L5" s="15" t="inlineStr">
        <is>
          <t>—</t>
        </is>
      </c>
      <c r="M5" s="15" t="inlineStr">
        <is>
          <t>83.7%</t>
        </is>
      </c>
      <c r="N5" s="15" t="inlineStr">
        <is>
          <t>30.4%</t>
        </is>
      </c>
      <c r="O5" s="15" t="inlineStr">
        <is>
          <t>19.2%</t>
        </is>
      </c>
      <c r="P5" s="15" t="inlineStr">
        <is>
          <t>+0.4%</t>
        </is>
      </c>
      <c r="Q5" s="15" t="inlineStr">
        <is>
          <t>+13.6%</t>
        </is>
      </c>
      <c r="R5" s="15" t="inlineStr">
        <is>
          <t>+7.9%</t>
        </is>
      </c>
      <c r="S5" s="15" t="inlineStr">
        <is>
          <t>1.60</t>
        </is>
      </c>
      <c r="T5" s="15" t="inlineStr">
        <is>
          <t>-0.8x</t>
        </is>
      </c>
      <c r="U5" s="15" t="inlineStr">
        <is>
          <t>—</t>
        </is>
      </c>
      <c r="V5" s="15" t="inlineStr">
        <is>
          <t>-3.10</t>
        </is>
      </c>
      <c r="W5" s="15" t="inlineStr">
        <is>
          <t>nan%</t>
        </is>
      </c>
      <c r="X5" s="15" t="inlineStr">
        <is>
          <t>—</t>
        </is>
      </c>
      <c r="Y5" s="15" t="n">
        <v>42</v>
      </c>
      <c r="Z5" s="15" t="n">
        <v>100</v>
      </c>
      <c r="AA5" s="11" t="n">
        <v>74</v>
      </c>
      <c r="AB5" s="9" t="n">
        <v>72</v>
      </c>
      <c r="AC5" s="9" t="inlineStr">
        <is>
          <t>2026-04-23</t>
        </is>
      </c>
      <c r="AD5" s="9" t="inlineStr">
        <is>
          <t>Neutre</t>
        </is>
      </c>
      <c r="AF5" t="inlineStr">
        <is>
          <t>ERF.PA</t>
        </is>
      </c>
      <c r="AG5" t="n">
        <v>72</v>
      </c>
      <c r="AH5" t="n">
        <v>21</v>
      </c>
    </row>
    <row r="6" ht="15.95" customHeight="1" thickBot="1">
      <c r="A6" s="16" t="inlineStr">
        <is>
          <t>ERF.PA</t>
        </is>
      </c>
      <c r="B6" s="17" t="inlineStr">
        <is>
          <t>Eurofins Scientific SE</t>
        </is>
      </c>
      <c r="C6" s="16" t="inlineStr">
        <is>
          <t>Healthcare</t>
        </is>
      </c>
      <c r="D6" s="17" t="inlineStr">
        <is>
          <t>—</t>
        </is>
      </c>
      <c r="E6" s="17" t="inlineStr">
        <is>
          <t>—</t>
        </is>
      </c>
      <c r="F6" s="17" t="inlineStr">
        <is>
          <t>—</t>
        </is>
      </c>
      <c r="G6" s="17" t="inlineStr">
        <is>
          <t>€7.3</t>
        </is>
      </c>
      <c r="H6" s="17" t="inlineStr">
        <is>
          <t>€1.5</t>
        </is>
      </c>
      <c r="I6" s="17" t="inlineStr">
        <is>
          <t>—</t>
        </is>
      </c>
      <c r="J6" s="17" t="inlineStr">
        <is>
          <t>—</t>
        </is>
      </c>
      <c r="K6" s="17" t="inlineStr">
        <is>
          <t>—</t>
        </is>
      </c>
      <c r="L6" s="17" t="inlineStr">
        <is>
          <t>—</t>
        </is>
      </c>
      <c r="M6" s="17" t="inlineStr">
        <is>
          <t>68.1%</t>
        </is>
      </c>
      <c r="N6" s="17" t="inlineStr">
        <is>
          <t>21.0%</t>
        </is>
      </c>
      <c r="O6" s="17" t="inlineStr">
        <is>
          <t>6.5%</t>
        </is>
      </c>
      <c r="P6" s="17" t="inlineStr">
        <is>
          <t>+5.0%</t>
        </is>
      </c>
      <c r="Q6" s="17" t="inlineStr">
        <is>
          <t>+10.5%</t>
        </is>
      </c>
      <c r="R6" s="17" t="inlineStr">
        <is>
          <t>+4.3%</t>
        </is>
      </c>
      <c r="S6" s="17" t="inlineStr">
        <is>
          <t>1.09</t>
        </is>
      </c>
      <c r="T6" s="17" t="inlineStr">
        <is>
          <t>2.1x</t>
        </is>
      </c>
      <c r="U6" s="17" t="inlineStr">
        <is>
          <t>2.27</t>
        </is>
      </c>
      <c r="V6" s="17" t="inlineStr">
        <is>
          <t>-3.13</t>
        </is>
      </c>
      <c r="W6" s="17" t="inlineStr">
        <is>
          <t>nan%</t>
        </is>
      </c>
      <c r="X6" s="17" t="inlineStr">
        <is>
          <t>—</t>
        </is>
      </c>
      <c r="Y6" s="17" t="n">
        <v>76</v>
      </c>
      <c r="Z6" s="17" t="n">
        <v>72</v>
      </c>
      <c r="AA6" s="12" t="n">
        <v>67</v>
      </c>
      <c r="AB6" s="10" t="n">
        <v>72</v>
      </c>
      <c r="AC6" s="10" t="inlineStr">
        <is>
          <t>—</t>
        </is>
      </c>
      <c r="AD6" s="10" t="inlineStr">
        <is>
          <t>Neutre</t>
        </is>
      </c>
      <c r="AF6" t="inlineStr">
        <is>
          <t>SAN.PA</t>
        </is>
      </c>
      <c r="AG6" t="n">
        <v>72</v>
      </c>
      <c r="AH6" t="n">
        <v>26.7</v>
      </c>
    </row>
    <row r="7" ht="15.95" customHeight="1" thickBot="1">
      <c r="A7" s="14" t="inlineStr">
        <is>
          <t>SAN.PA</t>
        </is>
      </c>
      <c r="B7" s="15" t="inlineStr">
        <is>
          <t>Sanofi</t>
        </is>
      </c>
      <c r="C7" s="14" t="inlineStr">
        <is>
          <t>Healthcare</t>
        </is>
      </c>
      <c r="D7" s="15" t="inlineStr">
        <is>
          <t>—</t>
        </is>
      </c>
      <c r="E7" s="15" t="inlineStr">
        <is>
          <t>—</t>
        </is>
      </c>
      <c r="F7" s="15" t="inlineStr">
        <is>
          <t>—</t>
        </is>
      </c>
      <c r="G7" s="15" t="inlineStr">
        <is>
          <t>€46.7</t>
        </is>
      </c>
      <c r="H7" s="15" t="inlineStr">
        <is>
          <t>€12.5</t>
        </is>
      </c>
      <c r="I7" s="15" t="inlineStr">
        <is>
          <t>—</t>
        </is>
      </c>
      <c r="J7" s="15" t="inlineStr">
        <is>
          <t>—</t>
        </is>
      </c>
      <c r="K7" s="15" t="inlineStr">
        <is>
          <t>—</t>
        </is>
      </c>
      <c r="L7" s="15" t="inlineStr">
        <is>
          <t>—</t>
        </is>
      </c>
      <c r="M7" s="15" t="inlineStr">
        <is>
          <t>72.1%</t>
        </is>
      </c>
      <c r="N7" s="15" t="inlineStr">
        <is>
          <t>26.7%</t>
        </is>
      </c>
      <c r="O7" s="15" t="inlineStr">
        <is>
          <t>16.7%</t>
        </is>
      </c>
      <c r="P7" s="15" t="inlineStr">
        <is>
          <t>+5.5%</t>
        </is>
      </c>
      <c r="Q7" s="15" t="inlineStr">
        <is>
          <t>+10.9%</t>
        </is>
      </c>
      <c r="R7" s="15" t="inlineStr">
        <is>
          <t>+6.2%</t>
        </is>
      </c>
      <c r="S7" s="15" t="inlineStr">
        <is>
          <t>1.09</t>
        </is>
      </c>
      <c r="T7" s="15" t="inlineStr">
        <is>
          <t>0.9x</t>
        </is>
      </c>
      <c r="U7" s="15" t="inlineStr">
        <is>
          <t>—</t>
        </is>
      </c>
      <c r="V7" s="15" t="inlineStr">
        <is>
          <t>-3.00</t>
        </is>
      </c>
      <c r="W7" s="15" t="inlineStr">
        <is>
          <t>nan%</t>
        </is>
      </c>
      <c r="X7" s="15" t="inlineStr">
        <is>
          <t>—</t>
        </is>
      </c>
      <c r="Y7" s="15" t="n">
        <v>87</v>
      </c>
      <c r="Z7" s="15" t="n">
        <v>97</v>
      </c>
      <c r="AA7" s="11" t="n">
        <v>31</v>
      </c>
      <c r="AB7" s="9" t="n">
        <v>72</v>
      </c>
      <c r="AC7" s="9" t="inlineStr">
        <is>
          <t>2026-04-23</t>
        </is>
      </c>
      <c r="AD7" s="9" t="inlineStr">
        <is>
          <t>Neutre</t>
        </is>
      </c>
      <c r="AF7" t="inlineStr">
        <is>
          <t>ALO.PA</t>
        </is>
      </c>
      <c r="AG7" t="n">
        <v>70</v>
      </c>
      <c r="AH7" t="n">
        <v>6.8</v>
      </c>
    </row>
    <row r="8" ht="15.95" customHeight="1" thickBot="1">
      <c r="A8" s="16" t="inlineStr">
        <is>
          <t>ALO.PA</t>
        </is>
      </c>
      <c r="B8" s="17" t="inlineStr">
        <is>
          <t>Alstom SA</t>
        </is>
      </c>
      <c r="C8" s="16" t="inlineStr">
        <is>
          <t>Industrials</t>
        </is>
      </c>
      <c r="D8" s="17" t="inlineStr">
        <is>
          <t>—</t>
        </is>
      </c>
      <c r="E8" s="17" t="inlineStr">
        <is>
          <t>—</t>
        </is>
      </c>
      <c r="F8" s="17" t="inlineStr">
        <is>
          <t>—</t>
        </is>
      </c>
      <c r="G8" s="17" t="inlineStr">
        <is>
          <t>€18.5</t>
        </is>
      </c>
      <c r="H8" s="17" t="inlineStr">
        <is>
          <t>€1.3</t>
        </is>
      </c>
      <c r="I8" s="17" t="inlineStr">
        <is>
          <t>—</t>
        </is>
      </c>
      <c r="J8" s="17" t="inlineStr">
        <is>
          <t>—</t>
        </is>
      </c>
      <c r="K8" s="17" t="inlineStr">
        <is>
          <t>—</t>
        </is>
      </c>
      <c r="L8" s="17" t="inlineStr">
        <is>
          <t>—</t>
        </is>
      </c>
      <c r="M8" s="17" t="inlineStr">
        <is>
          <t>12.5%</t>
        </is>
      </c>
      <c r="N8" s="17" t="inlineStr">
        <is>
          <t>6.8%</t>
        </is>
      </c>
      <c r="O8" s="17" t="inlineStr">
        <is>
          <t>0.8%</t>
        </is>
      </c>
      <c r="P8" s="17" t="inlineStr">
        <is>
          <t>+4.9%</t>
        </is>
      </c>
      <c r="Q8" s="17" t="inlineStr">
        <is>
          <t>+1.4%</t>
        </is>
      </c>
      <c r="R8" s="17" t="inlineStr">
        <is>
          <t>+0.4%</t>
        </is>
      </c>
      <c r="S8" s="17" t="inlineStr">
        <is>
          <t>0.97</t>
        </is>
      </c>
      <c r="T8" s="17" t="inlineStr">
        <is>
          <t>0.4x</t>
        </is>
      </c>
      <c r="U8" s="17" t="inlineStr">
        <is>
          <t>0.49</t>
        </is>
      </c>
      <c r="V8" s="17" t="inlineStr">
        <is>
          <t>-3.13</t>
        </is>
      </c>
      <c r="W8" s="17" t="inlineStr">
        <is>
          <t>nan%</t>
        </is>
      </c>
      <c r="X8" s="17" t="inlineStr">
        <is>
          <t>—</t>
        </is>
      </c>
      <c r="Y8" s="17" t="n">
        <v>95</v>
      </c>
      <c r="Z8" s="17" t="n">
        <v>15</v>
      </c>
      <c r="AA8" s="12" t="n">
        <v>100</v>
      </c>
      <c r="AB8" s="10" t="n">
        <v>70</v>
      </c>
      <c r="AC8" s="10" t="inlineStr">
        <is>
          <t>2026-05-13</t>
        </is>
      </c>
      <c r="AD8" s="10" t="inlineStr">
        <is>
          <t>Neutre</t>
        </is>
      </c>
      <c r="AF8" t="inlineStr">
        <is>
          <t>URW.PA</t>
        </is>
      </c>
      <c r="AG8" t="n">
        <v>69</v>
      </c>
      <c r="AH8" t="n">
        <v>89.09999999999999</v>
      </c>
    </row>
    <row r="9" ht="15.95" customHeight="1" thickBot="1">
      <c r="A9" s="14" t="inlineStr">
        <is>
          <t>URW.PA</t>
        </is>
      </c>
      <c r="B9" s="15" t="inlineStr">
        <is>
          <t>Unibail-Rodamco-Westfield SE</t>
        </is>
      </c>
      <c r="C9" s="14" t="inlineStr">
        <is>
          <t>Real Estate</t>
        </is>
      </c>
      <c r="D9" s="15" t="inlineStr">
        <is>
          <t>—</t>
        </is>
      </c>
      <c r="E9" s="15" t="inlineStr">
        <is>
          <t>—</t>
        </is>
      </c>
      <c r="F9" s="15" t="inlineStr">
        <is>
          <t>—</t>
        </is>
      </c>
      <c r="G9" s="15" t="inlineStr">
        <is>
          <t>€3.1</t>
        </is>
      </c>
      <c r="H9" s="15" t="inlineStr">
        <is>
          <t>€2.7</t>
        </is>
      </c>
      <c r="I9" s="15" t="inlineStr">
        <is>
          <t>—</t>
        </is>
      </c>
      <c r="J9" s="15" t="inlineStr">
        <is>
          <t>—</t>
        </is>
      </c>
      <c r="K9" s="15" t="inlineStr">
        <is>
          <t>—</t>
        </is>
      </c>
      <c r="L9" s="15" t="inlineStr">
        <is>
          <t>—</t>
        </is>
      </c>
      <c r="M9" s="15" t="inlineStr">
        <is>
          <t>64.6%</t>
        </is>
      </c>
      <c r="N9" s="15" t="inlineStr">
        <is>
          <t>89.1%</t>
        </is>
      </c>
      <c r="O9" s="15" t="inlineStr">
        <is>
          <t>41.5%</t>
        </is>
      </c>
      <c r="P9" s="15" t="inlineStr">
        <is>
          <t>-6.1%</t>
        </is>
      </c>
      <c r="Q9" s="15" t="inlineStr">
        <is>
          <t>+7.2%</t>
        </is>
      </c>
      <c r="R9" s="15" t="inlineStr">
        <is>
          <t>+2.6%</t>
        </is>
      </c>
      <c r="S9" s="15" t="inlineStr">
        <is>
          <t>1.27</t>
        </is>
      </c>
      <c r="T9" s="15" t="inlineStr">
        <is>
          <t>7.1x</t>
        </is>
      </c>
      <c r="U9" s="15" t="inlineStr">
        <is>
          <t>1.22</t>
        </is>
      </c>
      <c r="V9" s="15" t="inlineStr">
        <is>
          <t>-2.60</t>
        </is>
      </c>
      <c r="W9" s="15" t="inlineStr">
        <is>
          <t>nan%</t>
        </is>
      </c>
      <c r="X9" s="15" t="inlineStr">
        <is>
          <t>—</t>
        </is>
      </c>
      <c r="Y9" s="15" t="n">
        <v>92</v>
      </c>
      <c r="Z9" s="15" t="n">
        <v>95</v>
      </c>
      <c r="AA9" s="11" t="n">
        <v>21</v>
      </c>
      <c r="AB9" s="9" t="n">
        <v>69</v>
      </c>
      <c r="AC9" s="9" t="inlineStr">
        <is>
          <t>—</t>
        </is>
      </c>
      <c r="AD9" s="9" t="inlineStr">
        <is>
          <t>Neutre</t>
        </is>
      </c>
      <c r="AF9" t="inlineStr">
        <is>
          <t>AIR.PA</t>
        </is>
      </c>
      <c r="AG9" t="n">
        <v>68</v>
      </c>
      <c r="AH9" t="n">
        <v>14</v>
      </c>
    </row>
    <row r="10" ht="15.95" customHeight="1" thickBot="1">
      <c r="A10" s="16" t="inlineStr">
        <is>
          <t>AIR.PA</t>
        </is>
      </c>
      <c r="B10" s="17" t="inlineStr">
        <is>
          <t>Airbus SE</t>
        </is>
      </c>
      <c r="C10" s="16" t="inlineStr">
        <is>
          <t>Industrials</t>
        </is>
      </c>
      <c r="D10" s="17" t="inlineStr">
        <is>
          <t>—</t>
        </is>
      </c>
      <c r="E10" s="17" t="inlineStr">
        <is>
          <t>—</t>
        </is>
      </c>
      <c r="F10" s="17" t="inlineStr">
        <is>
          <t>—</t>
        </is>
      </c>
      <c r="G10" s="17" t="inlineStr">
        <is>
          <t>€73.4</t>
        </is>
      </c>
      <c r="H10" s="17" t="inlineStr">
        <is>
          <t>€10.2</t>
        </is>
      </c>
      <c r="I10" s="17" t="inlineStr">
        <is>
          <t>—</t>
        </is>
      </c>
      <c r="J10" s="17" t="inlineStr">
        <is>
          <t>—</t>
        </is>
      </c>
      <c r="K10" s="17" t="inlineStr">
        <is>
          <t>—</t>
        </is>
      </c>
      <c r="L10" s="17" t="inlineStr">
        <is>
          <t>—</t>
        </is>
      </c>
      <c r="M10" s="17" t="inlineStr">
        <is>
          <t>14.9%</t>
        </is>
      </c>
      <c r="N10" s="17" t="inlineStr">
        <is>
          <t>14.0%</t>
        </is>
      </c>
      <c r="O10" s="17" t="inlineStr">
        <is>
          <t>7.1%</t>
        </is>
      </c>
      <c r="P10" s="17" t="inlineStr">
        <is>
          <t>+6.1%</t>
        </is>
      </c>
      <c r="Q10" s="17" t="inlineStr">
        <is>
          <t>+20.0%</t>
        </is>
      </c>
      <c r="R10" s="17" t="inlineStr">
        <is>
          <t>+3.9%</t>
        </is>
      </c>
      <c r="S10" s="17" t="inlineStr">
        <is>
          <t>1.16</t>
        </is>
      </c>
      <c r="T10" s="17" t="inlineStr">
        <is>
          <t>-0.5x</t>
        </is>
      </c>
      <c r="U10" s="17" t="inlineStr">
        <is>
          <t>1.64</t>
        </is>
      </c>
      <c r="V10" s="17" t="inlineStr">
        <is>
          <t>-3.06</t>
        </is>
      </c>
      <c r="W10" s="17" t="inlineStr">
        <is>
          <t>nan%</t>
        </is>
      </c>
      <c r="X10" s="17" t="inlineStr">
        <is>
          <t>—</t>
        </is>
      </c>
      <c r="Y10" s="17" t="n">
        <v>84</v>
      </c>
      <c r="Z10" s="17" t="n">
        <v>23</v>
      </c>
      <c r="AA10" s="12" t="n">
        <v>97</v>
      </c>
      <c r="AB10" s="10" t="n">
        <v>68</v>
      </c>
      <c r="AC10" s="10" t="inlineStr">
        <is>
          <t>2026-04-28</t>
        </is>
      </c>
      <c r="AD10" s="10" t="inlineStr">
        <is>
          <t>Neutre</t>
        </is>
      </c>
      <c r="AF10" t="inlineStr">
        <is>
          <t>SAF.PA</t>
        </is>
      </c>
      <c r="AG10" t="n">
        <v>68</v>
      </c>
      <c r="AH10" t="n">
        <v>39.2</v>
      </c>
    </row>
    <row r="11" ht="15.95" customHeight="1" thickBot="1">
      <c r="A11" s="14" t="inlineStr">
        <is>
          <t>SAF.PA</t>
        </is>
      </c>
      <c r="B11" s="15" t="inlineStr">
        <is>
          <t>Safran SA</t>
        </is>
      </c>
      <c r="C11" s="14" t="inlineStr">
        <is>
          <t>Industrials</t>
        </is>
      </c>
      <c r="D11" s="15" t="inlineStr">
        <is>
          <t>—</t>
        </is>
      </c>
      <c r="E11" s="15" t="inlineStr">
        <is>
          <t>—</t>
        </is>
      </c>
      <c r="F11" s="15" t="inlineStr">
        <is>
          <t>—</t>
        </is>
      </c>
      <c r="G11" s="15" t="inlineStr">
        <is>
          <t>€31.2</t>
        </is>
      </c>
      <c r="H11" s="15" t="inlineStr">
        <is>
          <t>€12.2</t>
        </is>
      </c>
      <c r="I11" s="15" t="inlineStr">
        <is>
          <t>—</t>
        </is>
      </c>
      <c r="J11" s="15" t="inlineStr">
        <is>
          <t>—</t>
        </is>
      </c>
      <c r="K11" s="15" t="inlineStr">
        <is>
          <t>—</t>
        </is>
      </c>
      <c r="L11" s="15" t="inlineStr">
        <is>
          <t>—</t>
        </is>
      </c>
      <c r="M11" s="15" t="inlineStr">
        <is>
          <t>46.9%</t>
        </is>
      </c>
      <c r="N11" s="15" t="inlineStr">
        <is>
          <t>39.2%</t>
        </is>
      </c>
      <c r="O11" s="15" t="inlineStr">
        <is>
          <t>23.0%</t>
        </is>
      </c>
      <c r="P11" s="15" t="inlineStr">
        <is>
          <t>+12.5%</t>
        </is>
      </c>
      <c r="Q11" s="15" t="inlineStr">
        <is>
          <t>+48.4%</t>
        </is>
      </c>
      <c r="R11" s="15" t="inlineStr">
        <is>
          <t>+11.6%</t>
        </is>
      </c>
      <c r="S11" s="15" t="inlineStr">
        <is>
          <t>0.93</t>
        </is>
      </c>
      <c r="T11" s="15" t="inlineStr">
        <is>
          <t>-0.2x</t>
        </is>
      </c>
      <c r="U11" s="15" t="inlineStr">
        <is>
          <t>1.54</t>
        </is>
      </c>
      <c r="V11" s="15" t="inlineStr">
        <is>
          <t>-2.91</t>
        </is>
      </c>
      <c r="W11" s="15" t="inlineStr">
        <is>
          <t>nan%</t>
        </is>
      </c>
      <c r="X11" s="15" t="inlineStr">
        <is>
          <t>—</t>
        </is>
      </c>
      <c r="Y11" s="15" t="n">
        <v>100</v>
      </c>
      <c r="Z11" s="15" t="n">
        <v>67</v>
      </c>
      <c r="AA11" s="11" t="n">
        <v>38</v>
      </c>
      <c r="AB11" s="9" t="n">
        <v>68</v>
      </c>
      <c r="AC11" s="9" t="inlineStr">
        <is>
          <t>—</t>
        </is>
      </c>
      <c r="AD11" s="9" t="inlineStr">
        <is>
          <t>Neutre</t>
        </is>
      </c>
      <c r="AF11" t="inlineStr">
        <is>
          <t>ACA.PA</t>
        </is>
      </c>
      <c r="AG11" t="n">
        <v>65</v>
      </c>
      <c r="AH11" t="n">
        <v>192.6</v>
      </c>
    </row>
    <row r="12" ht="15.95" customHeight="1" thickBot="1">
      <c r="A12" s="16" t="inlineStr">
        <is>
          <t>ACA.PA</t>
        </is>
      </c>
      <c r="B12" s="17" t="inlineStr">
        <is>
          <t>Crédit Agricole S.A.</t>
        </is>
      </c>
      <c r="C12" s="16" t="inlineStr">
        <is>
          <t>Financials</t>
        </is>
      </c>
      <c r="D12" s="17" t="inlineStr">
        <is>
          <t>—</t>
        </is>
      </c>
      <c r="E12" s="17" t="inlineStr">
        <is>
          <t>—</t>
        </is>
      </c>
      <c r="F12" s="17" t="inlineStr">
        <is>
          <t>—</t>
        </is>
      </c>
      <c r="G12" s="17" t="inlineStr">
        <is>
          <t>€26.3</t>
        </is>
      </c>
      <c r="H12" s="17" t="inlineStr">
        <is>
          <t>€50.6</t>
        </is>
      </c>
      <c r="I12" s="17" t="inlineStr">
        <is>
          <t>—</t>
        </is>
      </c>
      <c r="J12" s="17" t="inlineStr">
        <is>
          <t>—</t>
        </is>
      </c>
      <c r="K12" s="17" t="inlineStr">
        <is>
          <t>—</t>
        </is>
      </c>
      <c r="L12" s="17" t="inlineStr">
        <is>
          <t>—</t>
        </is>
      </c>
      <c r="M12" s="17" t="inlineStr">
        <is>
          <t>—</t>
        </is>
      </c>
      <c r="N12" s="17" t="inlineStr">
        <is>
          <t>192.6%</t>
        </is>
      </c>
      <c r="O12" s="17" t="inlineStr">
        <is>
          <t>26.9%</t>
        </is>
      </c>
      <c r="P12" s="17" t="inlineStr">
        <is>
          <t>+3.7%</t>
        </is>
      </c>
      <c r="Q12" s="17" t="inlineStr">
        <is>
          <t>+9.1%</t>
        </is>
      </c>
      <c r="R12" s="17" t="inlineStr">
        <is>
          <t>+0.3%</t>
        </is>
      </c>
      <c r="S12" s="17" t="inlineStr">
        <is>
          <t>—</t>
        </is>
      </c>
      <c r="T12" s="17" t="inlineStr">
        <is>
          <t>-5.3x</t>
        </is>
      </c>
      <c r="U12" s="17" t="inlineStr">
        <is>
          <t>—</t>
        </is>
      </c>
      <c r="V12" s="17" t="inlineStr">
        <is>
          <t>—</t>
        </is>
      </c>
      <c r="W12" s="17" t="inlineStr">
        <is>
          <t>nan%</t>
        </is>
      </c>
      <c r="X12" s="17" t="inlineStr">
        <is>
          <t>—</t>
        </is>
      </c>
      <c r="Y12" s="17" t="n">
        <v>21</v>
      </c>
      <c r="Z12" s="17" t="n">
        <v>92</v>
      </c>
      <c r="AA12" s="12" t="n">
        <v>82</v>
      </c>
      <c r="AB12" s="10" t="n">
        <v>65</v>
      </c>
      <c r="AC12" s="10" t="inlineStr">
        <is>
          <t>2026-04-30</t>
        </is>
      </c>
      <c r="AD12" s="10" t="inlineStr">
        <is>
          <t>Neutre</t>
        </is>
      </c>
      <c r="AF12" t="inlineStr">
        <is>
          <t>EL.PA</t>
        </is>
      </c>
      <c r="AG12" t="n">
        <v>64</v>
      </c>
      <c r="AH12" t="n">
        <v>23.2</v>
      </c>
    </row>
    <row r="13" ht="15.95" customHeight="1" thickBot="1">
      <c r="A13" s="14" t="inlineStr">
        <is>
          <t>CS.PA</t>
        </is>
      </c>
      <c r="B13" s="15" t="inlineStr">
        <is>
          <t>AXA SA</t>
        </is>
      </c>
      <c r="C13" s="14" t="inlineStr">
        <is>
          <t>Financials</t>
        </is>
      </c>
      <c r="D13" s="15" t="inlineStr">
        <is>
          <t>—</t>
        </is>
      </c>
      <c r="E13" s="15" t="inlineStr">
        <is>
          <t>—</t>
        </is>
      </c>
      <c r="F13" s="15" t="inlineStr">
        <is>
          <t>—</t>
        </is>
      </c>
      <c r="G13" s="15" t="inlineStr">
        <is>
          <t>€103.3</t>
        </is>
      </c>
      <c r="H13" s="15" t="inlineStr">
        <is>
          <t>—</t>
        </is>
      </c>
      <c r="I13" s="15" t="inlineStr">
        <is>
          <t>—</t>
        </is>
      </c>
      <c r="J13" s="15" t="inlineStr">
        <is>
          <t>—</t>
        </is>
      </c>
      <c r="K13" s="15" t="inlineStr">
        <is>
          <t>—</t>
        </is>
      </c>
      <c r="L13" s="15" t="inlineStr">
        <is>
          <t>—</t>
        </is>
      </c>
      <c r="M13" s="15" t="inlineStr">
        <is>
          <t>—</t>
        </is>
      </c>
      <c r="N13" s="15" t="inlineStr">
        <is>
          <t>—</t>
        </is>
      </c>
      <c r="O13" s="15" t="inlineStr">
        <is>
          <t>7.6%</t>
        </is>
      </c>
      <c r="P13" s="15" t="inlineStr">
        <is>
          <t>+5.7%</t>
        </is>
      </c>
      <c r="Q13" s="15" t="inlineStr">
        <is>
          <t>+15.8%</t>
        </is>
      </c>
      <c r="R13" s="15" t="inlineStr">
        <is>
          <t>+1.2%</t>
        </is>
      </c>
      <c r="S13" s="15" t="inlineStr">
        <is>
          <t>—</t>
        </is>
      </c>
      <c r="T13" s="15" t="inlineStr">
        <is>
          <t>—</t>
        </is>
      </c>
      <c r="U13" s="15" t="inlineStr">
        <is>
          <t>—</t>
        </is>
      </c>
      <c r="V13" s="15" t="inlineStr">
        <is>
          <t>—</t>
        </is>
      </c>
      <c r="W13" s="15" t="inlineStr">
        <is>
          <t>nan%</t>
        </is>
      </c>
      <c r="X13" s="15" t="inlineStr">
        <is>
          <t>—</t>
        </is>
      </c>
      <c r="Y13" s="15" t="n">
        <v>71</v>
      </c>
      <c r="Z13" s="15" t="n">
        <v>28</v>
      </c>
      <c r="AA13" s="11" t="n">
        <v>92</v>
      </c>
      <c r="AB13" s="9" t="n">
        <v>64</v>
      </c>
      <c r="AC13" s="9" t="inlineStr">
        <is>
          <t>—</t>
        </is>
      </c>
      <c r="AD13" s="9" t="inlineStr">
        <is>
          <t>Neutre</t>
        </is>
      </c>
      <c r="AF13" t="inlineStr">
        <is>
          <t>OR.PA</t>
        </is>
      </c>
      <c r="AG13" t="n">
        <v>64</v>
      </c>
      <c r="AH13" t="n">
        <v>24.3</v>
      </c>
    </row>
    <row r="14" ht="15.95" customHeight="1" thickBot="1">
      <c r="A14" s="16" t="inlineStr">
        <is>
          <t>EL.PA</t>
        </is>
      </c>
      <c r="B14" s="17" t="inlineStr">
        <is>
          <t>EssilorLuxottica Société anonyme</t>
        </is>
      </c>
      <c r="C14" s="16" t="inlineStr">
        <is>
          <t>Healthcare</t>
        </is>
      </c>
      <c r="D14" s="17" t="inlineStr">
        <is>
          <t>—</t>
        </is>
      </c>
      <c r="E14" s="17" t="inlineStr">
        <is>
          <t>—</t>
        </is>
      </c>
      <c r="F14" s="17" t="inlineStr">
        <is>
          <t>—</t>
        </is>
      </c>
      <c r="G14" s="17" t="inlineStr">
        <is>
          <t>€28.5</t>
        </is>
      </c>
      <c r="H14" s="17" t="inlineStr">
        <is>
          <t>€6.6</t>
        </is>
      </c>
      <c r="I14" s="17" t="inlineStr">
        <is>
          <t>—</t>
        </is>
      </c>
      <c r="J14" s="17" t="inlineStr">
        <is>
          <t>—</t>
        </is>
      </c>
      <c r="K14" s="17" t="inlineStr">
        <is>
          <t>—</t>
        </is>
      </c>
      <c r="L14" s="17" t="inlineStr">
        <is>
          <t>—</t>
        </is>
      </c>
      <c r="M14" s="17" t="inlineStr">
        <is>
          <t>60.6%</t>
        </is>
      </c>
      <c r="N14" s="17" t="inlineStr">
        <is>
          <t>23.2%</t>
        </is>
      </c>
      <c r="O14" s="17" t="inlineStr">
        <is>
          <t>8.1%</t>
        </is>
      </c>
      <c r="P14" s="17" t="inlineStr">
        <is>
          <t>+7.5%</t>
        </is>
      </c>
      <c r="Q14" s="17" t="inlineStr">
        <is>
          <t>+6.0%</t>
        </is>
      </c>
      <c r="R14" s="17" t="inlineStr">
        <is>
          <t>+3.6%</t>
        </is>
      </c>
      <c r="S14" s="17" t="inlineStr">
        <is>
          <t>1.10</t>
        </is>
      </c>
      <c r="T14" s="17" t="inlineStr">
        <is>
          <t>1.1x</t>
        </is>
      </c>
      <c r="U14" s="17" t="inlineStr">
        <is>
          <t>2.27</t>
        </is>
      </c>
      <c r="V14" s="17" t="inlineStr">
        <is>
          <t>-2.99</t>
        </is>
      </c>
      <c r="W14" s="17" t="inlineStr">
        <is>
          <t>nan%</t>
        </is>
      </c>
      <c r="X14" s="17" t="inlineStr">
        <is>
          <t>—</t>
        </is>
      </c>
      <c r="Y14" s="17" t="n">
        <v>61</v>
      </c>
      <c r="Z14" s="17" t="n">
        <v>62</v>
      </c>
      <c r="AA14" s="12" t="n">
        <v>69</v>
      </c>
      <c r="AB14" s="10" t="n">
        <v>64</v>
      </c>
      <c r="AC14" s="10" t="inlineStr">
        <is>
          <t>—</t>
        </is>
      </c>
      <c r="AD14" s="10" t="inlineStr">
        <is>
          <t>Neutre</t>
        </is>
      </c>
      <c r="AF14" t="inlineStr">
        <is>
          <t>LR.PA</t>
        </is>
      </c>
      <c r="AG14" t="n">
        <v>64</v>
      </c>
      <c r="AH14" t="n">
        <v>23.9</v>
      </c>
    </row>
    <row r="15" ht="15.95" customHeight="1" thickBot="1">
      <c r="A15" s="14" t="inlineStr">
        <is>
          <t>OR.PA</t>
        </is>
      </c>
      <c r="B15" s="15" t="inlineStr">
        <is>
          <t>L'Oréal S.A.</t>
        </is>
      </c>
      <c r="C15" s="14" t="inlineStr">
        <is>
          <t>Consumer Staples</t>
        </is>
      </c>
      <c r="D15" s="15" t="inlineStr">
        <is>
          <t>—</t>
        </is>
      </c>
      <c r="E15" s="15" t="inlineStr">
        <is>
          <t>—</t>
        </is>
      </c>
      <c r="F15" s="15" t="inlineStr">
        <is>
          <t>—</t>
        </is>
      </c>
      <c r="G15" s="15" t="inlineStr">
        <is>
          <t>€44.0</t>
        </is>
      </c>
      <c r="H15" s="15" t="inlineStr">
        <is>
          <t>€10.7</t>
        </is>
      </c>
      <c r="I15" s="15" t="inlineStr">
        <is>
          <t>—</t>
        </is>
      </c>
      <c r="J15" s="15" t="inlineStr">
        <is>
          <t>—</t>
        </is>
      </c>
      <c r="K15" s="15" t="inlineStr">
        <is>
          <t>—</t>
        </is>
      </c>
      <c r="L15" s="15" t="inlineStr">
        <is>
          <t>—</t>
        </is>
      </c>
      <c r="M15" s="15" t="inlineStr">
        <is>
          <t>74.3%</t>
        </is>
      </c>
      <c r="N15" s="15" t="inlineStr">
        <is>
          <t>24.3%</t>
        </is>
      </c>
      <c r="O15" s="15" t="inlineStr">
        <is>
          <t>13.9%</t>
        </is>
      </c>
      <c r="P15" s="15" t="inlineStr">
        <is>
          <t>+1.3%</t>
        </is>
      </c>
      <c r="Q15" s="15" t="inlineStr">
        <is>
          <t>+17.5%</t>
        </is>
      </c>
      <c r="R15" s="15" t="inlineStr">
        <is>
          <t>+9.9%</t>
        </is>
      </c>
      <c r="S15" s="15" t="inlineStr">
        <is>
          <t>1.44</t>
        </is>
      </c>
      <c r="T15" s="15" t="inlineStr">
        <is>
          <t>0.0x</t>
        </is>
      </c>
      <c r="U15" s="15" t="inlineStr">
        <is>
          <t>3.38</t>
        </is>
      </c>
      <c r="V15" s="15" t="inlineStr">
        <is>
          <t>-3.16</t>
        </is>
      </c>
      <c r="W15" s="15" t="inlineStr">
        <is>
          <t>nan%</t>
        </is>
      </c>
      <c r="X15" s="15" t="inlineStr">
        <is>
          <t>—</t>
        </is>
      </c>
      <c r="Y15" s="15" t="n">
        <v>50</v>
      </c>
      <c r="Z15" s="15" t="n">
        <v>85</v>
      </c>
      <c r="AA15" s="11" t="n">
        <v>56</v>
      </c>
      <c r="AB15" s="9" t="n">
        <v>64</v>
      </c>
      <c r="AC15" s="9" t="inlineStr">
        <is>
          <t>—</t>
        </is>
      </c>
      <c r="AD15" s="9" t="inlineStr">
        <is>
          <t>Neutre</t>
        </is>
      </c>
      <c r="AF15" t="inlineStr">
        <is>
          <t>BNP.PA</t>
        </is>
      </c>
      <c r="AG15" t="n">
        <v>62</v>
      </c>
      <c r="AH15" t="n">
        <v>108.7</v>
      </c>
    </row>
    <row r="16" ht="15.95" customHeight="1" thickBot="1">
      <c r="A16" s="16" t="inlineStr">
        <is>
          <t>LR.PA</t>
        </is>
      </c>
      <c r="B16" s="17" t="inlineStr">
        <is>
          <t>Legrand SA</t>
        </is>
      </c>
      <c r="C16" s="16" t="inlineStr">
        <is>
          <t>Industrials</t>
        </is>
      </c>
      <c r="D16" s="17" t="inlineStr">
        <is>
          <t>—</t>
        </is>
      </c>
      <c r="E16" s="17" t="inlineStr">
        <is>
          <t>—</t>
        </is>
      </c>
      <c r="F16" s="17" t="inlineStr">
        <is>
          <t>—</t>
        </is>
      </c>
      <c r="G16" s="17" t="inlineStr">
        <is>
          <t>€9.5</t>
        </is>
      </c>
      <c r="H16" s="17" t="inlineStr">
        <is>
          <t>€2.3</t>
        </is>
      </c>
      <c r="I16" s="17" t="inlineStr">
        <is>
          <t>—</t>
        </is>
      </c>
      <c r="J16" s="17" t="inlineStr">
        <is>
          <t>—</t>
        </is>
      </c>
      <c r="K16" s="17" t="inlineStr">
        <is>
          <t>—</t>
        </is>
      </c>
      <c r="L16" s="17" t="inlineStr">
        <is>
          <t>—</t>
        </is>
      </c>
      <c r="M16" s="17" t="inlineStr">
        <is>
          <t>50.8%</t>
        </is>
      </c>
      <c r="N16" s="17" t="inlineStr">
        <is>
          <t>23.9%</t>
        </is>
      </c>
      <c r="O16" s="17" t="inlineStr">
        <is>
          <t>13.1%</t>
        </is>
      </c>
      <c r="P16" s="17" t="inlineStr">
        <is>
          <t>+9.6%</t>
        </is>
      </c>
      <c r="Q16" s="17" t="inlineStr">
        <is>
          <t>+17.1%</t>
        </is>
      </c>
      <c r="R16" s="17" t="inlineStr">
        <is>
          <t>+7.1%</t>
        </is>
      </c>
      <c r="S16" s="17" t="inlineStr">
        <is>
          <t>1.93</t>
        </is>
      </c>
      <c r="T16" s="17" t="inlineStr">
        <is>
          <t>1.7x</t>
        </is>
      </c>
      <c r="U16" s="17" t="inlineStr">
        <is>
          <t>3.78</t>
        </is>
      </c>
      <c r="V16" s="17" t="inlineStr">
        <is>
          <t>-2.96</t>
        </is>
      </c>
      <c r="W16" s="17" t="inlineStr">
        <is>
          <t>nan%</t>
        </is>
      </c>
      <c r="X16" s="17" t="inlineStr">
        <is>
          <t>—</t>
        </is>
      </c>
      <c r="Y16" s="17" t="n">
        <v>82</v>
      </c>
      <c r="Z16" s="17" t="n">
        <v>56</v>
      </c>
      <c r="AA16" s="12" t="n">
        <v>54</v>
      </c>
      <c r="AB16" s="10" t="n">
        <v>64</v>
      </c>
      <c r="AC16" s="10" t="inlineStr">
        <is>
          <t>2026-05-07</t>
        </is>
      </c>
      <c r="AD16" s="10" t="inlineStr">
        <is>
          <t>Neutre</t>
        </is>
      </c>
      <c r="AF16" t="inlineStr">
        <is>
          <t>CA.PA</t>
        </is>
      </c>
      <c r="AG16" t="n">
        <v>58</v>
      </c>
      <c r="AH16" t="n">
        <v>5.6</v>
      </c>
    </row>
    <row r="17" ht="15.95" customHeight="1" thickBot="1">
      <c r="A17" s="14" t="inlineStr">
        <is>
          <t>BNP.PA</t>
        </is>
      </c>
      <c r="B17" s="15" t="inlineStr">
        <is>
          <t>BNP Paribas SA</t>
        </is>
      </c>
      <c r="C17" s="14" t="inlineStr">
        <is>
          <t>Financials</t>
        </is>
      </c>
      <c r="D17" s="15" t="inlineStr">
        <is>
          <t>—</t>
        </is>
      </c>
      <c r="E17" s="15" t="inlineStr">
        <is>
          <t>—</t>
        </is>
      </c>
      <c r="F17" s="15" t="inlineStr">
        <is>
          <t>—</t>
        </is>
      </c>
      <c r="G17" s="15" t="inlineStr">
        <is>
          <t>€68.8</t>
        </is>
      </c>
      <c r="H17" s="15" t="inlineStr">
        <is>
          <t>€74.8</t>
        </is>
      </c>
      <c r="I17" s="15" t="inlineStr">
        <is>
          <t>—</t>
        </is>
      </c>
      <c r="J17" s="15" t="inlineStr">
        <is>
          <t>—</t>
        </is>
      </c>
      <c r="K17" s="15" t="inlineStr">
        <is>
          <t>—</t>
        </is>
      </c>
      <c r="L17" s="15" t="inlineStr">
        <is>
          <t>—</t>
        </is>
      </c>
      <c r="M17" s="15" t="inlineStr">
        <is>
          <t>—</t>
        </is>
      </c>
      <c r="N17" s="15" t="inlineStr">
        <is>
          <t>108.7%</t>
        </is>
      </c>
      <c r="O17" s="15" t="inlineStr">
        <is>
          <t>17.8%</t>
        </is>
      </c>
      <c r="P17" s="15" t="inlineStr">
        <is>
          <t>+4.5%</t>
        </is>
      </c>
      <c r="Q17" s="15" t="inlineStr">
        <is>
          <t>+9.7%</t>
        </is>
      </c>
      <c r="R17" s="15" t="inlineStr">
        <is>
          <t>+0.4%</t>
        </is>
      </c>
      <c r="S17" s="15" t="inlineStr">
        <is>
          <t>—</t>
        </is>
      </c>
      <c r="T17" s="15" t="inlineStr">
        <is>
          <t>1.0x</t>
        </is>
      </c>
      <c r="U17" s="15" t="inlineStr">
        <is>
          <t>—</t>
        </is>
      </c>
      <c r="V17" s="15" t="inlineStr">
        <is>
          <t>—</t>
        </is>
      </c>
      <c r="W17" s="15" t="inlineStr">
        <is>
          <t>nan%</t>
        </is>
      </c>
      <c r="X17" s="15" t="inlineStr">
        <is>
          <t>—</t>
        </is>
      </c>
      <c r="Y17" s="15" t="n">
        <v>26</v>
      </c>
      <c r="Z17" s="15" t="n">
        <v>64</v>
      </c>
      <c r="AA17" s="11" t="n">
        <v>95</v>
      </c>
      <c r="AB17" s="9" t="n">
        <v>62</v>
      </c>
      <c r="AC17" s="9" t="inlineStr">
        <is>
          <t>2026-04-30</t>
        </is>
      </c>
      <c r="AD17" s="9" t="inlineStr">
        <is>
          <t>Neutre</t>
        </is>
      </c>
      <c r="AF17" t="inlineStr">
        <is>
          <t>EN.PA</t>
        </is>
      </c>
      <c r="AG17" t="n">
        <v>57</v>
      </c>
      <c r="AH17" t="n">
        <v>12.8</v>
      </c>
    </row>
    <row r="18" ht="15.95" customHeight="1" thickBot="1">
      <c r="A18" s="16" t="inlineStr">
        <is>
          <t>CA.PA</t>
        </is>
      </c>
      <c r="B18" s="17" t="inlineStr">
        <is>
          <t>Carrefour SA</t>
        </is>
      </c>
      <c r="C18" s="16" t="inlineStr">
        <is>
          <t>Consumer Staples</t>
        </is>
      </c>
      <c r="D18" s="17" t="inlineStr">
        <is>
          <t>—</t>
        </is>
      </c>
      <c r="E18" s="17" t="inlineStr">
        <is>
          <t>—</t>
        </is>
      </c>
      <c r="F18" s="17" t="inlineStr">
        <is>
          <t>—</t>
        </is>
      </c>
      <c r="G18" s="17" t="inlineStr">
        <is>
          <t>€84.0</t>
        </is>
      </c>
      <c r="H18" s="17" t="inlineStr">
        <is>
          <t>€4.7</t>
        </is>
      </c>
      <c r="I18" s="17" t="inlineStr">
        <is>
          <t>—</t>
        </is>
      </c>
      <c r="J18" s="17" t="inlineStr">
        <is>
          <t>—</t>
        </is>
      </c>
      <c r="K18" s="17" t="inlineStr">
        <is>
          <t>—</t>
        </is>
      </c>
      <c r="L18" s="17" t="inlineStr">
        <is>
          <t>—</t>
        </is>
      </c>
      <c r="M18" s="17" t="inlineStr">
        <is>
          <t>19.1%</t>
        </is>
      </c>
      <c r="N18" s="17" t="inlineStr">
        <is>
          <t>5.6%</t>
        </is>
      </c>
      <c r="O18" s="17" t="inlineStr">
        <is>
          <t>0.4%</t>
        </is>
      </c>
      <c r="P18" s="17" t="inlineStr">
        <is>
          <t>+0.7%</t>
        </is>
      </c>
      <c r="Q18" s="17" t="inlineStr">
        <is>
          <t>+2.9%</t>
        </is>
      </c>
      <c r="R18" s="17" t="inlineStr">
        <is>
          <t>+0.6%</t>
        </is>
      </c>
      <c r="S18" s="17" t="inlineStr">
        <is>
          <t>0.87</t>
        </is>
      </c>
      <c r="T18" s="17" t="inlineStr">
        <is>
          <t>0.9x</t>
        </is>
      </c>
      <c r="U18" s="17" t="inlineStr">
        <is>
          <t>—</t>
        </is>
      </c>
      <c r="V18" s="17" t="inlineStr">
        <is>
          <t>-3.11</t>
        </is>
      </c>
      <c r="W18" s="17" t="inlineStr">
        <is>
          <t>nan%</t>
        </is>
      </c>
      <c r="X18" s="17" t="inlineStr">
        <is>
          <t>—</t>
        </is>
      </c>
      <c r="Y18" s="17" t="n">
        <v>63</v>
      </c>
      <c r="Z18" s="17" t="n">
        <v>26</v>
      </c>
      <c r="AA18" s="12" t="n">
        <v>85</v>
      </c>
      <c r="AB18" s="10" t="n">
        <v>58</v>
      </c>
      <c r="AC18" s="10" t="inlineStr">
        <is>
          <t>—</t>
        </is>
      </c>
      <c r="AD18" s="10" t="inlineStr">
        <is>
          <t>Neutre</t>
        </is>
      </c>
      <c r="AF18" t="inlineStr">
        <is>
          <t>SU.PA</t>
        </is>
      </c>
      <c r="AG18" t="n">
        <v>57</v>
      </c>
      <c r="AH18" t="n">
        <v>20.9</v>
      </c>
    </row>
    <row r="19" ht="15.95" customHeight="1" thickBot="1">
      <c r="A19" s="14" t="inlineStr">
        <is>
          <t>EN.PA</t>
        </is>
      </c>
      <c r="B19" s="15" t="inlineStr">
        <is>
          <t>Bouygues SA</t>
        </is>
      </c>
      <c r="C19" s="14" t="inlineStr">
        <is>
          <t>Industrials</t>
        </is>
      </c>
      <c r="D19" s="15" t="inlineStr">
        <is>
          <t>—</t>
        </is>
      </c>
      <c r="E19" s="15" t="inlineStr">
        <is>
          <t>—</t>
        </is>
      </c>
      <c r="F19" s="15" t="inlineStr">
        <is>
          <t>—</t>
        </is>
      </c>
      <c r="G19" s="15" t="inlineStr">
        <is>
          <t>€56.9</t>
        </is>
      </c>
      <c r="H19" s="15" t="inlineStr">
        <is>
          <t>€7.3</t>
        </is>
      </c>
      <c r="I19" s="15" t="inlineStr">
        <is>
          <t>—</t>
        </is>
      </c>
      <c r="J19" s="15" t="inlineStr">
        <is>
          <t>—</t>
        </is>
      </c>
      <c r="K19" s="15" t="inlineStr">
        <is>
          <t>—</t>
        </is>
      </c>
      <c r="L19" s="15" t="inlineStr">
        <is>
          <t>—</t>
        </is>
      </c>
      <c r="M19" s="15" t="inlineStr">
        <is>
          <t>55.7%</t>
        </is>
      </c>
      <c r="N19" s="15" t="inlineStr">
        <is>
          <t>12.8%</t>
        </is>
      </c>
      <c r="O19" s="15" t="inlineStr">
        <is>
          <t>2.0%</t>
        </is>
      </c>
      <c r="P19" s="15" t="inlineStr">
        <is>
          <t>+0.2%</t>
        </is>
      </c>
      <c r="Q19" s="15" t="inlineStr">
        <is>
          <t>+8.7%</t>
        </is>
      </c>
      <c r="R19" s="15" t="inlineStr">
        <is>
          <t>+1.8%</t>
        </is>
      </c>
      <c r="S19" s="15" t="inlineStr">
        <is>
          <t>0.93</t>
        </is>
      </c>
      <c r="T19" s="15" t="inlineStr">
        <is>
          <t>0.6x</t>
        </is>
      </c>
      <c r="U19" s="15" t="inlineStr">
        <is>
          <t>0.52</t>
        </is>
      </c>
      <c r="V19" s="15" t="inlineStr">
        <is>
          <t>-3.17</t>
        </is>
      </c>
      <c r="W19" s="15" t="inlineStr">
        <is>
          <t>nan%</t>
        </is>
      </c>
      <c r="X19" s="15" t="inlineStr">
        <is>
          <t>—</t>
        </is>
      </c>
      <c r="Y19" s="15" t="n">
        <v>39</v>
      </c>
      <c r="Z19" s="15" t="n">
        <v>54</v>
      </c>
      <c r="AA19" s="11" t="n">
        <v>79</v>
      </c>
      <c r="AB19" s="9" t="n">
        <v>57</v>
      </c>
      <c r="AC19" s="9" t="inlineStr">
        <is>
          <t>2026-05-07</t>
        </is>
      </c>
      <c r="AD19" s="9" t="inlineStr">
        <is>
          <t>Neutre</t>
        </is>
      </c>
      <c r="AF19" t="inlineStr">
        <is>
          <t>KER.PA</t>
        </is>
      </c>
      <c r="AG19" t="n">
        <v>55</v>
      </c>
      <c r="AH19" t="n">
        <v>25</v>
      </c>
    </row>
    <row r="20" ht="15.95" customHeight="1" thickBot="1">
      <c r="A20" s="16" t="inlineStr">
        <is>
          <t>SU.PA</t>
        </is>
      </c>
      <c r="B20" s="17" t="inlineStr">
        <is>
          <t>Schneider Electric S.E.</t>
        </is>
      </c>
      <c r="C20" s="16" t="inlineStr">
        <is>
          <t>Industrials</t>
        </is>
      </c>
      <c r="D20" s="17" t="inlineStr">
        <is>
          <t>—</t>
        </is>
      </c>
      <c r="E20" s="17" t="inlineStr">
        <is>
          <t>—</t>
        </is>
      </c>
      <c r="F20" s="17" t="inlineStr">
        <is>
          <t>—</t>
        </is>
      </c>
      <c r="G20" s="17" t="inlineStr">
        <is>
          <t>€40.1</t>
        </is>
      </c>
      <c r="H20" s="17" t="inlineStr">
        <is>
          <t>€8.4</t>
        </is>
      </c>
      <c r="I20" s="17" t="inlineStr">
        <is>
          <t>—</t>
        </is>
      </c>
      <c r="J20" s="17" t="inlineStr">
        <is>
          <t>—</t>
        </is>
      </c>
      <c r="K20" s="17" t="inlineStr">
        <is>
          <t>—</t>
        </is>
      </c>
      <c r="L20" s="17" t="inlineStr">
        <is>
          <t>—</t>
        </is>
      </c>
      <c r="M20" s="17" t="inlineStr">
        <is>
          <t>42.1%</t>
        </is>
      </c>
      <c r="N20" s="17" t="inlineStr">
        <is>
          <t>20.9%</t>
        </is>
      </c>
      <c r="O20" s="17" t="inlineStr">
        <is>
          <t>10.4%</t>
        </is>
      </c>
      <c r="P20" s="17" t="inlineStr">
        <is>
          <t>+5.2%</t>
        </is>
      </c>
      <c r="Q20" s="17" t="inlineStr">
        <is>
          <t>+17.2%</t>
        </is>
      </c>
      <c r="R20" s="17" t="inlineStr">
        <is>
          <t>+6.7%</t>
        </is>
      </c>
      <c r="S20" s="17" t="inlineStr">
        <is>
          <t>1.19</t>
        </is>
      </c>
      <c r="T20" s="17" t="inlineStr">
        <is>
          <t>1.6x</t>
        </is>
      </c>
      <c r="U20" s="17" t="inlineStr">
        <is>
          <t>—</t>
        </is>
      </c>
      <c r="V20" s="17" t="inlineStr">
        <is>
          <t>-3.08</t>
        </is>
      </c>
      <c r="W20" s="17" t="inlineStr">
        <is>
          <t>nan%</t>
        </is>
      </c>
      <c r="X20" s="17" t="inlineStr">
        <is>
          <t>—</t>
        </is>
      </c>
      <c r="Y20" s="17" t="n">
        <v>66</v>
      </c>
      <c r="Z20" s="17" t="n">
        <v>69</v>
      </c>
      <c r="AA20" s="12" t="n">
        <v>36</v>
      </c>
      <c r="AB20" s="10" t="n">
        <v>57</v>
      </c>
      <c r="AC20" s="10" t="inlineStr">
        <is>
          <t>—</t>
        </is>
      </c>
      <c r="AD20" s="10" t="inlineStr">
        <is>
          <t>Neutre</t>
        </is>
      </c>
      <c r="AF20" t="inlineStr">
        <is>
          <t>MC.PA</t>
        </is>
      </c>
      <c r="AG20" t="n">
        <v>54</v>
      </c>
      <c r="AH20" t="n">
        <v>32</v>
      </c>
    </row>
    <row r="21" ht="15.95" customHeight="1" thickBot="1">
      <c r="A21" s="14" t="inlineStr">
        <is>
          <t>KER.PA</t>
        </is>
      </c>
      <c r="B21" s="15" t="inlineStr">
        <is>
          <t>Kering SA</t>
        </is>
      </c>
      <c r="C21" s="14" t="inlineStr">
        <is>
          <t>Consumer Disc.</t>
        </is>
      </c>
      <c r="D21" s="15" t="inlineStr">
        <is>
          <t>—</t>
        </is>
      </c>
      <c r="E21" s="15" t="inlineStr">
        <is>
          <t>—</t>
        </is>
      </c>
      <c r="F21" s="15" t="inlineStr">
        <is>
          <t>—</t>
        </is>
      </c>
      <c r="G21" s="15" t="inlineStr">
        <is>
          <t>€14.7</t>
        </is>
      </c>
      <c r="H21" s="15" t="inlineStr">
        <is>
          <t>€3.7</t>
        </is>
      </c>
      <c r="I21" s="15" t="inlineStr">
        <is>
          <t>—</t>
        </is>
      </c>
      <c r="J21" s="15" t="inlineStr">
        <is>
          <t>—</t>
        </is>
      </c>
      <c r="K21" s="15" t="inlineStr">
        <is>
          <t>—</t>
        </is>
      </c>
      <c r="L21" s="15" t="inlineStr">
        <is>
          <t>—</t>
        </is>
      </c>
      <c r="M21" s="15" t="inlineStr">
        <is>
          <t>72.6%</t>
        </is>
      </c>
      <c r="N21" s="15" t="inlineStr">
        <is>
          <t>25.0%</t>
        </is>
      </c>
      <c r="O21" s="15" t="inlineStr">
        <is>
          <t>0.5%</t>
        </is>
      </c>
      <c r="P21" s="15" t="inlineStr">
        <is>
          <t>-13.0%</t>
        </is>
      </c>
      <c r="Q21" s="15" t="inlineStr">
        <is>
          <t>+0.5%</t>
        </is>
      </c>
      <c r="R21" s="15" t="inlineStr">
        <is>
          <t>+0.2%</t>
        </is>
      </c>
      <c r="S21" s="15" t="inlineStr">
        <is>
          <t>1.99</t>
        </is>
      </c>
      <c r="T21" s="15" t="inlineStr">
        <is>
          <t>2.2x</t>
        </is>
      </c>
      <c r="U21" s="15" t="inlineStr">
        <is>
          <t>—</t>
        </is>
      </c>
      <c r="V21" s="15" t="inlineStr">
        <is>
          <t>-3.32</t>
        </is>
      </c>
      <c r="W21" s="15" t="inlineStr">
        <is>
          <t>nan%</t>
        </is>
      </c>
      <c r="X21" s="15" t="inlineStr">
        <is>
          <t>—</t>
        </is>
      </c>
      <c r="Y21" s="15" t="n">
        <v>13</v>
      </c>
      <c r="Z21" s="15" t="n">
        <v>87</v>
      </c>
      <c r="AA21" s="11" t="n">
        <v>64</v>
      </c>
      <c r="AB21" s="9" t="n">
        <v>55</v>
      </c>
      <c r="AC21" s="9" t="inlineStr">
        <is>
          <t>—</t>
        </is>
      </c>
      <c r="AD21" s="9" t="inlineStr">
        <is>
          <t>Neutre</t>
        </is>
      </c>
      <c r="AF21" t="inlineStr">
        <is>
          <t>CAP.PA</t>
        </is>
      </c>
      <c r="AG21" t="n">
        <v>53</v>
      </c>
      <c r="AH21" t="n">
        <v>13.6</v>
      </c>
    </row>
    <row r="22" ht="15.95" customHeight="1" thickBot="1">
      <c r="A22" s="16" t="inlineStr">
        <is>
          <t>MC.PA</t>
        </is>
      </c>
      <c r="B22" s="17" t="inlineStr">
        <is>
          <t>LVMH Moët Hennessy - Louis Vuitton, Société Européenne</t>
        </is>
      </c>
      <c r="C22" s="16" t="inlineStr">
        <is>
          <t>Consumer Disc.</t>
        </is>
      </c>
      <c r="D22" s="17" t="inlineStr">
        <is>
          <t>—</t>
        </is>
      </c>
      <c r="E22" s="17" t="inlineStr">
        <is>
          <t>—</t>
        </is>
      </c>
      <c r="F22" s="17" t="inlineStr">
        <is>
          <t>—</t>
        </is>
      </c>
      <c r="G22" s="17" t="inlineStr">
        <is>
          <t>€80.8</t>
        </is>
      </c>
      <c r="H22" s="17" t="inlineStr">
        <is>
          <t>€25.9</t>
        </is>
      </c>
      <c r="I22" s="17" t="inlineStr">
        <is>
          <t>—</t>
        </is>
      </c>
      <c r="J22" s="17" t="inlineStr">
        <is>
          <t>—</t>
        </is>
      </c>
      <c r="K22" s="17" t="inlineStr">
        <is>
          <t>—</t>
        </is>
      </c>
      <c r="L22" s="17" t="inlineStr">
        <is>
          <t>—</t>
        </is>
      </c>
      <c r="M22" s="17" t="inlineStr">
        <is>
          <t>66.2%</t>
        </is>
      </c>
      <c r="N22" s="17" t="inlineStr">
        <is>
          <t>32.0%</t>
        </is>
      </c>
      <c r="O22" s="17" t="inlineStr">
        <is>
          <t>13.5%</t>
        </is>
      </c>
      <c r="P22" s="17" t="inlineStr">
        <is>
          <t>-4.6%</t>
        </is>
      </c>
      <c r="Q22" s="17" t="inlineStr">
        <is>
          <t>+16.1%</t>
        </is>
      </c>
      <c r="R22" s="17" t="inlineStr">
        <is>
          <t>+7.7%</t>
        </is>
      </c>
      <c r="S22" s="17" t="inlineStr">
        <is>
          <t>1.58</t>
        </is>
      </c>
      <c r="T22" s="17" t="inlineStr">
        <is>
          <t>0.4x</t>
        </is>
      </c>
      <c r="U22" s="17" t="inlineStr">
        <is>
          <t>2.88</t>
        </is>
      </c>
      <c r="V22" s="17" t="inlineStr">
        <is>
          <t>-3.19</t>
        </is>
      </c>
      <c r="W22" s="17" t="inlineStr">
        <is>
          <t>nan%</t>
        </is>
      </c>
      <c r="X22" s="17" t="inlineStr">
        <is>
          <t>—</t>
        </is>
      </c>
      <c r="Y22" s="17" t="n">
        <v>24</v>
      </c>
      <c r="Z22" s="17" t="n">
        <v>79</v>
      </c>
      <c r="AA22" s="12" t="n">
        <v>59</v>
      </c>
      <c r="AB22" s="10" t="n">
        <v>54</v>
      </c>
      <c r="AC22" s="10" t="inlineStr">
        <is>
          <t>—</t>
        </is>
      </c>
      <c r="AD22" s="10" t="inlineStr">
        <is>
          <t>Sous-pondérer</t>
        </is>
      </c>
      <c r="AF22" t="inlineStr">
        <is>
          <t>BN.PA</t>
        </is>
      </c>
      <c r="AG22" t="n">
        <v>52</v>
      </c>
      <c r="AH22" t="n">
        <v>16.1</v>
      </c>
    </row>
    <row r="23" ht="15.95" customHeight="1" thickBot="1">
      <c r="A23" s="14" t="inlineStr">
        <is>
          <t>CAP.PA</t>
        </is>
      </c>
      <c r="B23" s="15" t="inlineStr">
        <is>
          <t>Capgemini SE</t>
        </is>
      </c>
      <c r="C23" s="14" t="inlineStr">
        <is>
          <t>Technology</t>
        </is>
      </c>
      <c r="D23" s="15" t="inlineStr">
        <is>
          <t>—</t>
        </is>
      </c>
      <c r="E23" s="15" t="inlineStr">
        <is>
          <t>—</t>
        </is>
      </c>
      <c r="F23" s="15" t="inlineStr">
        <is>
          <t>—</t>
        </is>
      </c>
      <c r="G23" s="15" t="inlineStr">
        <is>
          <t>€22.5</t>
        </is>
      </c>
      <c r="H23" s="15" t="inlineStr">
        <is>
          <t>€3.1</t>
        </is>
      </c>
      <c r="I23" s="15" t="inlineStr">
        <is>
          <t>—</t>
        </is>
      </c>
      <c r="J23" s="15" t="inlineStr">
        <is>
          <t>—</t>
        </is>
      </c>
      <c r="K23" s="15" t="inlineStr">
        <is>
          <t>—</t>
        </is>
      </c>
      <c r="L23" s="15" t="inlineStr">
        <is>
          <t>—</t>
        </is>
      </c>
      <c r="M23" s="15" t="inlineStr">
        <is>
          <t>27.0%</t>
        </is>
      </c>
      <c r="N23" s="15" t="inlineStr">
        <is>
          <t>13.6%</t>
        </is>
      </c>
      <c r="O23" s="15" t="inlineStr">
        <is>
          <t>7.1%</t>
        </is>
      </c>
      <c r="P23" s="15" t="inlineStr">
        <is>
          <t>+1.7%</t>
        </is>
      </c>
      <c r="Q23" s="15" t="inlineStr">
        <is>
          <t>+13.7%</t>
        </is>
      </c>
      <c r="R23" s="15" t="inlineStr">
        <is>
          <t>+5.5%</t>
        </is>
      </c>
      <c r="S23" s="15" t="inlineStr">
        <is>
          <t>1.21</t>
        </is>
      </c>
      <c r="T23" s="15" t="inlineStr">
        <is>
          <t>1.8x</t>
        </is>
      </c>
      <c r="U23" s="15" t="inlineStr">
        <is>
          <t>2.44</t>
        </is>
      </c>
      <c r="V23" s="15" t="inlineStr">
        <is>
          <t>-3.03</t>
        </is>
      </c>
      <c r="W23" s="15" t="inlineStr">
        <is>
          <t>nan%</t>
        </is>
      </c>
      <c r="X23" s="15" t="inlineStr">
        <is>
          <t>—</t>
        </is>
      </c>
      <c r="Y23" s="15" t="n">
        <v>37</v>
      </c>
      <c r="Z23" s="15" t="n">
        <v>36</v>
      </c>
      <c r="AA23" s="11" t="n">
        <v>87</v>
      </c>
      <c r="AB23" s="9" t="n">
        <v>53</v>
      </c>
      <c r="AC23" s="9" t="inlineStr">
        <is>
          <t>—</t>
        </is>
      </c>
      <c r="AD23" s="9" t="inlineStr">
        <is>
          <t>Sous-pondérer</t>
        </is>
      </c>
      <c r="AF23" t="inlineStr">
        <is>
          <t>RI.PA</t>
        </is>
      </c>
      <c r="AG23" t="n">
        <v>51</v>
      </c>
      <c r="AH23" t="n">
        <v>29.1</v>
      </c>
    </row>
    <row r="24" ht="15.95" customHeight="1" thickBot="1">
      <c r="A24" s="16" t="inlineStr">
        <is>
          <t>BN.PA</t>
        </is>
      </c>
      <c r="B24" s="17" t="inlineStr">
        <is>
          <t>Danone S.A.</t>
        </is>
      </c>
      <c r="C24" s="16" t="inlineStr">
        <is>
          <t>Consumer Staples</t>
        </is>
      </c>
      <c r="D24" s="17" t="inlineStr">
        <is>
          <t>—</t>
        </is>
      </c>
      <c r="E24" s="17" t="inlineStr">
        <is>
          <t>—</t>
        </is>
      </c>
      <c r="F24" s="17" t="inlineStr">
        <is>
          <t>—</t>
        </is>
      </c>
      <c r="G24" s="17" t="inlineStr">
        <is>
          <t>€27.3</t>
        </is>
      </c>
      <c r="H24" s="17" t="inlineStr">
        <is>
          <t>€4.4</t>
        </is>
      </c>
      <c r="I24" s="17" t="inlineStr">
        <is>
          <t>—</t>
        </is>
      </c>
      <c r="J24" s="17" t="inlineStr">
        <is>
          <t>—</t>
        </is>
      </c>
      <c r="K24" s="17" t="inlineStr">
        <is>
          <t>—</t>
        </is>
      </c>
      <c r="L24" s="17" t="inlineStr">
        <is>
          <t>—</t>
        </is>
      </c>
      <c r="M24" s="17" t="inlineStr">
        <is>
          <t>50.6%</t>
        </is>
      </c>
      <c r="N24" s="17" t="inlineStr">
        <is>
          <t>16.1%</t>
        </is>
      </c>
      <c r="O24" s="17" t="inlineStr">
        <is>
          <t>6.7%</t>
        </is>
      </c>
      <c r="P24" s="17" t="inlineStr">
        <is>
          <t>-0.3%</t>
        </is>
      </c>
      <c r="Q24" s="17" t="inlineStr">
        <is>
          <t>+10.8%</t>
        </is>
      </c>
      <c r="R24" s="17" t="inlineStr">
        <is>
          <t>+4.0%</t>
        </is>
      </c>
      <c r="S24" s="17" t="inlineStr">
        <is>
          <t>0.90</t>
        </is>
      </c>
      <c r="T24" s="17" t="inlineStr">
        <is>
          <t>2.6x</t>
        </is>
      </c>
      <c r="U24" s="17" t="inlineStr">
        <is>
          <t>2.23</t>
        </is>
      </c>
      <c r="V24" s="17" t="inlineStr">
        <is>
          <t>-3.10</t>
        </is>
      </c>
      <c r="W24" s="17" t="inlineStr">
        <is>
          <t>nan%</t>
        </is>
      </c>
      <c r="X24" s="17" t="inlineStr">
        <is>
          <t>—</t>
        </is>
      </c>
      <c r="Y24" s="17" t="n">
        <v>29</v>
      </c>
      <c r="Z24" s="17" t="n">
        <v>51</v>
      </c>
      <c r="AA24" s="12" t="n">
        <v>77</v>
      </c>
      <c r="AB24" s="10" t="n">
        <v>52</v>
      </c>
      <c r="AC24" s="10" t="inlineStr">
        <is>
          <t>—</t>
        </is>
      </c>
      <c r="AD24" s="10" t="inlineStr">
        <is>
          <t>Sous-pondérer</t>
        </is>
      </c>
      <c r="AF24" t="inlineStr">
        <is>
          <t>VIV.PA</t>
        </is>
      </c>
      <c r="AG24" t="n">
        <v>51</v>
      </c>
      <c r="AH24" t="n">
        <v>54.4</v>
      </c>
    </row>
    <row r="25" ht="15.95" customHeight="1" thickBot="1">
      <c r="A25" s="14" t="inlineStr">
        <is>
          <t>RI.PA</t>
        </is>
      </c>
      <c r="B25" s="15" t="inlineStr">
        <is>
          <t>Pernod Ricard SA</t>
        </is>
      </c>
      <c r="C25" s="14" t="inlineStr">
        <is>
          <t>Consumer Staples</t>
        </is>
      </c>
      <c r="D25" s="15" t="inlineStr">
        <is>
          <t>—</t>
        </is>
      </c>
      <c r="E25" s="15" t="inlineStr">
        <is>
          <t>—</t>
        </is>
      </c>
      <c r="F25" s="15" t="inlineStr">
        <is>
          <t>—</t>
        </is>
      </c>
      <c r="G25" s="15" t="inlineStr">
        <is>
          <t>€11.0</t>
        </is>
      </c>
      <c r="H25" s="15" t="inlineStr">
        <is>
          <t>€3.2</t>
        </is>
      </c>
      <c r="I25" s="15" t="inlineStr">
        <is>
          <t>—</t>
        </is>
      </c>
      <c r="J25" s="15" t="inlineStr">
        <is>
          <t>—</t>
        </is>
      </c>
      <c r="K25" s="15" t="inlineStr">
        <is>
          <t>—</t>
        </is>
      </c>
      <c r="L25" s="15" t="inlineStr">
        <is>
          <t>—</t>
        </is>
      </c>
      <c r="M25" s="15" t="inlineStr">
        <is>
          <t>59.5%</t>
        </is>
      </c>
      <c r="N25" s="15" t="inlineStr">
        <is>
          <t>29.1%</t>
        </is>
      </c>
      <c r="O25" s="15" t="inlineStr">
        <is>
          <t>14.8%</t>
        </is>
      </c>
      <c r="P25" s="15" t="inlineStr">
        <is>
          <t>-5.5%</t>
        </is>
      </c>
      <c r="Q25" s="15" t="inlineStr">
        <is>
          <t>+10.7%</t>
        </is>
      </c>
      <c r="R25" s="15" t="inlineStr">
        <is>
          <t>+4.4%</t>
        </is>
      </c>
      <c r="S25" s="15" t="inlineStr">
        <is>
          <t>1.92</t>
        </is>
      </c>
      <c r="T25" s="15" t="inlineStr">
        <is>
          <t>3.2x</t>
        </is>
      </c>
      <c r="U25" s="15" t="inlineStr">
        <is>
          <t>3.35</t>
        </is>
      </c>
      <c r="V25" s="15" t="inlineStr">
        <is>
          <t>-3.11</t>
        </is>
      </c>
      <c r="W25" s="15" t="inlineStr">
        <is>
          <t>nan%</t>
        </is>
      </c>
      <c r="X25" s="15" t="inlineStr">
        <is>
          <t>—</t>
        </is>
      </c>
      <c r="Y25" s="15" t="n">
        <v>34</v>
      </c>
      <c r="Z25" s="15" t="n">
        <v>74</v>
      </c>
      <c r="AA25" s="11" t="n">
        <v>46</v>
      </c>
      <c r="AB25" s="9" t="n">
        <v>51</v>
      </c>
      <c r="AC25" s="9" t="inlineStr">
        <is>
          <t>—</t>
        </is>
      </c>
      <c r="AD25" s="9" t="inlineStr">
        <is>
          <t>Sous-pondérer</t>
        </is>
      </c>
      <c r="AF25" t="inlineStr">
        <is>
          <t>HO.PA</t>
        </is>
      </c>
      <c r="AG25" t="n">
        <v>48</v>
      </c>
      <c r="AH25" t="n">
        <v>15.4</v>
      </c>
    </row>
    <row r="26" ht="15.95" customHeight="1" thickBot="1">
      <c r="A26" s="16" t="inlineStr">
        <is>
          <t>VIV.PA</t>
        </is>
      </c>
      <c r="B26" s="17" t="inlineStr">
        <is>
          <t>Vivendi SE</t>
        </is>
      </c>
      <c r="C26" s="16" t="inlineStr">
        <is>
          <t>Comm. Services</t>
        </is>
      </c>
      <c r="D26" s="17" t="inlineStr">
        <is>
          <t>—</t>
        </is>
      </c>
      <c r="E26" s="17" t="inlineStr">
        <is>
          <t>—</t>
        </is>
      </c>
      <c r="F26" s="17" t="inlineStr">
        <is>
          <t>—</t>
        </is>
      </c>
      <c r="G26" s="17" t="inlineStr">
        <is>
          <t>€0.3</t>
        </is>
      </c>
      <c r="H26" s="17" t="inlineStr">
        <is>
          <t>€0.2</t>
        </is>
      </c>
      <c r="I26" s="17" t="inlineStr">
        <is>
          <t>—</t>
        </is>
      </c>
      <c r="J26" s="17" t="inlineStr">
        <is>
          <t>—</t>
        </is>
      </c>
      <c r="K26" s="17" t="inlineStr">
        <is>
          <t>—</t>
        </is>
      </c>
      <c r="L26" s="17" t="inlineStr">
        <is>
          <t>—</t>
        </is>
      </c>
      <c r="M26" s="17" t="inlineStr">
        <is>
          <t>30.6%</t>
        </is>
      </c>
      <c r="N26" s="17" t="inlineStr">
        <is>
          <t>54.4%</t>
        </is>
      </c>
      <c r="O26" s="17" t="inlineStr">
        <is>
          <t>6.5%</t>
        </is>
      </c>
      <c r="P26" s="17" t="inlineStr">
        <is>
          <t>+3.4%</t>
        </is>
      </c>
      <c r="Q26" s="17" t="inlineStr">
        <is>
          <t>+0.4%</t>
        </is>
      </c>
      <c r="R26" s="17" t="inlineStr">
        <is>
          <t>+0.3%</t>
        </is>
      </c>
      <c r="S26" s="17" t="inlineStr">
        <is>
          <t>0.16</t>
        </is>
      </c>
      <c r="T26" s="17" t="inlineStr">
        <is>
          <t>6.9x</t>
        </is>
      </c>
      <c r="U26" s="17" t="inlineStr">
        <is>
          <t>2.48</t>
        </is>
      </c>
      <c r="V26" s="17" t="inlineStr">
        <is>
          <t>-2.72</t>
        </is>
      </c>
      <c r="W26" s="17" t="inlineStr">
        <is>
          <t>nan%</t>
        </is>
      </c>
      <c r="X26" s="17" t="inlineStr">
        <is>
          <t>—</t>
        </is>
      </c>
      <c r="Y26" s="17" t="n">
        <v>97</v>
      </c>
      <c r="Z26" s="17" t="n">
        <v>41</v>
      </c>
      <c r="AA26" s="12" t="n">
        <v>15</v>
      </c>
      <c r="AB26" s="10" t="n">
        <v>51</v>
      </c>
      <c r="AC26" s="10" t="inlineStr">
        <is>
          <t>—</t>
        </is>
      </c>
      <c r="AD26" s="10" t="inlineStr">
        <is>
          <t>Sous-pondérer</t>
        </is>
      </c>
      <c r="AF26" t="inlineStr">
        <is>
          <t>DG.PA</t>
        </is>
      </c>
      <c r="AG26" t="n">
        <v>47</v>
      </c>
      <c r="AH26" t="n">
        <v>18</v>
      </c>
    </row>
    <row r="27" ht="15.95" customHeight="1" thickBot="1">
      <c r="A27" s="14" t="inlineStr">
        <is>
          <t>HO.PA</t>
        </is>
      </c>
      <c r="B27" s="15" t="inlineStr">
        <is>
          <t>Thales S.A.</t>
        </is>
      </c>
      <c r="C27" s="14" t="inlineStr">
        <is>
          <t>Industrials</t>
        </is>
      </c>
      <c r="D27" s="15" t="inlineStr">
        <is>
          <t>—</t>
        </is>
      </c>
      <c r="E27" s="15" t="inlineStr">
        <is>
          <t>—</t>
        </is>
      </c>
      <c r="F27" s="15" t="inlineStr">
        <is>
          <t>—</t>
        </is>
      </c>
      <c r="G27" s="15" t="inlineStr">
        <is>
          <t>€22.1</t>
        </is>
      </c>
      <c r="H27" s="15" t="inlineStr">
        <is>
          <t>€3.4</t>
        </is>
      </c>
      <c r="I27" s="15" t="inlineStr">
        <is>
          <t>—</t>
        </is>
      </c>
      <c r="J27" s="15" t="inlineStr">
        <is>
          <t>—</t>
        </is>
      </c>
      <c r="K27" s="15" t="inlineStr">
        <is>
          <t>—</t>
        </is>
      </c>
      <c r="L27" s="15" t="inlineStr">
        <is>
          <t>—</t>
        </is>
      </c>
      <c r="M27" s="15" t="inlineStr">
        <is>
          <t>26.4%</t>
        </is>
      </c>
      <c r="N27" s="15" t="inlineStr">
        <is>
          <t>15.4%</t>
        </is>
      </c>
      <c r="O27" s="15" t="inlineStr">
        <is>
          <t>7.6%</t>
        </is>
      </c>
      <c r="P27" s="15" t="inlineStr">
        <is>
          <t>+7.6%</t>
        </is>
      </c>
      <c r="Q27" s="15" t="inlineStr">
        <is>
          <t>+21.0%</t>
        </is>
      </c>
      <c r="R27" s="15" t="inlineStr">
        <is>
          <t>+4.3%</t>
        </is>
      </c>
      <c r="S27" s="15" t="inlineStr">
        <is>
          <t>0.84</t>
        </is>
      </c>
      <c r="T27" s="15" t="inlineStr">
        <is>
          <t>0.5x</t>
        </is>
      </c>
      <c r="U27" s="15" t="inlineStr">
        <is>
          <t>0.43</t>
        </is>
      </c>
      <c r="V27" s="15" t="inlineStr">
        <is>
          <t>-3.19</t>
        </is>
      </c>
      <c r="W27" s="15" t="inlineStr">
        <is>
          <t>nan%</t>
        </is>
      </c>
      <c r="X27" s="15" t="inlineStr">
        <is>
          <t>—</t>
        </is>
      </c>
      <c r="Y27" s="15" t="n">
        <v>89</v>
      </c>
      <c r="Z27" s="15" t="n">
        <v>31</v>
      </c>
      <c r="AA27" s="11" t="n">
        <v>23</v>
      </c>
      <c r="AB27" s="9" t="n">
        <v>48</v>
      </c>
      <c r="AC27" s="9" t="inlineStr">
        <is>
          <t>—</t>
        </is>
      </c>
      <c r="AD27" s="9" t="inlineStr">
        <is>
          <t>Sous-pondérer</t>
        </is>
      </c>
      <c r="AF27" t="inlineStr">
        <is>
          <t>ENGI.PA</t>
        </is>
      </c>
      <c r="AG27" t="n">
        <v>46</v>
      </c>
      <c r="AH27" t="n">
        <v>20</v>
      </c>
    </row>
    <row r="28" ht="15.95" customHeight="1" thickBot="1">
      <c r="A28" s="16" t="inlineStr">
        <is>
          <t>DG.PA</t>
        </is>
      </c>
      <c r="B28" s="17" t="inlineStr">
        <is>
          <t>Vinci SA</t>
        </is>
      </c>
      <c r="C28" s="16" t="inlineStr">
        <is>
          <t>Industrials</t>
        </is>
      </c>
      <c r="D28" s="17" t="inlineStr">
        <is>
          <t>—</t>
        </is>
      </c>
      <c r="E28" s="17" t="inlineStr">
        <is>
          <t>—</t>
        </is>
      </c>
      <c r="F28" s="17" t="inlineStr">
        <is>
          <t>—</t>
        </is>
      </c>
      <c r="G28" s="17" t="inlineStr">
        <is>
          <t>€75.7</t>
        </is>
      </c>
      <c r="H28" s="17" t="inlineStr">
        <is>
          <t>€13.7</t>
        </is>
      </c>
      <c r="I28" s="17" t="inlineStr">
        <is>
          <t>—</t>
        </is>
      </c>
      <c r="J28" s="17" t="inlineStr">
        <is>
          <t>—</t>
        </is>
      </c>
      <c r="K28" s="17" t="inlineStr">
        <is>
          <t>—</t>
        </is>
      </c>
      <c r="L28" s="17" t="inlineStr">
        <is>
          <t>—</t>
        </is>
      </c>
      <c r="M28" s="17" t="inlineStr">
        <is>
          <t>60.0%</t>
        </is>
      </c>
      <c r="N28" s="17" t="inlineStr">
        <is>
          <t>18.0%</t>
        </is>
      </c>
      <c r="O28" s="17" t="inlineStr">
        <is>
          <t>6.5%</t>
        </is>
      </c>
      <c r="P28" s="17" t="inlineStr">
        <is>
          <t>+4.0%</t>
        </is>
      </c>
      <c r="Q28" s="17" t="inlineStr">
        <is>
          <t>+15.9%</t>
        </is>
      </c>
      <c r="R28" s="17" t="inlineStr">
        <is>
          <t>+3.7%</t>
        </is>
      </c>
      <c r="S28" s="17" t="inlineStr">
        <is>
          <t>0.85</t>
        </is>
      </c>
      <c r="T28" s="17" t="inlineStr">
        <is>
          <t>1.3x</t>
        </is>
      </c>
      <c r="U28" s="17" t="inlineStr">
        <is>
          <t>0.50</t>
        </is>
      </c>
      <c r="V28" s="17" t="inlineStr">
        <is>
          <t>-2.17</t>
        </is>
      </c>
      <c r="W28" s="17" t="inlineStr">
        <is>
          <t>nan%</t>
        </is>
      </c>
      <c r="X28" s="17" t="inlineStr">
        <is>
          <t>—</t>
        </is>
      </c>
      <c r="Y28" s="17" t="n">
        <v>68</v>
      </c>
      <c r="Z28" s="17" t="n">
        <v>59</v>
      </c>
      <c r="AA28" s="12" t="n">
        <v>13</v>
      </c>
      <c r="AB28" s="10" t="n">
        <v>47</v>
      </c>
      <c r="AC28" s="10" t="inlineStr">
        <is>
          <t>—</t>
        </is>
      </c>
      <c r="AD28" s="10" t="inlineStr">
        <is>
          <t>Sous-pondérer</t>
        </is>
      </c>
      <c r="AF28" t="inlineStr">
        <is>
          <t>BVI.PA</t>
        </is>
      </c>
      <c r="AG28" t="n">
        <v>46</v>
      </c>
      <c r="AH28" t="n">
        <v>19.6</v>
      </c>
    </row>
    <row r="29" ht="15.95" customHeight="1" thickBot="1">
      <c r="A29" s="14" t="inlineStr">
        <is>
          <t>ENGI.PA</t>
        </is>
      </c>
      <c r="B29" s="15" t="inlineStr">
        <is>
          <t>Engie SA</t>
        </is>
      </c>
      <c r="C29" s="14" t="inlineStr">
        <is>
          <t>Utilities</t>
        </is>
      </c>
      <c r="D29" s="15" t="inlineStr">
        <is>
          <t>—</t>
        </is>
      </c>
      <c r="E29" s="15" t="inlineStr">
        <is>
          <t>—</t>
        </is>
      </c>
      <c r="F29" s="15" t="inlineStr">
        <is>
          <t>—</t>
        </is>
      </c>
      <c r="G29" s="15" t="inlineStr">
        <is>
          <t>€71.9</t>
        </is>
      </c>
      <c r="H29" s="15" t="inlineStr">
        <is>
          <t>€14.4</t>
        </is>
      </c>
      <c r="I29" s="15" t="inlineStr">
        <is>
          <t>—</t>
        </is>
      </c>
      <c r="J29" s="15" t="inlineStr">
        <is>
          <t>—</t>
        </is>
      </c>
      <c r="K29" s="15" t="inlineStr">
        <is>
          <t>—</t>
        </is>
      </c>
      <c r="L29" s="15" t="inlineStr">
        <is>
          <t>—</t>
        </is>
      </c>
      <c r="M29" s="15" t="inlineStr">
        <is>
          <t>31.8%</t>
        </is>
      </c>
      <c r="N29" s="15" t="inlineStr">
        <is>
          <t>20.0%</t>
        </is>
      </c>
      <c r="O29" s="15" t="inlineStr">
        <is>
          <t>5.3%</t>
        </is>
      </c>
      <c r="P29" s="15" t="inlineStr">
        <is>
          <t>-2.5%</t>
        </is>
      </c>
      <c r="Q29" s="15" t="inlineStr">
        <is>
          <t>+11.6%</t>
        </is>
      </c>
      <c r="R29" s="15" t="inlineStr">
        <is>
          <t>+2.3%</t>
        </is>
      </c>
      <c r="S29" s="15" t="inlineStr">
        <is>
          <t>1.08</t>
        </is>
      </c>
      <c r="T29" s="15" t="inlineStr">
        <is>
          <t>2.5x</t>
        </is>
      </c>
      <c r="U29" s="15" t="inlineStr">
        <is>
          <t>—</t>
        </is>
      </c>
      <c r="V29" s="15" t="inlineStr">
        <is>
          <t>-3.12</t>
        </is>
      </c>
      <c r="W29" s="15" t="inlineStr">
        <is>
          <t>nan%</t>
        </is>
      </c>
      <c r="X29" s="15" t="inlineStr">
        <is>
          <t>—</t>
        </is>
      </c>
      <c r="Y29" s="15" t="n">
        <v>18</v>
      </c>
      <c r="Z29" s="15" t="n">
        <v>49</v>
      </c>
      <c r="AA29" s="11" t="n">
        <v>72</v>
      </c>
      <c r="AB29" s="9" t="n">
        <v>46</v>
      </c>
      <c r="AC29" s="9" t="inlineStr">
        <is>
          <t>2026-05-07</t>
        </is>
      </c>
      <c r="AD29" s="9" t="inlineStr">
        <is>
          <t>Sous-pondérer</t>
        </is>
      </c>
      <c r="AF29" t="inlineStr">
        <is>
          <t>ML.PA</t>
        </is>
      </c>
      <c r="AG29" t="n">
        <v>40</v>
      </c>
      <c r="AH29" t="n">
        <v>17.9</v>
      </c>
    </row>
    <row r="30" ht="15.95" customHeight="1" thickBot="1">
      <c r="A30" s="16" t="inlineStr">
        <is>
          <t>BVI.PA</t>
        </is>
      </c>
      <c r="B30" s="17" t="inlineStr">
        <is>
          <t>Bureau Veritas SA</t>
        </is>
      </c>
      <c r="C30" s="16" t="inlineStr">
        <is>
          <t>Industrials</t>
        </is>
      </c>
      <c r="D30" s="17" t="inlineStr">
        <is>
          <t>—</t>
        </is>
      </c>
      <c r="E30" s="17" t="inlineStr">
        <is>
          <t>—</t>
        </is>
      </c>
      <c r="F30" s="17" t="inlineStr">
        <is>
          <t>—</t>
        </is>
      </c>
      <c r="G30" s="17" t="inlineStr">
        <is>
          <t>€6.5</t>
        </is>
      </c>
      <c r="H30" s="17" t="inlineStr">
        <is>
          <t>€1.3</t>
        </is>
      </c>
      <c r="I30" s="17" t="inlineStr">
        <is>
          <t>—</t>
        </is>
      </c>
      <c r="J30" s="17" t="inlineStr">
        <is>
          <t>—</t>
        </is>
      </c>
      <c r="K30" s="17" t="inlineStr">
        <is>
          <t>—</t>
        </is>
      </c>
      <c r="L30" s="17" t="inlineStr">
        <is>
          <t>—</t>
        </is>
      </c>
      <c r="M30" s="17" t="inlineStr">
        <is>
          <t>72.2%</t>
        </is>
      </c>
      <c r="N30" s="17" t="inlineStr">
        <is>
          <t>19.6%</t>
        </is>
      </c>
      <c r="O30" s="17" t="inlineStr">
        <is>
          <t>9.1%</t>
        </is>
      </c>
      <c r="P30" s="17" t="inlineStr">
        <is>
          <t>+3.6%</t>
        </is>
      </c>
      <c r="Q30" s="17" t="inlineStr">
        <is>
          <t>+34.4%</t>
        </is>
      </c>
      <c r="R30" s="17" t="inlineStr">
        <is>
          <t>+8.3%</t>
        </is>
      </c>
      <c r="S30" s="17" t="inlineStr">
        <is>
          <t>1.53</t>
        </is>
      </c>
      <c r="T30" s="17" t="inlineStr">
        <is>
          <t>1.0x</t>
        </is>
      </c>
      <c r="U30" s="17" t="inlineStr">
        <is>
          <t>3.10</t>
        </is>
      </c>
      <c r="V30" s="17" t="inlineStr">
        <is>
          <t>-3.04</t>
        </is>
      </c>
      <c r="W30" s="17" t="inlineStr">
        <is>
          <t>nan%</t>
        </is>
      </c>
      <c r="X30" s="17" t="inlineStr">
        <is>
          <t>—</t>
        </is>
      </c>
      <c r="Y30" s="17" t="n">
        <v>53</v>
      </c>
      <c r="Z30" s="17" t="n">
        <v>82</v>
      </c>
      <c r="AA30" s="12" t="n">
        <v>3</v>
      </c>
      <c r="AB30" s="10" t="n">
        <v>46</v>
      </c>
      <c r="AC30" s="10" t="inlineStr">
        <is>
          <t>—</t>
        </is>
      </c>
      <c r="AD30" s="10" t="inlineStr">
        <is>
          <t>Sous-pondérer</t>
        </is>
      </c>
      <c r="AF30" t="inlineStr">
        <is>
          <t>PUB.PA</t>
        </is>
      </c>
      <c r="AG30" t="n">
        <v>39</v>
      </c>
      <c r="AH30" t="n">
        <v>17.9</v>
      </c>
    </row>
    <row r="31" ht="15.95" customHeight="1" thickBot="1">
      <c r="A31" s="14" t="inlineStr">
        <is>
          <t>ML.PA</t>
        </is>
      </c>
      <c r="B31" s="15" t="inlineStr">
        <is>
          <t>Compagnie Générale des Établissements Michelin Société en commandite par actions</t>
        </is>
      </c>
      <c r="C31" s="14" t="inlineStr">
        <is>
          <t>—</t>
        </is>
      </c>
      <c r="D31" s="15" t="inlineStr">
        <is>
          <t>—</t>
        </is>
      </c>
      <c r="E31" s="15" t="inlineStr">
        <is>
          <t>—</t>
        </is>
      </c>
      <c r="F31" s="15" t="inlineStr">
        <is>
          <t>—</t>
        </is>
      </c>
      <c r="G31" s="15" t="inlineStr">
        <is>
          <t>€26.0</t>
        </is>
      </c>
      <c r="H31" s="15" t="inlineStr">
        <is>
          <t>€4.7</t>
        </is>
      </c>
      <c r="I31" s="15" t="inlineStr">
        <is>
          <t>—</t>
        </is>
      </c>
      <c r="J31" s="15" t="inlineStr">
        <is>
          <t>—</t>
        </is>
      </c>
      <c r="K31" s="15" t="inlineStr">
        <is>
          <t>—</t>
        </is>
      </c>
      <c r="L31" s="15" t="inlineStr">
        <is>
          <t>—</t>
        </is>
      </c>
      <c r="M31" s="15" t="inlineStr">
        <is>
          <t>27.0%</t>
        </is>
      </c>
      <c r="N31" s="15" t="inlineStr">
        <is>
          <t>17.9%</t>
        </is>
      </c>
      <c r="O31" s="15" t="inlineStr">
        <is>
          <t>6.4%</t>
        </is>
      </c>
      <c r="P31" s="15" t="inlineStr">
        <is>
          <t>-4.4%</t>
        </is>
      </c>
      <c r="Q31" s="15" t="inlineStr">
        <is>
          <t>+9.2%</t>
        </is>
      </c>
      <c r="R31" s="15" t="inlineStr">
        <is>
          <t>+4.8%</t>
        </is>
      </c>
      <c r="S31" s="15" t="inlineStr">
        <is>
          <t>1.90</t>
        </is>
      </c>
      <c r="T31" s="15" t="inlineStr">
        <is>
          <t>0.4x</t>
        </is>
      </c>
      <c r="U31" s="15" t="inlineStr">
        <is>
          <t>4.47</t>
        </is>
      </c>
      <c r="V31" s="15" t="inlineStr">
        <is>
          <t>-3.08</t>
        </is>
      </c>
      <c r="W31" s="15" t="inlineStr">
        <is>
          <t>nan%</t>
        </is>
      </c>
      <c r="X31" s="15" t="inlineStr">
        <is>
          <t>—</t>
        </is>
      </c>
      <c r="Y31" s="15" t="n">
        <v>32</v>
      </c>
      <c r="Z31" s="15" t="n">
        <v>38</v>
      </c>
      <c r="AA31" s="11" t="n">
        <v>51</v>
      </c>
      <c r="AB31" s="9" t="n">
        <v>40</v>
      </c>
      <c r="AC31" s="9" t="inlineStr">
        <is>
          <t>—</t>
        </is>
      </c>
      <c r="AD31" s="9" t="inlineStr">
        <is>
          <t>Sous-pondérer</t>
        </is>
      </c>
      <c r="AF31" t="inlineStr">
        <is>
          <t>SGO.PA</t>
        </is>
      </c>
      <c r="AG31" t="n">
        <v>37</v>
      </c>
      <c r="AH31" t="n">
        <v>16.2</v>
      </c>
    </row>
    <row r="32" ht="15.95" customHeight="1" thickBot="1">
      <c r="A32" s="16" t="inlineStr">
        <is>
          <t>PUB.PA</t>
        </is>
      </c>
      <c r="B32" s="17" t="inlineStr">
        <is>
          <t>Publicis Groupe S.A.</t>
        </is>
      </c>
      <c r="C32" s="16" t="inlineStr">
        <is>
          <t>Comm. Services</t>
        </is>
      </c>
      <c r="D32" s="17" t="inlineStr">
        <is>
          <t>—</t>
        </is>
      </c>
      <c r="E32" s="17" t="inlineStr">
        <is>
          <t>—</t>
        </is>
      </c>
      <c r="F32" s="17" t="inlineStr">
        <is>
          <t>—</t>
        </is>
      </c>
      <c r="G32" s="17" t="inlineStr">
        <is>
          <t>€17.4</t>
        </is>
      </c>
      <c r="H32" s="17" t="inlineStr">
        <is>
          <t>€3.1</t>
        </is>
      </c>
      <c r="I32" s="17" t="inlineStr">
        <is>
          <t>—</t>
        </is>
      </c>
      <c r="J32" s="17" t="inlineStr">
        <is>
          <t>—</t>
        </is>
      </c>
      <c r="K32" s="17" t="inlineStr">
        <is>
          <t>—</t>
        </is>
      </c>
      <c r="L32" s="17" t="inlineStr">
        <is>
          <t>—</t>
        </is>
      </c>
      <c r="M32" s="17" t="inlineStr">
        <is>
          <t>—</t>
        </is>
      </c>
      <c r="N32" s="17" t="inlineStr">
        <is>
          <t>17.9%</t>
        </is>
      </c>
      <c r="O32" s="17" t="inlineStr">
        <is>
          <t>9.5%</t>
        </is>
      </c>
      <c r="P32" s="17" t="inlineStr">
        <is>
          <t>+8.5%</t>
        </is>
      </c>
      <c r="Q32" s="17" t="inlineStr">
        <is>
          <t>+15.8%</t>
        </is>
      </c>
      <c r="R32" s="17" t="inlineStr">
        <is>
          <t>+4.1%</t>
        </is>
      </c>
      <c r="S32" s="17" t="inlineStr">
        <is>
          <t>0.97</t>
        </is>
      </c>
      <c r="T32" s="17" t="inlineStr">
        <is>
          <t>-0.2x</t>
        </is>
      </c>
      <c r="U32" s="17" t="inlineStr">
        <is>
          <t>—</t>
        </is>
      </c>
      <c r="V32" s="17" t="inlineStr">
        <is>
          <t>—</t>
        </is>
      </c>
      <c r="W32" s="17" t="inlineStr">
        <is>
          <t>nan%</t>
        </is>
      </c>
      <c r="X32" s="17" t="inlineStr">
        <is>
          <t>—</t>
        </is>
      </c>
      <c r="Y32" s="17" t="n">
        <v>58</v>
      </c>
      <c r="Z32" s="17" t="n">
        <v>18</v>
      </c>
      <c r="AA32" s="12" t="n">
        <v>41</v>
      </c>
      <c r="AB32" s="10" t="n">
        <v>39</v>
      </c>
      <c r="AC32" s="10" t="inlineStr">
        <is>
          <t>—</t>
        </is>
      </c>
      <c r="AD32" s="10" t="inlineStr">
        <is>
          <t>Sous-pondérer</t>
        </is>
      </c>
      <c r="AF32" t="inlineStr">
        <is>
          <t>MT.AS</t>
        </is>
      </c>
      <c r="AG32" t="n">
        <v>33</v>
      </c>
      <c r="AH32" t="n">
        <v>11.6</v>
      </c>
    </row>
    <row r="33" ht="15.95" customHeight="1" thickBot="1">
      <c r="A33" s="14" t="inlineStr">
        <is>
          <t>SGO.PA</t>
        </is>
      </c>
      <c r="B33" s="15" t="inlineStr">
        <is>
          <t>Compagnie de Saint-Gobain S.A.</t>
        </is>
      </c>
      <c r="C33" s="14" t="inlineStr">
        <is>
          <t>Industrials</t>
        </is>
      </c>
      <c r="D33" s="15" t="inlineStr">
        <is>
          <t>—</t>
        </is>
      </c>
      <c r="E33" s="15" t="inlineStr">
        <is>
          <t>—</t>
        </is>
      </c>
      <c r="F33" s="15" t="inlineStr">
        <is>
          <t>—</t>
        </is>
      </c>
      <c r="G33" s="15" t="inlineStr">
        <is>
          <t>€46.5</t>
        </is>
      </c>
      <c r="H33" s="15" t="inlineStr">
        <is>
          <t>€7.5</t>
        </is>
      </c>
      <c r="I33" s="15" t="inlineStr">
        <is>
          <t>—</t>
        </is>
      </c>
      <c r="J33" s="15" t="inlineStr">
        <is>
          <t>—</t>
        </is>
      </c>
      <c r="K33" s="15" t="inlineStr">
        <is>
          <t>—</t>
        </is>
      </c>
      <c r="L33" s="15" t="inlineStr">
        <is>
          <t>—</t>
        </is>
      </c>
      <c r="M33" s="15" t="inlineStr">
        <is>
          <t>27.8%</t>
        </is>
      </c>
      <c r="N33" s="15" t="inlineStr">
        <is>
          <t>16.2%</t>
        </is>
      </c>
      <c r="O33" s="15" t="inlineStr">
        <is>
          <t>6.2%</t>
        </is>
      </c>
      <c r="P33" s="15" t="inlineStr">
        <is>
          <t>-0.2%</t>
        </is>
      </c>
      <c r="Q33" s="15" t="inlineStr">
        <is>
          <t>+11.7%</t>
        </is>
      </c>
      <c r="R33" s="15" t="inlineStr">
        <is>
          <t>+4.7%</t>
        </is>
      </c>
      <c r="S33" s="15" t="inlineStr">
        <is>
          <t>1.27</t>
        </is>
      </c>
      <c r="T33" s="15" t="inlineStr">
        <is>
          <t>0.9x</t>
        </is>
      </c>
      <c r="U33" s="15" t="inlineStr">
        <is>
          <t>3.02</t>
        </is>
      </c>
      <c r="V33" s="15" t="inlineStr">
        <is>
          <t>-3.11</t>
        </is>
      </c>
      <c r="W33" s="15" t="inlineStr">
        <is>
          <t>nan%</t>
        </is>
      </c>
      <c r="X33" s="15" t="inlineStr">
        <is>
          <t>—</t>
        </is>
      </c>
      <c r="Y33" s="15" t="n">
        <v>45</v>
      </c>
      <c r="Z33" s="15" t="n">
        <v>33</v>
      </c>
      <c r="AA33" s="11" t="n">
        <v>33</v>
      </c>
      <c r="AB33" s="9" t="n">
        <v>37</v>
      </c>
      <c r="AC33" s="9" t="inlineStr">
        <is>
          <t>—</t>
        </is>
      </c>
      <c r="AD33" s="9" t="inlineStr">
        <is>
          <t>Sous-pondérer</t>
        </is>
      </c>
      <c r="AF33" t="inlineStr">
        <is>
          <t>GLE.PA</t>
        </is>
      </c>
      <c r="AG33" t="n">
        <v>29</v>
      </c>
      <c r="AH33" t="n">
        <v>98.09999999999999</v>
      </c>
    </row>
    <row r="34" ht="15.95" customHeight="1" thickBot="1">
      <c r="A34" s="16" t="inlineStr">
        <is>
          <t>MT.AS</t>
        </is>
      </c>
      <c r="B34" s="17" t="inlineStr">
        <is>
          <t>ArcelorMittal S.A.</t>
        </is>
      </c>
      <c r="C34" s="16" t="inlineStr">
        <is>
          <t>Materials</t>
        </is>
      </c>
      <c r="D34" s="17" t="inlineStr">
        <is>
          <t>—</t>
        </is>
      </c>
      <c r="E34" s="17" t="inlineStr">
        <is>
          <t>—</t>
        </is>
      </c>
      <c r="F34" s="17" t="inlineStr">
        <is>
          <t>—</t>
        </is>
      </c>
      <c r="G34" s="17" t="inlineStr">
        <is>
          <t>€61.4</t>
        </is>
      </c>
      <c r="H34" s="17" t="inlineStr">
        <is>
          <t>€7.1</t>
        </is>
      </c>
      <c r="I34" s="17" t="inlineStr">
        <is>
          <t>—</t>
        </is>
      </c>
      <c r="J34" s="17" t="inlineStr">
        <is>
          <t>—</t>
        </is>
      </c>
      <c r="K34" s="17" t="inlineStr">
        <is>
          <t>—</t>
        </is>
      </c>
      <c r="L34" s="17" t="inlineStr">
        <is>
          <t>—</t>
        </is>
      </c>
      <c r="M34" s="17" t="inlineStr">
        <is>
          <t>7.1%</t>
        </is>
      </c>
      <c r="N34" s="17" t="inlineStr">
        <is>
          <t>11.6%</t>
        </is>
      </c>
      <c r="O34" s="17" t="inlineStr">
        <is>
          <t>5.1%</t>
        </is>
      </c>
      <c r="P34" s="17" t="inlineStr">
        <is>
          <t>-1.7%</t>
        </is>
      </c>
      <c r="Q34" s="17" t="inlineStr">
        <is>
          <t>+5.8%</t>
        </is>
      </c>
      <c r="R34" s="17" t="inlineStr">
        <is>
          <t>+3.2%</t>
        </is>
      </c>
      <c r="S34" s="17" t="inlineStr">
        <is>
          <t>1.36</t>
        </is>
      </c>
      <c r="T34" s="17" t="inlineStr">
        <is>
          <t>1.0x</t>
        </is>
      </c>
      <c r="U34" s="17" t="inlineStr">
        <is>
          <t>3.89</t>
        </is>
      </c>
      <c r="V34" s="17" t="inlineStr">
        <is>
          <t>-2.86</t>
        </is>
      </c>
      <c r="W34" s="17" t="inlineStr">
        <is>
          <t>nan%</t>
        </is>
      </c>
      <c r="X34" s="17" t="inlineStr">
        <is>
          <t>—</t>
        </is>
      </c>
      <c r="Y34" s="17" t="n">
        <v>79</v>
      </c>
      <c r="Z34" s="17" t="n">
        <v>13</v>
      </c>
      <c r="AA34" s="12" t="n">
        <v>8</v>
      </c>
      <c r="AB34" s="10" t="n">
        <v>33</v>
      </c>
      <c r="AC34" s="10" t="inlineStr">
        <is>
          <t>2026-04-30</t>
        </is>
      </c>
      <c r="AD34" s="10" t="inlineStr">
        <is>
          <t>Sous-pondérer</t>
        </is>
      </c>
      <c r="AF34" t="inlineStr">
        <is>
          <t>VIE.PA</t>
        </is>
      </c>
      <c r="AG34" t="n">
        <v>29</v>
      </c>
      <c r="AH34" t="n">
        <v>14.1</v>
      </c>
    </row>
    <row r="35" ht="15.95" customHeight="1" thickBot="1">
      <c r="A35" s="14" t="inlineStr">
        <is>
          <t>GLE.PA</t>
        </is>
      </c>
      <c r="B35" s="15" t="inlineStr">
        <is>
          <t>Société Générale Société anonyme</t>
        </is>
      </c>
      <c r="C35" s="14" t="inlineStr">
        <is>
          <t>Financials</t>
        </is>
      </c>
      <c r="D35" s="15" t="inlineStr">
        <is>
          <t>—</t>
        </is>
      </c>
      <c r="E35" s="15" t="inlineStr">
        <is>
          <t>—</t>
        </is>
      </c>
      <c r="F35" s="15" t="inlineStr">
        <is>
          <t>—</t>
        </is>
      </c>
      <c r="G35" s="15" t="inlineStr">
        <is>
          <t>€52.6</t>
        </is>
      </c>
      <c r="H35" s="15" t="inlineStr">
        <is>
          <t>€51.6</t>
        </is>
      </c>
      <c r="I35" s="15" t="inlineStr">
        <is>
          <t>—</t>
        </is>
      </c>
      <c r="J35" s="15" t="inlineStr">
        <is>
          <t>—</t>
        </is>
      </c>
      <c r="K35" s="15" t="inlineStr">
        <is>
          <t>—</t>
        </is>
      </c>
      <c r="L35" s="15" t="inlineStr">
        <is>
          <t>—</t>
        </is>
      </c>
      <c r="M35" s="15" t="inlineStr">
        <is>
          <t>—</t>
        </is>
      </c>
      <c r="N35" s="15" t="inlineStr">
        <is>
          <t>98.1%</t>
        </is>
      </c>
      <c r="O35" s="15" t="inlineStr">
        <is>
          <t>11.4%</t>
        </is>
      </c>
      <c r="P35" s="15" t="inlineStr">
        <is>
          <t>+0.2%</t>
        </is>
      </c>
      <c r="Q35" s="15" t="inlineStr">
        <is>
          <t>+8.6%</t>
        </is>
      </c>
      <c r="R35" s="15" t="inlineStr">
        <is>
          <t>+0.4%</t>
        </is>
      </c>
      <c r="S35" s="15" t="inlineStr">
        <is>
          <t>—</t>
        </is>
      </c>
      <c r="T35" s="15" t="inlineStr">
        <is>
          <t>-0.5x</t>
        </is>
      </c>
      <c r="U35" s="15" t="inlineStr">
        <is>
          <t>—</t>
        </is>
      </c>
      <c r="V35" s="15" t="inlineStr">
        <is>
          <t>—</t>
        </is>
      </c>
      <c r="W35" s="15" t="inlineStr">
        <is>
          <t>nan%</t>
        </is>
      </c>
      <c r="X35" s="15" t="inlineStr">
        <is>
          <t>—</t>
        </is>
      </c>
      <c r="Y35" s="15" t="n">
        <v>16</v>
      </c>
      <c r="Z35" s="15" t="n">
        <v>46</v>
      </c>
      <c r="AA35" s="11" t="n">
        <v>26</v>
      </c>
      <c r="AB35" s="9" t="n">
        <v>29</v>
      </c>
      <c r="AC35" s="9" t="inlineStr">
        <is>
          <t>2026-04-30</t>
        </is>
      </c>
      <c r="AD35" s="9" t="inlineStr">
        <is>
          <t>Sous-pondérer</t>
        </is>
      </c>
      <c r="AF35" t="inlineStr">
        <is>
          <t>ORA.PA</t>
        </is>
      </c>
      <c r="AG35" t="n">
        <v>23</v>
      </c>
      <c r="AH35" t="n">
        <v>21.6</v>
      </c>
    </row>
    <row r="36" ht="15.95" customHeight="1" thickBot="1">
      <c r="A36" s="16" t="inlineStr">
        <is>
          <t>VIE.PA</t>
        </is>
      </c>
      <c r="B36" s="17" t="inlineStr">
        <is>
          <t>Veolia Environnement SA</t>
        </is>
      </c>
      <c r="C36" s="16" t="inlineStr">
        <is>
          <t>Industrials</t>
        </is>
      </c>
      <c r="D36" s="17" t="inlineStr">
        <is>
          <t>—</t>
        </is>
      </c>
      <c r="E36" s="17" t="inlineStr">
        <is>
          <t>—</t>
        </is>
      </c>
      <c r="F36" s="17" t="inlineStr">
        <is>
          <t>—</t>
        </is>
      </c>
      <c r="G36" s="17" t="inlineStr">
        <is>
          <t>€44.4</t>
        </is>
      </c>
      <c r="H36" s="17" t="inlineStr">
        <is>
          <t>€6.3</t>
        </is>
      </c>
      <c r="I36" s="17" t="inlineStr">
        <is>
          <t>—</t>
        </is>
      </c>
      <c r="J36" s="17" t="inlineStr">
        <is>
          <t>—</t>
        </is>
      </c>
      <c r="K36" s="17" t="inlineStr">
        <is>
          <t>—</t>
        </is>
      </c>
      <c r="L36" s="17" t="inlineStr">
        <is>
          <t>—</t>
        </is>
      </c>
      <c r="M36" s="17" t="inlineStr">
        <is>
          <t>17.7%</t>
        </is>
      </c>
      <c r="N36" s="17" t="inlineStr">
        <is>
          <t>14.1%</t>
        </is>
      </c>
      <c r="O36" s="17" t="inlineStr">
        <is>
          <t>2.7%</t>
        </is>
      </c>
      <c r="P36" s="17" t="inlineStr">
        <is>
          <t>-0.7%</t>
        </is>
      </c>
      <c r="Q36" s="17" t="inlineStr">
        <is>
          <t>+11.2%</t>
        </is>
      </c>
      <c r="R36" s="17" t="inlineStr">
        <is>
          <t>+1.7%</t>
        </is>
      </c>
      <c r="S36" s="17" t="inlineStr">
        <is>
          <t>0.86</t>
        </is>
      </c>
      <c r="T36" s="17" t="inlineStr">
        <is>
          <t>1.6x</t>
        </is>
      </c>
      <c r="U36" s="17" t="inlineStr">
        <is>
          <t>-0.12</t>
        </is>
      </c>
      <c r="V36" s="17" t="inlineStr">
        <is>
          <t>-3.13</t>
        </is>
      </c>
      <c r="W36" s="17" t="inlineStr">
        <is>
          <t>nan%</t>
        </is>
      </c>
      <c r="X36" s="17" t="inlineStr">
        <is>
          <t>—</t>
        </is>
      </c>
      <c r="Y36" s="17" t="n">
        <v>47</v>
      </c>
      <c r="Z36" s="17" t="n">
        <v>21</v>
      </c>
      <c r="AA36" s="12" t="n">
        <v>18</v>
      </c>
      <c r="AB36" s="10" t="n">
        <v>29</v>
      </c>
      <c r="AC36" s="10" t="inlineStr">
        <is>
          <t>—</t>
        </is>
      </c>
      <c r="AD36" s="10" t="inlineStr">
        <is>
          <t>Sous-pondérer</t>
        </is>
      </c>
      <c r="AF36" t="inlineStr">
        <is>
          <t>RNO.PA</t>
        </is>
      </c>
      <c r="AG36" t="n">
        <v>18</v>
      </c>
      <c r="AH36" t="n">
        <v>-9.699999999999999</v>
      </c>
    </row>
    <row r="37" ht="15.95" customHeight="1" thickBot="1">
      <c r="A37" s="14" t="inlineStr">
        <is>
          <t>ORA.PA</t>
        </is>
      </c>
      <c r="B37" s="15" t="inlineStr">
        <is>
          <t>Orange S.A.</t>
        </is>
      </c>
      <c r="C37" s="14" t="inlineStr">
        <is>
          <t>Comm. Services</t>
        </is>
      </c>
      <c r="D37" s="15" t="inlineStr">
        <is>
          <t>—</t>
        </is>
      </c>
      <c r="E37" s="15" t="inlineStr">
        <is>
          <t>—</t>
        </is>
      </c>
      <c r="F37" s="15" t="inlineStr">
        <is>
          <t>—</t>
        </is>
      </c>
      <c r="G37" s="15" t="inlineStr">
        <is>
          <t>€40.4</t>
        </is>
      </c>
      <c r="H37" s="15" t="inlineStr">
        <is>
          <t>€8.7</t>
        </is>
      </c>
      <c r="I37" s="15" t="inlineStr">
        <is>
          <t>—</t>
        </is>
      </c>
      <c r="J37" s="15" t="inlineStr">
        <is>
          <t>—</t>
        </is>
      </c>
      <c r="K37" s="15" t="inlineStr">
        <is>
          <t>—</t>
        </is>
      </c>
      <c r="L37" s="15" t="inlineStr">
        <is>
          <t>—</t>
        </is>
      </c>
      <c r="M37" s="15" t="inlineStr">
        <is>
          <t>—</t>
        </is>
      </c>
      <c r="N37" s="15" t="inlineStr">
        <is>
          <t>21.6%</t>
        </is>
      </c>
      <c r="O37" s="15" t="inlineStr">
        <is>
          <t>1.3%</t>
        </is>
      </c>
      <c r="P37" s="15" t="inlineStr">
        <is>
          <t>+0.3%</t>
        </is>
      </c>
      <c r="Q37" s="15" t="inlineStr">
        <is>
          <t>+1.7%</t>
        </is>
      </c>
      <c r="R37" s="15" t="inlineStr">
        <is>
          <t>+0.5%</t>
        </is>
      </c>
      <c r="S37" s="15" t="inlineStr">
        <is>
          <t>0.92</t>
        </is>
      </c>
      <c r="T37" s="15" t="inlineStr">
        <is>
          <t>-0.2x</t>
        </is>
      </c>
      <c r="U37" s="15" t="inlineStr">
        <is>
          <t>—</t>
        </is>
      </c>
      <c r="V37" s="15" t="inlineStr">
        <is>
          <t>—</t>
        </is>
      </c>
      <c r="W37" s="15" t="inlineStr">
        <is>
          <t>nan%</t>
        </is>
      </c>
      <c r="X37" s="15" t="inlineStr">
        <is>
          <t>—</t>
        </is>
      </c>
      <c r="Y37" s="15" t="n">
        <v>11</v>
      </c>
      <c r="Z37" s="15" t="n">
        <v>10</v>
      </c>
      <c r="AA37" s="11" t="n">
        <v>49</v>
      </c>
      <c r="AB37" s="9" t="n">
        <v>23</v>
      </c>
      <c r="AC37" s="9" t="inlineStr">
        <is>
          <t>2026-04-23</t>
        </is>
      </c>
      <c r="AD37" s="9" t="inlineStr">
        <is>
          <t>Sous-pondérer</t>
        </is>
      </c>
      <c r="AF37" t="inlineStr">
        <is>
          <t>STMPA.PA</t>
        </is>
      </c>
      <c r="AG37" t="n">
        <v>17</v>
      </c>
      <c r="AH37" t="n">
        <v>19.6</v>
      </c>
    </row>
    <row r="38" ht="15.95" customHeight="1" thickBot="1">
      <c r="A38" s="16" t="inlineStr">
        <is>
          <t>RNO.PA</t>
        </is>
      </c>
      <c r="B38" s="17" t="inlineStr">
        <is>
          <t>Renault SA</t>
        </is>
      </c>
      <c r="C38" s="16" t="inlineStr">
        <is>
          <t>Consumer Disc.</t>
        </is>
      </c>
      <c r="D38" s="17" t="inlineStr">
        <is>
          <t>—</t>
        </is>
      </c>
      <c r="E38" s="17" t="inlineStr">
        <is>
          <t>—</t>
        </is>
      </c>
      <c r="F38" s="17" t="inlineStr">
        <is>
          <t>—</t>
        </is>
      </c>
      <c r="G38" s="17" t="inlineStr">
        <is>
          <t>€57.9</t>
        </is>
      </c>
      <c r="H38" s="17" t="inlineStr">
        <is>
          <t>€-5.6</t>
        </is>
      </c>
      <c r="I38" s="17" t="inlineStr">
        <is>
          <t>—</t>
        </is>
      </c>
      <c r="J38" s="17" t="inlineStr">
        <is>
          <t>—</t>
        </is>
      </c>
      <c r="K38" s="17" t="inlineStr">
        <is>
          <t>—</t>
        </is>
      </c>
      <c r="L38" s="17" t="inlineStr">
        <is>
          <t>—</t>
        </is>
      </c>
      <c r="M38" s="17" t="inlineStr">
        <is>
          <t>19.1%</t>
        </is>
      </c>
      <c r="N38" s="17" t="inlineStr">
        <is>
          <t>-9.7%</t>
        </is>
      </c>
      <c r="O38" s="17" t="inlineStr">
        <is>
          <t>-18.9%</t>
        </is>
      </c>
      <c r="P38" s="17" t="inlineStr">
        <is>
          <t>+3.0%</t>
        </is>
      </c>
      <c r="Q38" s="17" t="inlineStr">
        <is>
          <t>-52.6%</t>
        </is>
      </c>
      <c r="R38" s="17" t="inlineStr">
        <is>
          <t>-9.0%</t>
        </is>
      </c>
      <c r="S38" s="17" t="inlineStr">
        <is>
          <t>1.03</t>
        </is>
      </c>
      <c r="T38" s="17" t="inlineStr">
        <is>
          <t>-8.8x</t>
        </is>
      </c>
      <c r="U38" s="17" t="inlineStr">
        <is>
          <t>-0.50</t>
        </is>
      </c>
      <c r="V38" s="17" t="inlineStr">
        <is>
          <t>-3.17</t>
        </is>
      </c>
      <c r="W38" s="17" t="inlineStr">
        <is>
          <t>nan%</t>
        </is>
      </c>
      <c r="X38" s="17" t="inlineStr">
        <is>
          <t>—</t>
        </is>
      </c>
      <c r="Y38" s="17" t="n">
        <v>5</v>
      </c>
      <c r="Z38" s="17" t="n">
        <v>5</v>
      </c>
      <c r="AA38" s="12" t="n">
        <v>44</v>
      </c>
      <c r="AB38" s="10" t="n">
        <v>18</v>
      </c>
      <c r="AC38" s="10" t="inlineStr">
        <is>
          <t>—</t>
        </is>
      </c>
      <c r="AD38" s="10" t="inlineStr">
        <is>
          <t>Sous-pondérer</t>
        </is>
      </c>
      <c r="AF38" t="inlineStr">
        <is>
          <t>STLAM.MI</t>
        </is>
      </c>
      <c r="AG38" t="n">
        <v>5</v>
      </c>
      <c r="AH38" t="n">
        <v>-11.8</v>
      </c>
    </row>
    <row r="39" ht="15.95" customHeight="1" thickBot="1">
      <c r="A39" s="14" t="inlineStr">
        <is>
          <t>TTE.PA</t>
        </is>
      </c>
      <c r="B39" s="15" t="inlineStr">
        <is>
          <t>TotalEnergies SE</t>
        </is>
      </c>
      <c r="C39" s="14" t="inlineStr">
        <is>
          <t>Energy</t>
        </is>
      </c>
      <c r="D39" s="15" t="inlineStr">
        <is>
          <t>—</t>
        </is>
      </c>
      <c r="E39" s="15" t="inlineStr">
        <is>
          <t>—</t>
        </is>
      </c>
      <c r="F39" s="15" t="inlineStr">
        <is>
          <t>—</t>
        </is>
      </c>
      <c r="G39" s="15" t="inlineStr">
        <is>
          <t>—</t>
        </is>
      </c>
      <c r="H39" s="15" t="inlineStr">
        <is>
          <t>—</t>
        </is>
      </c>
      <c r="I39" s="15" t="inlineStr">
        <is>
          <t>—</t>
        </is>
      </c>
      <c r="J39" s="15" t="inlineStr">
        <is>
          <t>—</t>
        </is>
      </c>
      <c r="K39" s="15" t="inlineStr">
        <is>
          <t>—</t>
        </is>
      </c>
      <c r="L39" s="15" t="inlineStr">
        <is>
          <t>—</t>
        </is>
      </c>
      <c r="M39" s="15" t="inlineStr">
        <is>
          <t>—</t>
        </is>
      </c>
      <c r="N39" s="15" t="inlineStr">
        <is>
          <t>—</t>
        </is>
      </c>
      <c r="O39" s="15" t="inlineStr">
        <is>
          <t>—</t>
        </is>
      </c>
      <c r="P39" s="15" t="inlineStr">
        <is>
          <t>—</t>
        </is>
      </c>
      <c r="Q39" s="15" t="inlineStr">
        <is>
          <t>—</t>
        </is>
      </c>
      <c r="R39" s="15" t="inlineStr">
        <is>
          <t>—</t>
        </is>
      </c>
      <c r="S39" s="15" t="inlineStr">
        <is>
          <t>1.10</t>
        </is>
      </c>
      <c r="T39" s="15" t="inlineStr">
        <is>
          <t>—</t>
        </is>
      </c>
      <c r="U39" s="15" t="inlineStr">
        <is>
          <t>—</t>
        </is>
      </c>
      <c r="V39" s="15" t="inlineStr">
        <is>
          <t>—</t>
        </is>
      </c>
      <c r="W39" s="15" t="inlineStr">
        <is>
          <t>nan%</t>
        </is>
      </c>
      <c r="X39" s="15" t="inlineStr">
        <is>
          <t>—</t>
        </is>
      </c>
      <c r="Y39" s="15" t="inlineStr">
        <is>
          <t>—</t>
        </is>
      </c>
      <c r="Z39" s="15" t="n">
        <v>8</v>
      </c>
      <c r="AA39" s="11" t="n">
        <v>28</v>
      </c>
      <c r="AB39" s="9" t="n">
        <v>18</v>
      </c>
      <c r="AC39" s="9" t="inlineStr">
        <is>
          <t>2026-04-29</t>
        </is>
      </c>
      <c r="AD39" s="9" t="inlineStr">
        <is>
          <t>Sous-pondérer</t>
        </is>
      </c>
      <c r="AF39" t="inlineStr">
        <is>
          <t>WLN.PA</t>
        </is>
      </c>
      <c r="AG39" t="n">
        <v>2</v>
      </c>
      <c r="AH39" t="n">
        <v>-112.2</v>
      </c>
    </row>
    <row r="40" ht="15.95" customHeight="1" thickBot="1">
      <c r="A40" s="16" t="inlineStr">
        <is>
          <t>STMPA.PA</t>
        </is>
      </c>
      <c r="B40" s="17" t="inlineStr">
        <is>
          <t>STMicroelectronics N.V.</t>
        </is>
      </c>
      <c r="C40" s="16" t="inlineStr">
        <is>
          <t>Technology</t>
        </is>
      </c>
      <c r="D40" s="17" t="inlineStr">
        <is>
          <t>—</t>
        </is>
      </c>
      <c r="E40" s="17" t="inlineStr">
        <is>
          <t>—</t>
        </is>
      </c>
      <c r="F40" s="17" t="inlineStr">
        <is>
          <t>—</t>
        </is>
      </c>
      <c r="G40" s="17" t="inlineStr">
        <is>
          <t>€11.8</t>
        </is>
      </c>
      <c r="H40" s="17" t="inlineStr">
        <is>
          <t>€2.3</t>
        </is>
      </c>
      <c r="I40" s="17" t="inlineStr">
        <is>
          <t>—</t>
        </is>
      </c>
      <c r="J40" s="17" t="inlineStr">
        <is>
          <t>—</t>
        </is>
      </c>
      <c r="K40" s="17" t="inlineStr">
        <is>
          <t>—</t>
        </is>
      </c>
      <c r="L40" s="17" t="inlineStr">
        <is>
          <t>—</t>
        </is>
      </c>
      <c r="M40" s="17" t="inlineStr">
        <is>
          <t>33.9%</t>
        </is>
      </c>
      <c r="N40" s="17" t="inlineStr">
        <is>
          <t>19.6%</t>
        </is>
      </c>
      <c r="O40" s="17" t="inlineStr">
        <is>
          <t>1.4%</t>
        </is>
      </c>
      <c r="P40" s="17" t="inlineStr">
        <is>
          <t>-11.1%</t>
        </is>
      </c>
      <c r="Q40" s="17" t="inlineStr">
        <is>
          <t>+0.9%</t>
        </is>
      </c>
      <c r="R40" s="17" t="inlineStr">
        <is>
          <t>+0.7%</t>
        </is>
      </c>
      <c r="S40" s="17" t="inlineStr">
        <is>
          <t>3.36</t>
        </is>
      </c>
      <c r="T40" s="17" t="inlineStr">
        <is>
          <t>-0.3x</t>
        </is>
      </c>
      <c r="U40" s="17" t="inlineStr">
        <is>
          <t>6.78</t>
        </is>
      </c>
      <c r="V40" s="17" t="inlineStr">
        <is>
          <t>-2.85</t>
        </is>
      </c>
      <c r="W40" s="17" t="inlineStr">
        <is>
          <t>nan%</t>
        </is>
      </c>
      <c r="X40" s="17" t="inlineStr">
        <is>
          <t>—</t>
        </is>
      </c>
      <c r="Y40" s="17" t="n">
        <v>8</v>
      </c>
      <c r="Z40" s="17" t="n">
        <v>44</v>
      </c>
      <c r="AA40" s="12" t="n">
        <v>0</v>
      </c>
      <c r="AB40" s="10" t="n">
        <v>17</v>
      </c>
      <c r="AC40" s="10" t="inlineStr">
        <is>
          <t>2026-04-23</t>
        </is>
      </c>
      <c r="AD40" s="10" t="inlineStr">
        <is>
          <t>Sous-pondérer</t>
        </is>
      </c>
    </row>
    <row r="41" ht="15.95" customHeight="1" thickBot="1">
      <c r="A41" s="14" t="inlineStr">
        <is>
          <t>STLAM.MI</t>
        </is>
      </c>
      <c r="B41" s="15" t="inlineStr">
        <is>
          <t>Stellantis N.V.</t>
        </is>
      </c>
      <c r="C41" s="14" t="inlineStr">
        <is>
          <t>Consumer Disc.</t>
        </is>
      </c>
      <c r="D41" s="15" t="inlineStr">
        <is>
          <t>—</t>
        </is>
      </c>
      <c r="E41" s="15" t="inlineStr">
        <is>
          <t>—</t>
        </is>
      </c>
      <c r="F41" s="15" t="inlineStr">
        <is>
          <t>—</t>
        </is>
      </c>
      <c r="G41" s="15" t="inlineStr">
        <is>
          <t>€153.5</t>
        </is>
      </c>
      <c r="H41" s="15" t="inlineStr">
        <is>
          <t>€-18.1</t>
        </is>
      </c>
      <c r="I41" s="15" t="inlineStr">
        <is>
          <t>—</t>
        </is>
      </c>
      <c r="J41" s="15" t="inlineStr">
        <is>
          <t>—</t>
        </is>
      </c>
      <c r="K41" s="15" t="inlineStr">
        <is>
          <t>—</t>
        </is>
      </c>
      <c r="L41" s="15" t="inlineStr">
        <is>
          <t>—</t>
        </is>
      </c>
      <c r="M41" s="15" t="inlineStr">
        <is>
          <t>-1.4%</t>
        </is>
      </c>
      <c r="N41" s="15" t="inlineStr">
        <is>
          <t>-11.8%</t>
        </is>
      </c>
      <c r="O41" s="15" t="inlineStr">
        <is>
          <t>-14.6%</t>
        </is>
      </c>
      <c r="P41" s="15" t="inlineStr">
        <is>
          <t>-2.1%</t>
        </is>
      </c>
      <c r="Q41" s="15" t="inlineStr">
        <is>
          <t>-41.8%</t>
        </is>
      </c>
      <c r="R41" s="15" t="inlineStr">
        <is>
          <t>-11.5%</t>
        </is>
      </c>
      <c r="S41" s="15" t="inlineStr">
        <is>
          <t>1.02</t>
        </is>
      </c>
      <c r="T41" s="15" t="inlineStr">
        <is>
          <t>-0.7x</t>
        </is>
      </c>
      <c r="U41" s="15" t="inlineStr">
        <is>
          <t>0.48</t>
        </is>
      </c>
      <c r="V41" s="15" t="inlineStr">
        <is>
          <t>-12.59</t>
        </is>
      </c>
      <c r="W41" s="15" t="inlineStr">
        <is>
          <t>nan%</t>
        </is>
      </c>
      <c r="X41" s="15" t="inlineStr">
        <is>
          <t>—</t>
        </is>
      </c>
      <c r="Y41" s="15" t="n">
        <v>3</v>
      </c>
      <c r="Z41" s="15" t="n">
        <v>3</v>
      </c>
      <c r="AA41" s="11" t="n">
        <v>10</v>
      </c>
      <c r="AB41" s="9" t="n">
        <v>5</v>
      </c>
      <c r="AC41" s="9" t="inlineStr">
        <is>
          <t>—</t>
        </is>
      </c>
      <c r="AD41" s="9" t="inlineStr">
        <is>
          <t>Sous-pondérer</t>
        </is>
      </c>
    </row>
    <row r="42" ht="15.95" customHeight="1">
      <c r="A42" s="18" t="inlineStr">
        <is>
          <t>WLN.PA</t>
        </is>
      </c>
      <c r="B42" s="19" t="inlineStr">
        <is>
          <t>Worldline SA</t>
        </is>
      </c>
      <c r="C42" s="18" t="inlineStr">
        <is>
          <t>Technology</t>
        </is>
      </c>
      <c r="D42" s="19" t="inlineStr">
        <is>
          <t>—</t>
        </is>
      </c>
      <c r="E42" s="19" t="inlineStr">
        <is>
          <t>—</t>
        </is>
      </c>
      <c r="F42" s="19" t="inlineStr">
        <is>
          <t>—</t>
        </is>
      </c>
      <c r="G42" s="19" t="inlineStr">
        <is>
          <t>€4.0</t>
        </is>
      </c>
      <c r="H42" s="19" t="inlineStr">
        <is>
          <t>€-4.5</t>
        </is>
      </c>
      <c r="I42" s="19" t="inlineStr">
        <is>
          <t>—</t>
        </is>
      </c>
      <c r="J42" s="19" t="inlineStr">
        <is>
          <t>—</t>
        </is>
      </c>
      <c r="K42" s="19" t="inlineStr">
        <is>
          <t>—</t>
        </is>
      </c>
      <c r="L42" s="19" t="inlineStr">
        <is>
          <t>—</t>
        </is>
      </c>
      <c r="M42" s="19" t="inlineStr">
        <is>
          <t>56.5%</t>
        </is>
      </c>
      <c r="N42" s="19" t="inlineStr">
        <is>
          <t>-112.2%</t>
        </is>
      </c>
      <c r="O42" s="19" t="inlineStr">
        <is>
          <t>-128.0%</t>
        </is>
      </c>
      <c r="P42" s="19" t="inlineStr">
        <is>
          <t>-3.2%</t>
        </is>
      </c>
      <c r="Q42" s="19" t="inlineStr">
        <is>
          <t>-158.6%</t>
        </is>
      </c>
      <c r="R42" s="19" t="inlineStr">
        <is>
          <t>-39.2%</t>
        </is>
      </c>
      <c r="S42" s="19" t="inlineStr">
        <is>
          <t>1.10</t>
        </is>
      </c>
      <c r="T42" s="19" t="inlineStr">
        <is>
          <t>-0.4x</t>
        </is>
      </c>
      <c r="U42" s="19" t="inlineStr">
        <is>
          <t>-2.60</t>
        </is>
      </c>
      <c r="V42" s="19" t="inlineStr">
        <is>
          <t>-3.35</t>
        </is>
      </c>
      <c r="W42" s="19" t="inlineStr">
        <is>
          <t>nan%</t>
        </is>
      </c>
      <c r="X42" s="19" t="inlineStr">
        <is>
          <t>—</t>
        </is>
      </c>
      <c r="Y42" s="19" t="n">
        <v>0</v>
      </c>
      <c r="Z42" s="19" t="n">
        <v>0</v>
      </c>
      <c r="AA42" s="12" t="n">
        <v>5</v>
      </c>
      <c r="AB42" s="10" t="n">
        <v>2</v>
      </c>
      <c r="AC42" s="10" t="inlineStr">
        <is>
          <t>—</t>
        </is>
      </c>
      <c r="AD42" s="10" t="inlineStr">
        <is>
          <t>Sous-pondérer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2026-03-22T08:37:34Z</dcterms:created>
  <dcterms:modified xmlns:dcterms="http://purl.org/dc/terms/" xmlns:xsi="http://www.w3.org/2001/XMLSchema-instance" xsi:type="dcterms:W3CDTF">2026-04-04T07:49:46Z</dcterms:modified>
  <cp:lastModifiedBy>Baptiste jeh</cp:lastModifiedBy>
</cp:coreProperties>
</file>