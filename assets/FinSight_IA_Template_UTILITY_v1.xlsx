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15357bc9330a16b/Perso/Excel Finsight/"/>
    </mc:Choice>
  </mc:AlternateContent>
  <xr:revisionPtr revIDLastSave="0" documentId="8_{45E140A2-E8D6-4B9C-9C96-23E154FCCC87}" xr6:coauthVersionLast="47" xr6:coauthVersionMax="47" xr10:uidLastSave="{00000000-0000-0000-0000-000000000000}"/>
  <bookViews>
    <workbookView xWindow="-108" yWindow="-108" windowWidth="23256" windowHeight="13896" tabRatio="701" firstSheet="1" activeTab="1" xr2:uid="{00000000-000D-0000-FFFF-FFFF00000000}"/>
  </bookViews>
  <sheets>
    <sheet name="INPUT" sheetId="1" r:id="rId1"/>
    <sheet name="RATIOS" sheetId="2" r:id="rId2"/>
    <sheet name="CASH RUNWAY" sheetId="3" r:id="rId3"/>
    <sheet name="OHLSON O-SCORE" sheetId="4" r:id="rId4"/>
    <sheet name="RAB SOTP VALUATION" sheetId="5" r:id="rId5"/>
    <sheet name="COMPARABLES" sheetId="6" r:id="rId6"/>
    <sheet name="SCENARIOS" sheetId="7" r:id="rId7"/>
    <sheet name="DASHBOARD" sheetId="8" r:id="rId8"/>
    <sheet name="DASHBOARD 2" sheetId="9" r:id="rId9"/>
    <sheet name="STOCK_DATA" sheetId="10" state="hidden" r:id="rId10"/>
    <sheet name="SECTOR_REF" sheetId="11" state="hidden" r:id="rId11"/>
  </sheets>
  <definedNames>
    <definedName name="_xlnm.Print_Area" localSheetId="2">'CASH RUNWAY'!$A$1:$H$44</definedName>
    <definedName name="_xlnm.Print_Area" localSheetId="5">COMPARABLES!$A$1:$L$42</definedName>
    <definedName name="_xlnm.Print_Area" localSheetId="7">DASHBOARD!$A$1:$N$92</definedName>
    <definedName name="_xlnm.Print_Area" localSheetId="8">'DASHBOARD 2'!$A$1:$P$107</definedName>
    <definedName name="_xlnm.Print_Area" localSheetId="0">INPUT!$A$1:$H$140</definedName>
    <definedName name="_xlnm.Print_Area" localSheetId="3">'OHLSON O-SCORE'!$A$1:$F$57</definedName>
    <definedName name="_xlnm.Print_Area" localSheetId="4">'RAB SOTP VALUATION'!$A$2:$L$145</definedName>
    <definedName name="_xlnm.Print_Area" localSheetId="1">RATIOS!$A$1:$H$70</definedName>
    <definedName name="_xlnm.Print_Area" localSheetId="6">SCENARIOS!$A$1:$I$64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0" i="9" l="1"/>
  <c r="V6" i="9"/>
  <c r="N83" i="8"/>
  <c r="M83" i="8"/>
  <c r="L83" i="8"/>
  <c r="K83" i="8"/>
  <c r="N86" i="8"/>
  <c r="N85" i="8"/>
  <c r="N84" i="8"/>
  <c r="M86" i="8"/>
  <c r="M85" i="8"/>
  <c r="M84" i="8"/>
  <c r="L86" i="8"/>
  <c r="L85" i="8"/>
  <c r="L84" i="8"/>
  <c r="K86" i="8"/>
  <c r="K85" i="8"/>
  <c r="K84" i="8"/>
  <c r="R6" i="8"/>
  <c r="R5" i="8"/>
  <c r="R4" i="8"/>
  <c r="R3" i="8"/>
  <c r="Q6" i="8"/>
  <c r="Q5" i="8"/>
  <c r="Q4" i="8"/>
  <c r="Q3" i="8"/>
  <c r="H93" i="2"/>
  <c r="G93" i="2"/>
  <c r="F93" i="2"/>
  <c r="E93" i="2"/>
  <c r="H74" i="2"/>
  <c r="G74" i="2"/>
  <c r="F74" i="2"/>
  <c r="E74" i="2"/>
  <c r="E71" i="8"/>
  <c r="D71" i="8"/>
  <c r="E68" i="8"/>
  <c r="D68" i="8"/>
  <c r="E67" i="8"/>
  <c r="D67" i="8"/>
  <c r="E66" i="8"/>
  <c r="D66" i="8"/>
  <c r="E65" i="8"/>
  <c r="D65" i="8"/>
  <c r="E64" i="8"/>
  <c r="D64" i="8"/>
  <c r="K63" i="8"/>
  <c r="K70" i="8"/>
  <c r="J67" i="8"/>
  <c r="K68" i="8"/>
  <c r="J68" i="8"/>
  <c r="K67" i="8"/>
  <c r="K66" i="8"/>
  <c r="J66" i="8"/>
  <c r="K61" i="8"/>
  <c r="K60" i="8"/>
  <c r="J70" i="8"/>
  <c r="J63" i="8"/>
  <c r="J61" i="8"/>
  <c r="J60" i="8"/>
  <c r="K58" i="8"/>
  <c r="J58" i="8"/>
  <c r="H78" i="2"/>
  <c r="H77" i="2"/>
  <c r="H76" i="2"/>
  <c r="G78" i="2"/>
  <c r="G77" i="2"/>
  <c r="G76" i="2"/>
  <c r="F78" i="2"/>
  <c r="F77" i="2"/>
  <c r="F76" i="2"/>
  <c r="E78" i="2"/>
  <c r="E77" i="2"/>
  <c r="E76" i="2"/>
  <c r="E61" i="8"/>
  <c r="E60" i="8"/>
  <c r="D61" i="8"/>
  <c r="D60" i="8"/>
  <c r="E58" i="8"/>
  <c r="D58" i="8"/>
  <c r="B4" i="8"/>
  <c r="H48" i="7"/>
  <c r="D48" i="7"/>
  <c r="C45" i="6"/>
  <c r="D45" i="6"/>
  <c r="C46" i="6"/>
  <c r="D46" i="6"/>
  <c r="C47" i="6"/>
  <c r="D47" i="6"/>
  <c r="C48" i="6"/>
  <c r="D48" i="6"/>
  <c r="C49" i="6"/>
  <c r="D49" i="6"/>
  <c r="D24" i="6"/>
  <c r="D103" i="5"/>
  <c r="D104" i="5"/>
  <c r="D105" i="5"/>
  <c r="D106" i="5"/>
  <c r="D107" i="5"/>
  <c r="G116" i="5"/>
  <c r="F116" i="5"/>
  <c r="E116" i="5"/>
  <c r="D116" i="5"/>
  <c r="D9" i="5"/>
  <c r="D11" i="5"/>
  <c r="D19" i="5"/>
  <c r="D21" i="5"/>
  <c r="D16" i="5"/>
  <c r="D15" i="5"/>
  <c r="F5" i="5"/>
  <c r="G5" i="5" s="1"/>
  <c r="F6" i="5"/>
  <c r="G6" i="5" s="1"/>
  <c r="G7" i="5"/>
  <c r="D28" i="5"/>
  <c r="E28" i="5"/>
  <c r="F28" i="5"/>
  <c r="G28" i="5"/>
  <c r="H28" i="5"/>
  <c r="I28" i="5"/>
  <c r="J28" i="5"/>
  <c r="K28" i="5"/>
  <c r="L28" i="5"/>
  <c r="M28" i="5"/>
  <c r="D32" i="5"/>
  <c r="E32" i="5"/>
  <c r="F32" i="5"/>
  <c r="G32" i="5"/>
  <c r="H32" i="5"/>
  <c r="I32" i="5" s="1"/>
  <c r="D33" i="5"/>
  <c r="E33" i="5"/>
  <c r="F33" i="5"/>
  <c r="G33" i="5"/>
  <c r="H33" i="5"/>
  <c r="D36" i="5"/>
  <c r="E36" i="5"/>
  <c r="F36" i="5"/>
  <c r="G36" i="5"/>
  <c r="H36" i="5"/>
  <c r="D37" i="5"/>
  <c r="E37" i="5"/>
  <c r="F37" i="5"/>
  <c r="G37" i="5"/>
  <c r="H37" i="5"/>
  <c r="D38" i="5"/>
  <c r="E38" i="5"/>
  <c r="F38" i="5"/>
  <c r="G38" i="5"/>
  <c r="H38" i="5"/>
  <c r="D40" i="5"/>
  <c r="D70" i="5" s="1"/>
  <c r="E40" i="5"/>
  <c r="E70" i="5" s="1"/>
  <c r="F40" i="5"/>
  <c r="F70" i="5" s="1"/>
  <c r="G40" i="5"/>
  <c r="G70" i="5" s="1"/>
  <c r="H40" i="5"/>
  <c r="H70" i="5" s="1"/>
  <c r="D43" i="5"/>
  <c r="E43" i="5"/>
  <c r="F43" i="5"/>
  <c r="G43" i="5"/>
  <c r="H43" i="5"/>
  <c r="D46" i="5"/>
  <c r="E46" i="5"/>
  <c r="F46" i="5"/>
  <c r="G46" i="5"/>
  <c r="H46" i="5"/>
  <c r="D52" i="5"/>
  <c r="F112" i="5" s="1"/>
  <c r="D53" i="5"/>
  <c r="D54" i="5"/>
  <c r="D55" i="5"/>
  <c r="E55" i="5"/>
  <c r="J37" i="5" s="1"/>
  <c r="D56" i="5"/>
  <c r="E56" i="5"/>
  <c r="D57" i="5"/>
  <c r="E57" i="5"/>
  <c r="D71" i="5"/>
  <c r="E71" i="5"/>
  <c r="F71" i="5"/>
  <c r="G71" i="5"/>
  <c r="H71" i="5"/>
  <c r="D72" i="5"/>
  <c r="E72" i="5"/>
  <c r="F72" i="5"/>
  <c r="G72" i="5"/>
  <c r="H72" i="5"/>
  <c r="D79" i="5"/>
  <c r="N79" i="5" s="1"/>
  <c r="D80" i="5"/>
  <c r="D81" i="5"/>
  <c r="N81" i="5" s="1"/>
  <c r="D84" i="5"/>
  <c r="N84" i="5" s="1"/>
  <c r="D85" i="5"/>
  <c r="N85" i="5" s="1"/>
  <c r="D86" i="5"/>
  <c r="D87" i="5"/>
  <c r="N87" i="5" s="1"/>
  <c r="D93" i="5"/>
  <c r="D114" i="5" s="1"/>
  <c r="C118" i="5"/>
  <c r="D118" i="5"/>
  <c r="E118" i="5"/>
  <c r="F118" i="5"/>
  <c r="G118" i="5"/>
  <c r="H24" i="1"/>
  <c r="D8" i="5" l="1"/>
  <c r="F34" i="5"/>
  <c r="E34" i="5"/>
  <c r="H34" i="5"/>
  <c r="D34" i="5"/>
  <c r="G34" i="5"/>
  <c r="D88" i="5"/>
  <c r="N88" i="5" s="1"/>
  <c r="G41" i="5"/>
  <c r="G66" i="5" s="1"/>
  <c r="F41" i="5"/>
  <c r="F66" i="5" s="1"/>
  <c r="N86" i="5"/>
  <c r="I72" i="5"/>
  <c r="I33" i="5"/>
  <c r="I34" i="5" s="1"/>
  <c r="C122" i="5"/>
  <c r="I71" i="5"/>
  <c r="M37" i="5"/>
  <c r="K37" i="5"/>
  <c r="E41" i="5"/>
  <c r="E66" i="5" s="1"/>
  <c r="I37" i="5"/>
  <c r="D112" i="5"/>
  <c r="D113" i="5"/>
  <c r="D41" i="5"/>
  <c r="D67" i="5" s="1"/>
  <c r="F114" i="5"/>
  <c r="C121" i="5"/>
  <c r="G114" i="5"/>
  <c r="E112" i="5"/>
  <c r="N93" i="5"/>
  <c r="N80" i="5"/>
  <c r="D82" i="5"/>
  <c r="I40" i="5"/>
  <c r="I70" i="5" s="1"/>
  <c r="J40" i="5"/>
  <c r="J70" i="5" s="1"/>
  <c r="K40" i="5"/>
  <c r="K70" i="5" s="1"/>
  <c r="F44" i="5"/>
  <c r="F47" i="5" s="1"/>
  <c r="H41" i="5"/>
  <c r="E113" i="5"/>
  <c r="F113" i="5"/>
  <c r="G113" i="5"/>
  <c r="M40" i="5"/>
  <c r="M70" i="5" s="1"/>
  <c r="E114" i="5"/>
  <c r="L40" i="5"/>
  <c r="L70" i="5" s="1"/>
  <c r="I36" i="5"/>
  <c r="L37" i="5"/>
  <c r="J32" i="5"/>
  <c r="G112" i="5"/>
  <c r="D10" i="5" l="1"/>
  <c r="F67" i="5"/>
  <c r="F68" i="5" s="1"/>
  <c r="F73" i="5" s="1"/>
  <c r="G44" i="5"/>
  <c r="G47" i="5" s="1"/>
  <c r="E67" i="5"/>
  <c r="I38" i="5"/>
  <c r="I41" i="5" s="1"/>
  <c r="G67" i="5"/>
  <c r="G68" i="5" s="1"/>
  <c r="G73" i="5" s="1"/>
  <c r="E68" i="5"/>
  <c r="E73" i="5" s="1"/>
  <c r="E44" i="5"/>
  <c r="E47" i="5" s="1"/>
  <c r="D66" i="5"/>
  <c r="D68" i="5" s="1"/>
  <c r="D73" i="5" s="1"/>
  <c r="D44" i="5"/>
  <c r="D47" i="5" s="1"/>
  <c r="D121" i="5"/>
  <c r="D122" i="5"/>
  <c r="K32" i="5"/>
  <c r="J36" i="5"/>
  <c r="J72" i="5"/>
  <c r="J33" i="5"/>
  <c r="J34" i="5" s="1"/>
  <c r="J71" i="5"/>
  <c r="H67" i="5"/>
  <c r="H44" i="5"/>
  <c r="H47" i="5" s="1"/>
  <c r="H66" i="5"/>
  <c r="N82" i="5"/>
  <c r="D89" i="5"/>
  <c r="C103" i="5" l="1"/>
  <c r="C104" i="5"/>
  <c r="N101" i="5" s="1"/>
  <c r="C105" i="5"/>
  <c r="C106" i="5"/>
  <c r="P101" i="5" s="1"/>
  <c r="C107" i="5"/>
  <c r="Q101" i="5" s="1"/>
  <c r="G12" i="5"/>
  <c r="D12" i="5" s="1"/>
  <c r="J76" i="5"/>
  <c r="K76" i="5"/>
  <c r="L76" i="5"/>
  <c r="M76" i="5"/>
  <c r="H68" i="5"/>
  <c r="H73" i="5" s="1"/>
  <c r="I76" i="5"/>
  <c r="J38" i="5"/>
  <c r="J41" i="5" s="1"/>
  <c r="J67" i="5" s="1"/>
  <c r="M101" i="5"/>
  <c r="N89" i="5"/>
  <c r="D94" i="5"/>
  <c r="D115" i="5"/>
  <c r="E115" i="5"/>
  <c r="F115" i="5"/>
  <c r="G115" i="5"/>
  <c r="O101" i="5"/>
  <c r="I67" i="5"/>
  <c r="I43" i="5"/>
  <c r="I44" i="5" s="1"/>
  <c r="I66" i="5"/>
  <c r="L32" i="5"/>
  <c r="E121" i="5"/>
  <c r="K36" i="5"/>
  <c r="K72" i="5"/>
  <c r="E122" i="5"/>
  <c r="K33" i="5"/>
  <c r="K34" i="5" s="1"/>
  <c r="K71" i="5"/>
  <c r="F5" i="4"/>
  <c r="F9" i="4"/>
  <c r="F21" i="4" s="1"/>
  <c r="F34" i="4" s="1"/>
  <c r="F25" i="4"/>
  <c r="F38" i="4" s="1"/>
  <c r="F24" i="4"/>
  <c r="F37" i="4" s="1"/>
  <c r="F17" i="4"/>
  <c r="F16" i="4"/>
  <c r="F13" i="4"/>
  <c r="F12" i="4"/>
  <c r="F11" i="4"/>
  <c r="F23" i="4" s="1"/>
  <c r="F36" i="4" s="1"/>
  <c r="F10" i="4"/>
  <c r="F22" i="4" s="1"/>
  <c r="F35" i="4" s="1"/>
  <c r="H17" i="3"/>
  <c r="G17" i="3"/>
  <c r="F17" i="3"/>
  <c r="E17" i="3"/>
  <c r="H11" i="3"/>
  <c r="G11" i="3"/>
  <c r="F11" i="3"/>
  <c r="E11" i="3"/>
  <c r="H10" i="3"/>
  <c r="G10" i="3"/>
  <c r="F10" i="3"/>
  <c r="E10" i="3"/>
  <c r="H8" i="3"/>
  <c r="G8" i="3"/>
  <c r="F8" i="3"/>
  <c r="E8" i="3"/>
  <c r="H5" i="3"/>
  <c r="G5" i="3"/>
  <c r="F5" i="3"/>
  <c r="E5" i="3"/>
  <c r="H46" i="2"/>
  <c r="G46" i="2"/>
  <c r="F46" i="2"/>
  <c r="E46" i="2"/>
  <c r="H41" i="2"/>
  <c r="G41" i="2"/>
  <c r="F41" i="2"/>
  <c r="E41" i="2"/>
  <c r="H14" i="2"/>
  <c r="G14" i="2"/>
  <c r="F14" i="2"/>
  <c r="E14" i="2"/>
  <c r="H13" i="2"/>
  <c r="H44" i="2"/>
  <c r="G44" i="2"/>
  <c r="F44" i="2"/>
  <c r="E44" i="2"/>
  <c r="H25" i="2"/>
  <c r="G25" i="2"/>
  <c r="F25" i="2"/>
  <c r="E25" i="2"/>
  <c r="H103" i="2"/>
  <c r="H97" i="2"/>
  <c r="E97" i="2"/>
  <c r="H86" i="2"/>
  <c r="H70" i="2"/>
  <c r="H80" i="2" s="1"/>
  <c r="G70" i="2"/>
  <c r="G97" i="2" s="1"/>
  <c r="F70" i="2"/>
  <c r="F103" i="2" s="1"/>
  <c r="E70" i="2"/>
  <c r="E103" i="2" s="1"/>
  <c r="H42" i="2"/>
  <c r="G42" i="2"/>
  <c r="F42" i="2"/>
  <c r="E42" i="2"/>
  <c r="G40" i="2"/>
  <c r="F40" i="2"/>
  <c r="E40" i="2"/>
  <c r="E50" i="6"/>
  <c r="E49" i="6"/>
  <c r="E48" i="6"/>
  <c r="E47" i="6"/>
  <c r="E46" i="6"/>
  <c r="E45" i="6"/>
  <c r="K18" i="6"/>
  <c r="J18" i="6"/>
  <c r="I18" i="6"/>
  <c r="H18" i="6"/>
  <c r="G18" i="6"/>
  <c r="F18" i="6"/>
  <c r="E18" i="6"/>
  <c r="D18" i="6"/>
  <c r="K17" i="6"/>
  <c r="J17" i="6"/>
  <c r="I17" i="6"/>
  <c r="H17" i="6"/>
  <c r="G17" i="6"/>
  <c r="F17" i="6"/>
  <c r="E17" i="6"/>
  <c r="D17" i="6"/>
  <c r="K16" i="6"/>
  <c r="J16" i="6"/>
  <c r="I16" i="6"/>
  <c r="H16" i="6"/>
  <c r="G16" i="6"/>
  <c r="F16" i="6"/>
  <c r="E16" i="6"/>
  <c r="D16" i="6"/>
  <c r="K15" i="6"/>
  <c r="J15" i="6"/>
  <c r="I15" i="6"/>
  <c r="D50" i="6" s="1"/>
  <c r="H15" i="6"/>
  <c r="G15" i="6"/>
  <c r="C50" i="6" s="1"/>
  <c r="F15" i="6"/>
  <c r="E15" i="6"/>
  <c r="D15" i="6"/>
  <c r="P106" i="9"/>
  <c r="J106" i="9"/>
  <c r="P105" i="9"/>
  <c r="J105" i="9"/>
  <c r="G105" i="9"/>
  <c r="F105" i="9"/>
  <c r="E105" i="9"/>
  <c r="D105" i="9"/>
  <c r="C105" i="9"/>
  <c r="P104" i="9"/>
  <c r="J104" i="9"/>
  <c r="C104" i="9"/>
  <c r="J103" i="9"/>
  <c r="P103" i="9" s="1"/>
  <c r="C103" i="9"/>
  <c r="W27" i="9"/>
  <c r="V27" i="9"/>
  <c r="U27" i="9"/>
  <c r="T27" i="9"/>
  <c r="W26" i="9"/>
  <c r="V26" i="9"/>
  <c r="U26" i="9"/>
  <c r="T26" i="9"/>
  <c r="W24" i="9"/>
  <c r="V24" i="9"/>
  <c r="U24" i="9"/>
  <c r="T24" i="9"/>
  <c r="W23" i="9"/>
  <c r="V23" i="9"/>
  <c r="U23" i="9"/>
  <c r="T23" i="9"/>
  <c r="W19" i="9"/>
  <c r="G104" i="9" s="1"/>
  <c r="V19" i="9"/>
  <c r="F104" i="9" s="1"/>
  <c r="U19" i="9"/>
  <c r="E104" i="9" s="1"/>
  <c r="D104" i="9"/>
  <c r="W17" i="9"/>
  <c r="G103" i="9" s="1"/>
  <c r="V17" i="9"/>
  <c r="F103" i="9" s="1"/>
  <c r="U17" i="9"/>
  <c r="E103" i="9" s="1"/>
  <c r="T17" i="9"/>
  <c r="K103" i="9" s="1"/>
  <c r="Q92" i="9" s="1"/>
  <c r="D12" i="9"/>
  <c r="T11" i="9"/>
  <c r="D11" i="9"/>
  <c r="V10" i="9"/>
  <c r="X89" i="9" s="1"/>
  <c r="T10" i="9"/>
  <c r="V89" i="9" s="1"/>
  <c r="D10" i="9"/>
  <c r="V9" i="9"/>
  <c r="T9" i="9"/>
  <c r="V88" i="9" s="1"/>
  <c r="D9" i="9"/>
  <c r="V8" i="9"/>
  <c r="T8" i="9"/>
  <c r="V87" i="9" s="1"/>
  <c r="D8" i="9"/>
  <c r="V7" i="9"/>
  <c r="T7" i="9"/>
  <c r="V86" i="9" s="1"/>
  <c r="D7" i="9"/>
  <c r="T6" i="9"/>
  <c r="V85" i="9" s="1"/>
  <c r="R1" i="9"/>
  <c r="N92" i="8"/>
  <c r="M93" i="8"/>
  <c r="L93" i="8"/>
  <c r="K93" i="8"/>
  <c r="J93" i="8"/>
  <c r="N91" i="8"/>
  <c r="M92" i="8"/>
  <c r="L92" i="8"/>
  <c r="K92" i="8"/>
  <c r="J92" i="8"/>
  <c r="N90" i="8"/>
  <c r="M91" i="8"/>
  <c r="L91" i="8"/>
  <c r="K91" i="8"/>
  <c r="J91" i="8"/>
  <c r="N89" i="8"/>
  <c r="M90" i="8"/>
  <c r="L90" i="8"/>
  <c r="K90" i="8"/>
  <c r="J90" i="8"/>
  <c r="N88" i="8"/>
  <c r="M89" i="8"/>
  <c r="L89" i="8"/>
  <c r="K89" i="8"/>
  <c r="J89" i="8"/>
  <c r="H88" i="8"/>
  <c r="G87" i="8"/>
  <c r="F88" i="8"/>
  <c r="E89" i="8"/>
  <c r="D89" i="8"/>
  <c r="J87" i="8"/>
  <c r="H87" i="8"/>
  <c r="G86" i="8"/>
  <c r="F87" i="8"/>
  <c r="E88" i="8"/>
  <c r="D88" i="8"/>
  <c r="G80" i="8"/>
  <c r="F81" i="8"/>
  <c r="E82" i="8"/>
  <c r="D82" i="8"/>
  <c r="C82" i="8"/>
  <c r="M80" i="8"/>
  <c r="L80" i="8"/>
  <c r="K80" i="8"/>
  <c r="J80" i="8"/>
  <c r="I80" i="8"/>
  <c r="G79" i="8"/>
  <c r="F80" i="8"/>
  <c r="E81" i="8"/>
  <c r="D81" i="8"/>
  <c r="C81" i="8"/>
  <c r="J45" i="8"/>
  <c r="I45" i="8"/>
  <c r="C45" i="8"/>
  <c r="J43" i="8"/>
  <c r="I43" i="8"/>
  <c r="K43" i="8" s="1"/>
  <c r="D43" i="8" s="1"/>
  <c r="C43" i="8"/>
  <c r="H43" i="7"/>
  <c r="G43" i="7"/>
  <c r="F43" i="7"/>
  <c r="E43" i="7"/>
  <c r="D43" i="7"/>
  <c r="H37" i="7"/>
  <c r="G37" i="7"/>
  <c r="F37" i="7"/>
  <c r="E37" i="7"/>
  <c r="D37" i="7"/>
  <c r="B34" i="7"/>
  <c r="E32" i="7"/>
  <c r="D32" i="7"/>
  <c r="G17" i="7"/>
  <c r="F17" i="7"/>
  <c r="E17" i="7"/>
  <c r="D17" i="7"/>
  <c r="L16" i="7"/>
  <c r="K16" i="7"/>
  <c r="J16" i="7"/>
  <c r="I16" i="7"/>
  <c r="H16" i="7"/>
  <c r="G16" i="7"/>
  <c r="F16" i="7"/>
  <c r="E16" i="7"/>
  <c r="D16" i="7"/>
  <c r="M5" i="7"/>
  <c r="L5" i="7"/>
  <c r="K5" i="7"/>
  <c r="J5" i="7"/>
  <c r="I5" i="7"/>
  <c r="H5" i="7"/>
  <c r="G5" i="7"/>
  <c r="F5" i="7"/>
  <c r="E5" i="7"/>
  <c r="K54" i="6"/>
  <c r="B54" i="6"/>
  <c r="K53" i="6"/>
  <c r="B53" i="6"/>
  <c r="G37" i="6"/>
  <c r="F37" i="6"/>
  <c r="E37" i="6"/>
  <c r="D37" i="6"/>
  <c r="D26" i="6"/>
  <c r="D22" i="6"/>
  <c r="D21" i="6"/>
  <c r="H99" i="2"/>
  <c r="G99" i="2"/>
  <c r="F99" i="2"/>
  <c r="E99" i="2"/>
  <c r="D90" i="2"/>
  <c r="D89" i="2"/>
  <c r="D88" i="2"/>
  <c r="D87" i="2"/>
  <c r="D86" i="2"/>
  <c r="H84" i="2"/>
  <c r="G84" i="2"/>
  <c r="F84" i="2"/>
  <c r="F90" i="2" s="1"/>
  <c r="E84" i="2"/>
  <c r="E90" i="2" s="1"/>
  <c r="D84" i="2"/>
  <c r="H83" i="2"/>
  <c r="H89" i="2" s="1"/>
  <c r="G83" i="2"/>
  <c r="G89" i="2" s="1"/>
  <c r="F83" i="2"/>
  <c r="F89" i="2" s="1"/>
  <c r="E83" i="2"/>
  <c r="E89" i="2" s="1"/>
  <c r="D83" i="2"/>
  <c r="H82" i="2"/>
  <c r="H88" i="2" s="1"/>
  <c r="G82" i="2"/>
  <c r="G88" i="2" s="1"/>
  <c r="F82" i="2"/>
  <c r="F88" i="2" s="1"/>
  <c r="E82" i="2"/>
  <c r="E88" i="2" s="1"/>
  <c r="D82" i="2"/>
  <c r="H81" i="2"/>
  <c r="H87" i="2" s="1"/>
  <c r="G81" i="2"/>
  <c r="G87" i="2" s="1"/>
  <c r="F81" i="2"/>
  <c r="F87" i="2" s="1"/>
  <c r="E81" i="2"/>
  <c r="E87" i="2" s="1"/>
  <c r="D81" i="2"/>
  <c r="D80" i="2"/>
  <c r="D78" i="2"/>
  <c r="D77" i="2"/>
  <c r="D76" i="2"/>
  <c r="G95" i="2"/>
  <c r="D74" i="2"/>
  <c r="H71" i="2"/>
  <c r="R9" i="8" s="1"/>
  <c r="G71" i="2"/>
  <c r="R8" i="8" s="1"/>
  <c r="F71" i="2"/>
  <c r="R7" i="8" s="1"/>
  <c r="E71" i="2"/>
  <c r="D71" i="2"/>
  <c r="D70" i="2"/>
  <c r="H64" i="2"/>
  <c r="G64" i="2"/>
  <c r="F64" i="2"/>
  <c r="E64" i="2"/>
  <c r="D64" i="2"/>
  <c r="H51" i="2"/>
  <c r="G51" i="2"/>
  <c r="F51" i="2"/>
  <c r="D47" i="2"/>
  <c r="D45" i="2"/>
  <c r="D44" i="2"/>
  <c r="D43" i="2"/>
  <c r="D42" i="2"/>
  <c r="D41" i="2"/>
  <c r="H5" i="2"/>
  <c r="G5" i="2"/>
  <c r="F5" i="2"/>
  <c r="E5" i="2"/>
  <c r="F142" i="1"/>
  <c r="G142" i="1" s="1"/>
  <c r="D142" i="1"/>
  <c r="H122" i="1"/>
  <c r="G122" i="1"/>
  <c r="F122" i="1"/>
  <c r="E122" i="1"/>
  <c r="D122" i="1"/>
  <c r="H111" i="1"/>
  <c r="G111" i="1"/>
  <c r="G13" i="2" s="1"/>
  <c r="F111" i="1"/>
  <c r="F13" i="2" s="1"/>
  <c r="E111" i="1"/>
  <c r="E13" i="2" s="1"/>
  <c r="D111" i="1"/>
  <c r="D112" i="1" s="1"/>
  <c r="D11" i="2" s="1"/>
  <c r="H86" i="1"/>
  <c r="G86" i="1"/>
  <c r="F86" i="1"/>
  <c r="E86" i="1"/>
  <c r="D86" i="1"/>
  <c r="H80" i="1"/>
  <c r="G80" i="1"/>
  <c r="F80" i="1"/>
  <c r="E80" i="1"/>
  <c r="D80" i="1"/>
  <c r="H70" i="1"/>
  <c r="G70" i="1"/>
  <c r="F70" i="1"/>
  <c r="E70" i="1"/>
  <c r="D70" i="1"/>
  <c r="H60" i="1"/>
  <c r="G60" i="1"/>
  <c r="F60" i="1"/>
  <c r="E60" i="1"/>
  <c r="D60" i="1"/>
  <c r="H51" i="1"/>
  <c r="H55" i="1" s="1"/>
  <c r="G51" i="1"/>
  <c r="F51" i="1"/>
  <c r="E51" i="1"/>
  <c r="D51" i="1"/>
  <c r="H38" i="1"/>
  <c r="G38" i="1"/>
  <c r="F38" i="1"/>
  <c r="E38" i="1"/>
  <c r="D38" i="1"/>
  <c r="D44" i="1" s="1"/>
  <c r="H13" i="1"/>
  <c r="I47" i="8" s="1"/>
  <c r="G13" i="1"/>
  <c r="F13" i="1"/>
  <c r="E13" i="1"/>
  <c r="D13" i="1"/>
  <c r="H11" i="1"/>
  <c r="G11" i="1"/>
  <c r="F11" i="1"/>
  <c r="F19" i="2" s="1"/>
  <c r="E11" i="1"/>
  <c r="E19" i="2" s="1"/>
  <c r="D11" i="1"/>
  <c r="K38" i="5" l="1"/>
  <c r="K41" i="5" s="1"/>
  <c r="K66" i="5" s="1"/>
  <c r="J66" i="5"/>
  <c r="J43" i="5"/>
  <c r="J44" i="5" s="1"/>
  <c r="J46" i="5" s="1"/>
  <c r="J47" i="5" s="1"/>
  <c r="J68" i="5"/>
  <c r="J73" i="5" s="1"/>
  <c r="D119" i="5" s="1"/>
  <c r="I46" i="5"/>
  <c r="I47" i="5" s="1"/>
  <c r="L33" i="5"/>
  <c r="L34" i="5" s="1"/>
  <c r="F121" i="5"/>
  <c r="M32" i="5"/>
  <c r="L36" i="5"/>
  <c r="L72" i="5"/>
  <c r="F122" i="5"/>
  <c r="L71" i="5"/>
  <c r="N94" i="5"/>
  <c r="I68" i="5"/>
  <c r="I73" i="5" s="1"/>
  <c r="H19" i="2"/>
  <c r="F18" i="7"/>
  <c r="G19" i="2"/>
  <c r="L43" i="8"/>
  <c r="F97" i="2"/>
  <c r="G103" i="2"/>
  <c r="E80" i="2"/>
  <c r="F80" i="2"/>
  <c r="G80" i="2"/>
  <c r="E86" i="2"/>
  <c r="F86" i="2"/>
  <c r="G86" i="2"/>
  <c r="U7" i="9"/>
  <c r="W86" i="9" s="1"/>
  <c r="X86" i="9"/>
  <c r="E29" i="2"/>
  <c r="W25" i="9"/>
  <c r="D25" i="6"/>
  <c r="F34" i="6" s="1"/>
  <c r="C47" i="8"/>
  <c r="G18" i="7"/>
  <c r="D29" i="2"/>
  <c r="F29" i="2"/>
  <c r="D103" i="9"/>
  <c r="D46" i="2"/>
  <c r="H95" i="2"/>
  <c r="D40" i="2"/>
  <c r="D13" i="2"/>
  <c r="D36" i="2"/>
  <c r="D14" i="2"/>
  <c r="G112" i="1"/>
  <c r="G11" i="2" s="1"/>
  <c r="K45" i="8"/>
  <c r="L103" i="9"/>
  <c r="R92" i="9" s="1"/>
  <c r="D30" i="2"/>
  <c r="H52" i="2"/>
  <c r="M103" i="9"/>
  <c r="S92" i="9" s="1"/>
  <c r="N103" i="9"/>
  <c r="T92" i="9" s="1"/>
  <c r="D19" i="2"/>
  <c r="D17" i="1"/>
  <c r="H63" i="1"/>
  <c r="H32" i="2"/>
  <c r="T25" i="9"/>
  <c r="D18" i="7"/>
  <c r="E17" i="1"/>
  <c r="E12" i="3" s="1"/>
  <c r="E18" i="7"/>
  <c r="U25" i="9"/>
  <c r="F17" i="1"/>
  <c r="F12" i="3" s="1"/>
  <c r="G52" i="2"/>
  <c r="F52" i="2"/>
  <c r="G29" i="2"/>
  <c r="G30" i="2"/>
  <c r="G44" i="1"/>
  <c r="H30" i="2"/>
  <c r="H44" i="1"/>
  <c r="H36" i="2" s="1"/>
  <c r="H29" i="2"/>
  <c r="G30" i="6"/>
  <c r="F30" i="6"/>
  <c r="E112" i="1"/>
  <c r="E11" i="2" s="1"/>
  <c r="F30" i="2"/>
  <c r="F44" i="1"/>
  <c r="F36" i="2" s="1"/>
  <c r="T2" i="8"/>
  <c r="D31" i="2"/>
  <c r="D55" i="1"/>
  <c r="G17" i="1"/>
  <c r="G12" i="3" s="1"/>
  <c r="J47" i="8"/>
  <c r="G55" i="1"/>
  <c r="G31" i="2"/>
  <c r="F112" i="1"/>
  <c r="F11" i="2" s="1"/>
  <c r="S2" i="8"/>
  <c r="U9" i="9"/>
  <c r="W88" i="9" s="1"/>
  <c r="X88" i="9"/>
  <c r="U10" i="9"/>
  <c r="W89" i="9" s="1"/>
  <c r="H90" i="2"/>
  <c r="H91" i="2"/>
  <c r="D26" i="7"/>
  <c r="D38" i="7"/>
  <c r="E38" i="7" s="1"/>
  <c r="F38" i="7" s="1"/>
  <c r="G38" i="7" s="1"/>
  <c r="H38" i="7" s="1"/>
  <c r="X87" i="9"/>
  <c r="U8" i="9"/>
  <c r="W87" i="9" s="1"/>
  <c r="E31" i="2"/>
  <c r="E55" i="1"/>
  <c r="F55" i="1"/>
  <c r="F31" i="2"/>
  <c r="H112" i="1"/>
  <c r="H11" i="2" s="1"/>
  <c r="G90" i="2"/>
  <c r="G91" i="2"/>
  <c r="H17" i="1"/>
  <c r="H12" i="3" s="1"/>
  <c r="D39" i="7"/>
  <c r="E26" i="7"/>
  <c r="H17" i="7"/>
  <c r="F26" i="7"/>
  <c r="D40" i="7"/>
  <c r="E44" i="1"/>
  <c r="E36" i="2" s="1"/>
  <c r="E30" i="2"/>
  <c r="H31" i="2"/>
  <c r="D30" i="6"/>
  <c r="V25" i="9"/>
  <c r="L45" i="8" l="1"/>
  <c r="D45" i="8"/>
  <c r="I77" i="5"/>
  <c r="J77" i="5"/>
  <c r="K43" i="5"/>
  <c r="K44" i="5" s="1"/>
  <c r="K46" i="5" s="1"/>
  <c r="K47" i="5" s="1"/>
  <c r="K67" i="5"/>
  <c r="K68" i="5" s="1"/>
  <c r="K73" i="5" s="1"/>
  <c r="K77" i="5" s="1"/>
  <c r="L38" i="5"/>
  <c r="L41" i="5" s="1"/>
  <c r="L43" i="5" s="1"/>
  <c r="M33" i="5"/>
  <c r="M34" i="5" s="1"/>
  <c r="G121" i="5"/>
  <c r="M36" i="5"/>
  <c r="M72" i="5"/>
  <c r="G122" i="5"/>
  <c r="M71" i="5"/>
  <c r="C119" i="5"/>
  <c r="E34" i="6"/>
  <c r="G34" i="6"/>
  <c r="D34" i="6"/>
  <c r="E12" i="2"/>
  <c r="D44" i="7"/>
  <c r="D47" i="7" s="1"/>
  <c r="E39" i="7"/>
  <c r="G19" i="1"/>
  <c r="G22" i="1" s="1"/>
  <c r="G34" i="2"/>
  <c r="G21" i="2"/>
  <c r="G30" i="1"/>
  <c r="G106" i="2"/>
  <c r="G12" i="2"/>
  <c r="D46" i="7"/>
  <c r="D45" i="7"/>
  <c r="E40" i="7"/>
  <c r="F32" i="7"/>
  <c r="E30" i="6"/>
  <c r="F12" i="2"/>
  <c r="G56" i="2"/>
  <c r="G36" i="2"/>
  <c r="D21" i="2"/>
  <c r="D25" i="2"/>
  <c r="D34" i="2"/>
  <c r="D30" i="1"/>
  <c r="D19" i="1"/>
  <c r="D22" i="1" s="1"/>
  <c r="D12" i="2"/>
  <c r="I17" i="7"/>
  <c r="H18" i="7"/>
  <c r="G35" i="2"/>
  <c r="G32" i="2"/>
  <c r="G63" i="1"/>
  <c r="E21" i="2"/>
  <c r="E106" i="2"/>
  <c r="E30" i="1"/>
  <c r="E10" i="2" s="1"/>
  <c r="E19" i="1"/>
  <c r="E22" i="1" s="1"/>
  <c r="E34" i="2"/>
  <c r="F32" i="2"/>
  <c r="F35" i="2"/>
  <c r="F63" i="1"/>
  <c r="E35" i="2"/>
  <c r="E32" i="2"/>
  <c r="E63" i="1"/>
  <c r="D35" i="2"/>
  <c r="D32" i="2"/>
  <c r="D63" i="1"/>
  <c r="K47" i="8"/>
  <c r="F21" i="2"/>
  <c r="F19" i="1"/>
  <c r="F22" i="1" s="1"/>
  <c r="F30" i="1"/>
  <c r="F10" i="2" s="1"/>
  <c r="F34" i="2"/>
  <c r="F106" i="2"/>
  <c r="H12" i="2"/>
  <c r="F56" i="2"/>
  <c r="H30" i="1"/>
  <c r="H10" i="2" s="1"/>
  <c r="H34" i="2"/>
  <c r="H106" i="2"/>
  <c r="H21" i="2"/>
  <c r="H19" i="1"/>
  <c r="H22" i="1" s="1"/>
  <c r="H35" i="2"/>
  <c r="H56" i="2"/>
  <c r="L47" i="8" l="1"/>
  <c r="D47" i="8"/>
  <c r="E119" i="5"/>
  <c r="M38" i="5"/>
  <c r="M41" i="5" s="1"/>
  <c r="M66" i="5" s="1"/>
  <c r="L67" i="5"/>
  <c r="L44" i="5"/>
  <c r="L66" i="5"/>
  <c r="L46" i="5"/>
  <c r="L47" i="5" s="1"/>
  <c r="G33" i="2"/>
  <c r="G10" i="2"/>
  <c r="K104" i="9"/>
  <c r="Q93" i="9"/>
  <c r="D19" i="7"/>
  <c r="D72" i="2"/>
  <c r="V20" i="9"/>
  <c r="E20" i="2"/>
  <c r="E83" i="8"/>
  <c r="D22" i="7"/>
  <c r="T29" i="9"/>
  <c r="S96" i="9" s="1"/>
  <c r="N104" i="9"/>
  <c r="D23" i="6"/>
  <c r="H82" i="8"/>
  <c r="G19" i="7"/>
  <c r="G22" i="7"/>
  <c r="H20" i="2"/>
  <c r="W29" i="9"/>
  <c r="V96" i="9" s="1"/>
  <c r="T93" i="9"/>
  <c r="H53" i="2"/>
  <c r="H33" i="2"/>
  <c r="H72" i="2"/>
  <c r="U29" i="9"/>
  <c r="T96" i="9" s="1"/>
  <c r="W20" i="9"/>
  <c r="F82" i="8"/>
  <c r="E19" i="7"/>
  <c r="L104" i="9"/>
  <c r="F53" i="2"/>
  <c r="F20" i="2"/>
  <c r="E22" i="7"/>
  <c r="R93" i="9"/>
  <c r="E72" i="2"/>
  <c r="D83" i="8"/>
  <c r="D20" i="2"/>
  <c r="D10" i="2"/>
  <c r="F24" i="1"/>
  <c r="E45" i="7"/>
  <c r="F40" i="7"/>
  <c r="E46" i="7"/>
  <c r="D33" i="2"/>
  <c r="F33" i="2"/>
  <c r="E33" i="2"/>
  <c r="M104" i="9"/>
  <c r="G81" i="8"/>
  <c r="F22" i="7"/>
  <c r="V29" i="9"/>
  <c r="U96" i="9" s="1"/>
  <c r="G20" i="2"/>
  <c r="F19" i="7"/>
  <c r="S93" i="9"/>
  <c r="G53" i="2"/>
  <c r="G72" i="2"/>
  <c r="F72" i="2"/>
  <c r="G24" i="1"/>
  <c r="E44" i="7"/>
  <c r="F39" i="7"/>
  <c r="I19" i="7"/>
  <c r="J17" i="7"/>
  <c r="I18" i="7"/>
  <c r="E24" i="1"/>
  <c r="D24" i="1"/>
  <c r="M67" i="5" l="1"/>
  <c r="M68" i="5" s="1"/>
  <c r="M73" i="5" s="1"/>
  <c r="M77" i="5" s="1"/>
  <c r="M43" i="5"/>
  <c r="M44" i="5" s="1"/>
  <c r="M46" i="5" s="1"/>
  <c r="M47" i="5" s="1"/>
  <c r="L68" i="5"/>
  <c r="L73" i="5" s="1"/>
  <c r="D26" i="1"/>
  <c r="D15" i="2" s="1"/>
  <c r="H26" i="1"/>
  <c r="H9" i="2" s="1"/>
  <c r="G26" i="1"/>
  <c r="J49" i="8" s="1"/>
  <c r="D30" i="7"/>
  <c r="D27" i="7"/>
  <c r="E26" i="1"/>
  <c r="H24" i="2"/>
  <c r="H105" i="2" s="1"/>
  <c r="W31" i="9"/>
  <c r="V98" i="9" s="1"/>
  <c r="D65" i="2"/>
  <c r="D84" i="8"/>
  <c r="F26" i="1"/>
  <c r="F30" i="7"/>
  <c r="F27" i="7"/>
  <c r="G29" i="6"/>
  <c r="G33" i="6" s="1"/>
  <c r="G35" i="6" s="1"/>
  <c r="G36" i="6" s="1"/>
  <c r="E29" i="6"/>
  <c r="E33" i="6" s="1"/>
  <c r="E35" i="6" s="1"/>
  <c r="E36" i="6" s="1"/>
  <c r="E38" i="6" s="1"/>
  <c r="D29" i="6"/>
  <c r="D33" i="6" s="1"/>
  <c r="D35" i="6" s="1"/>
  <c r="D36" i="6" s="1"/>
  <c r="F29" i="6"/>
  <c r="F33" i="6" s="1"/>
  <c r="F35" i="6" s="1"/>
  <c r="F36" i="6" s="1"/>
  <c r="E30" i="7"/>
  <c r="H19" i="7"/>
  <c r="E27" i="7"/>
  <c r="J19" i="7"/>
  <c r="K17" i="7"/>
  <c r="J18" i="7"/>
  <c r="I21" i="7"/>
  <c r="I20" i="7"/>
  <c r="I22" i="7"/>
  <c r="G39" i="7"/>
  <c r="F44" i="7"/>
  <c r="F45" i="7"/>
  <c r="G40" i="7"/>
  <c r="F46" i="7"/>
  <c r="D23" i="5" l="1"/>
  <c r="L77" i="5"/>
  <c r="G119" i="5"/>
  <c r="D95" i="5"/>
  <c r="F119" i="5"/>
  <c r="H45" i="2"/>
  <c r="I51" i="8"/>
  <c r="H15" i="2"/>
  <c r="F14" i="4"/>
  <c r="F26" i="4" s="1"/>
  <c r="F39" i="4" s="1"/>
  <c r="G45" i="2"/>
  <c r="J51" i="8"/>
  <c r="G9" i="2"/>
  <c r="G15" i="2"/>
  <c r="F28" i="4"/>
  <c r="F41" i="4" s="1"/>
  <c r="F45" i="2"/>
  <c r="F9" i="2"/>
  <c r="F15" i="2"/>
  <c r="E45" i="2"/>
  <c r="C51" i="8"/>
  <c r="E9" i="2"/>
  <c r="E15" i="2"/>
  <c r="G22" i="2"/>
  <c r="T8" i="8" s="1"/>
  <c r="N106" i="9"/>
  <c r="G55" i="2"/>
  <c r="H65" i="2"/>
  <c r="H69" i="1"/>
  <c r="H75" i="1" s="1"/>
  <c r="H54" i="2"/>
  <c r="F20" i="7"/>
  <c r="H23" i="2"/>
  <c r="H104" i="2" s="1"/>
  <c r="G24" i="2"/>
  <c r="G105" i="2" s="1"/>
  <c r="V31" i="9"/>
  <c r="U98" i="9" s="1"/>
  <c r="I49" i="8"/>
  <c r="K49" i="8" s="1"/>
  <c r="G65" i="2"/>
  <c r="D23" i="2"/>
  <c r="H73" i="2"/>
  <c r="S9" i="8" s="1"/>
  <c r="G82" i="8"/>
  <c r="D9" i="2"/>
  <c r="F73" i="2"/>
  <c r="S7" i="8" s="1"/>
  <c r="D22" i="2"/>
  <c r="D69" i="1"/>
  <c r="D75" i="1" s="1"/>
  <c r="D61" i="2" s="1"/>
  <c r="D62" i="2" s="1"/>
  <c r="H55" i="2"/>
  <c r="M106" i="9"/>
  <c r="D24" i="2"/>
  <c r="G20" i="7"/>
  <c r="G73" i="2"/>
  <c r="S8" i="8" s="1"/>
  <c r="G23" i="2"/>
  <c r="G104" i="2" s="1"/>
  <c r="H22" i="2"/>
  <c r="T9" i="8" s="1"/>
  <c r="G69" i="1"/>
  <c r="G75" i="1" s="1"/>
  <c r="H83" i="8"/>
  <c r="G54" i="2"/>
  <c r="C49" i="8"/>
  <c r="K19" i="7"/>
  <c r="L17" i="7"/>
  <c r="K18" i="7"/>
  <c r="G44" i="7"/>
  <c r="H39" i="7"/>
  <c r="H44" i="7" s="1"/>
  <c r="E47" i="7" s="1"/>
  <c r="E29" i="7"/>
  <c r="E28" i="7"/>
  <c r="T94" i="9"/>
  <c r="W30" i="9"/>
  <c r="V97" i="9" s="1"/>
  <c r="G21" i="7"/>
  <c r="G46" i="7"/>
  <c r="G45" i="7"/>
  <c r="H40" i="7"/>
  <c r="D54" i="6"/>
  <c r="D53" i="6"/>
  <c r="F38" i="6"/>
  <c r="K106" i="9"/>
  <c r="T31" i="9"/>
  <c r="S98" i="9" s="1"/>
  <c r="Q95" i="9"/>
  <c r="D73" i="2"/>
  <c r="E24" i="2"/>
  <c r="E105" i="2" s="1"/>
  <c r="D20" i="7"/>
  <c r="E69" i="1"/>
  <c r="E75" i="1" s="1"/>
  <c r="E84" i="8"/>
  <c r="E65" i="2"/>
  <c r="E23" i="2"/>
  <c r="E104" i="2" s="1"/>
  <c r="E22" i="2"/>
  <c r="T6" i="8" s="1"/>
  <c r="D28" i="7"/>
  <c r="D29" i="7"/>
  <c r="F29" i="7"/>
  <c r="F28" i="7"/>
  <c r="J22" i="7"/>
  <c r="J21" i="7"/>
  <c r="J20" i="7"/>
  <c r="H22" i="7"/>
  <c r="H21" i="7"/>
  <c r="H20" i="7"/>
  <c r="F83" i="8"/>
  <c r="E73" i="2"/>
  <c r="S6" i="8" s="1"/>
  <c r="F24" i="2"/>
  <c r="F105" i="2" s="1"/>
  <c r="U31" i="9"/>
  <c r="T98" i="9" s="1"/>
  <c r="E20" i="7"/>
  <c r="L106" i="9"/>
  <c r="F55" i="2"/>
  <c r="F65" i="2"/>
  <c r="F69" i="1"/>
  <c r="F75" i="1" s="1"/>
  <c r="F54" i="2"/>
  <c r="F23" i="2"/>
  <c r="F104" i="2" s="1"/>
  <c r="F22" i="2"/>
  <c r="T7" i="8" s="1"/>
  <c r="I54" i="6"/>
  <c r="C54" i="6"/>
  <c r="D38" i="6"/>
  <c r="I53" i="6"/>
  <c r="C53" i="6"/>
  <c r="F21" i="7"/>
  <c r="V30" i="9"/>
  <c r="U97" i="9" s="1"/>
  <c r="M105" i="9"/>
  <c r="S94" i="9"/>
  <c r="G61" i="2"/>
  <c r="G63" i="2"/>
  <c r="E53" i="6"/>
  <c r="G38" i="6"/>
  <c r="E54" i="6"/>
  <c r="J54" i="6"/>
  <c r="J53" i="6"/>
  <c r="D66" i="2"/>
  <c r="D89" i="1"/>
  <c r="D91" i="1" s="1"/>
  <c r="D60" i="2"/>
  <c r="L49" i="8" l="1"/>
  <c r="D49" i="8"/>
  <c r="H106" i="5"/>
  <c r="H103" i="5"/>
  <c r="G106" i="5"/>
  <c r="E104" i="5"/>
  <c r="H107" i="5"/>
  <c r="E107" i="5"/>
  <c r="G104" i="5"/>
  <c r="E103" i="5"/>
  <c r="F104" i="5"/>
  <c r="F106" i="5"/>
  <c r="H105" i="5"/>
  <c r="G103" i="5"/>
  <c r="F103" i="5"/>
  <c r="F105" i="5"/>
  <c r="G105" i="5"/>
  <c r="E105" i="5"/>
  <c r="G107" i="5"/>
  <c r="H104" i="5"/>
  <c r="E106" i="5"/>
  <c r="D13" i="5"/>
  <c r="D17" i="5" s="1"/>
  <c r="D20" i="5" s="1"/>
  <c r="D22" i="5" s="1"/>
  <c r="F107" i="5"/>
  <c r="N104" i="5"/>
  <c r="F29" i="4"/>
  <c r="F42" i="4" s="1"/>
  <c r="F44" i="4" s="1"/>
  <c r="F47" i="4" s="1"/>
  <c r="F49" i="4" s="1"/>
  <c r="H43" i="2"/>
  <c r="H9" i="3"/>
  <c r="F15" i="4"/>
  <c r="F27" i="4" s="1"/>
  <c r="F40" i="4" s="1"/>
  <c r="H89" i="1"/>
  <c r="H91" i="1" s="1"/>
  <c r="H61" i="2"/>
  <c r="H63" i="2"/>
  <c r="H66" i="2"/>
  <c r="K51" i="8"/>
  <c r="D51" i="8" s="1"/>
  <c r="G43" i="2"/>
  <c r="G9" i="3"/>
  <c r="F43" i="2"/>
  <c r="F9" i="3"/>
  <c r="E43" i="2"/>
  <c r="E9" i="3"/>
  <c r="D63" i="2"/>
  <c r="N105" i="9"/>
  <c r="G100" i="2"/>
  <c r="G89" i="1"/>
  <c r="G91" i="1" s="1"/>
  <c r="G66" i="2"/>
  <c r="H60" i="2"/>
  <c r="G60" i="2"/>
  <c r="H100" i="2"/>
  <c r="H45" i="7"/>
  <c r="F47" i="7" s="1"/>
  <c r="H46" i="7"/>
  <c r="G98" i="2"/>
  <c r="G62" i="2"/>
  <c r="E61" i="2"/>
  <c r="D21" i="7"/>
  <c r="E100" i="2"/>
  <c r="Q94" i="9"/>
  <c r="K105" i="9"/>
  <c r="T30" i="9"/>
  <c r="S97" i="9" s="1"/>
  <c r="E89" i="1"/>
  <c r="E91" i="1" s="1"/>
  <c r="E63" i="2"/>
  <c r="E66" i="2"/>
  <c r="E60" i="2"/>
  <c r="F31" i="6"/>
  <c r="G31" i="6"/>
  <c r="E31" i="6"/>
  <c r="D31" i="6"/>
  <c r="K22" i="7"/>
  <c r="K21" i="7"/>
  <c r="K20" i="7"/>
  <c r="H98" i="2"/>
  <c r="H62" i="2"/>
  <c r="L19" i="7"/>
  <c r="L18" i="7"/>
  <c r="R94" i="9"/>
  <c r="U30" i="9"/>
  <c r="T97" i="9" s="1"/>
  <c r="F60" i="2"/>
  <c r="L105" i="9"/>
  <c r="F61" i="2"/>
  <c r="F89" i="1"/>
  <c r="F91" i="1" s="1"/>
  <c r="F66" i="2"/>
  <c r="E21" i="7"/>
  <c r="F63" i="2"/>
  <c r="F100" i="2"/>
  <c r="L51" i="8" l="1"/>
  <c r="G47" i="7"/>
  <c r="H47" i="7"/>
  <c r="N106" i="5"/>
  <c r="O102" i="5"/>
  <c r="Q104" i="5"/>
  <c r="N103" i="5"/>
  <c r="P105" i="5"/>
  <c r="O105" i="5"/>
  <c r="P104" i="5"/>
  <c r="N102" i="5"/>
  <c r="P103" i="5"/>
  <c r="P102" i="5"/>
  <c r="N105" i="5"/>
  <c r="M106" i="5"/>
  <c r="M105" i="5"/>
  <c r="O104" i="5"/>
  <c r="M104" i="5"/>
  <c r="Q103" i="5"/>
  <c r="Q102" i="5"/>
  <c r="M103" i="5"/>
  <c r="P106" i="5"/>
  <c r="Q106" i="5"/>
  <c r="M102" i="5"/>
  <c r="O103" i="5"/>
  <c r="O106" i="5"/>
  <c r="Q105" i="5"/>
  <c r="H15" i="3"/>
  <c r="H18" i="3" s="1"/>
  <c r="G15" i="3"/>
  <c r="F16" i="3"/>
  <c r="F15" i="3"/>
  <c r="E15" i="3"/>
  <c r="E16" i="3"/>
  <c r="F98" i="2"/>
  <c r="F62" i="2"/>
  <c r="L20" i="7"/>
  <c r="L22" i="7"/>
  <c r="L21" i="7"/>
  <c r="E62" i="2"/>
  <c r="E98" i="2"/>
  <c r="H16" i="3" l="1"/>
  <c r="H19" i="3"/>
  <c r="G18" i="3"/>
  <c r="G16" i="3"/>
  <c r="G19" i="3"/>
  <c r="F18" i="3"/>
  <c r="F24" i="3"/>
  <c r="F21" i="3"/>
  <c r="E24" i="3"/>
  <c r="E21" i="3"/>
  <c r="F19" i="3"/>
  <c r="E18" i="3"/>
  <c r="H24" i="3" l="1"/>
  <c r="H21" i="3"/>
  <c r="G24" i="3"/>
  <c r="G21" i="3"/>
  <c r="G48" i="7" l="1"/>
  <c r="E48" i="7"/>
  <c r="F31" i="7"/>
  <c r="E31" i="7"/>
  <c r="D31" i="7"/>
  <c r="M23" i="7"/>
  <c r="F48" i="7"/>
  <c r="X85" i="9"/>
  <c r="U6" i="9"/>
  <c r="W8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E9" authorId="0" shapeId="0" xr:uid="{9DEDA4E6-7500-4866-8ED3-896E0D0D4396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revenus royalties/ventes propriétés 2022 ($000)</t>
        </r>
      </text>
    </comment>
    <comment ref="F9" authorId="0" shapeId="0" xr:uid="{72C29D35-3F40-4737-A61A-FF96C2D82F91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revenus royalties/ventes propriétés 2023 ($000)</t>
        </r>
      </text>
    </comment>
    <comment ref="G9" authorId="0" shapeId="0" xr:uid="{BAE541CC-4797-48B0-AFB2-A3A90CA91E8A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revenus royalties/ventes propriétés 2024 ($000)</t>
        </r>
      </text>
    </comment>
    <comment ref="H9" authorId="0" shapeId="0" xr:uid="{50770572-EB0E-401D-819C-E0DB88E5C462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revenus royalties/ventes propriétés 2025 LTM ($000)</t>
        </r>
      </text>
    </comment>
    <comment ref="E109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Données AAPL retirées — remplacer par prix historiques NXTFF si disponibles</t>
        </r>
      </text>
    </comment>
    <comment ref="F109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FY2023 (~Sept 2023 close). Approximate historical value.</t>
        </r>
      </text>
    </comment>
    <comment ref="G109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FY2024 (~Sept 2024 close). Approximate historical value.</t>
        </r>
      </text>
    </comment>
    <comment ref="H109" authorId="0" shapeId="0" xr:uid="{9FAC7D85-CD47-4664-A423-77DC6DDD841F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Prix action NXTFF ($0.08 typique junior OTC)</t>
        </r>
      </text>
    </comment>
    <comment ref="E110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Données AAPL retirées — actions AAPL (~16B) ne correspondent pas à NXTFF (~42M). Remplacer par actions historiques NXTFF</t>
        </r>
      </text>
    </comment>
    <comment ref="F110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FY2023 (~15.8B). Approximate.</t>
        </r>
      </text>
    </comment>
    <comment ref="G110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FY2024 (~15.4B). Approximate.</t>
        </r>
      </text>
    </comment>
    <comment ref="H110" authorId="0" shapeId="0" xr:uid="{4C17EA51-9375-4AD1-9972-A1803ACE4434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Actions diluées en circulation (M)</t>
        </r>
      </text>
    </comment>
    <comment ref="H113" authorId="0" shapeId="0" xr:uid="{2E39FE80-557A-4E5F-9139-7A4DA10E549F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Beta junior minière typique (1.5-2.0x)</t>
        </r>
      </text>
    </comment>
    <comment ref="H114" authorId="0" shapeId="0" xr:uid="{157260C0-B21D-4FEB-A142-C722F1695BD7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Taux sans risque (10Y US Treasury)</t>
        </r>
      </text>
    </comment>
    <comment ref="H115" authorId="0" shapeId="0" xr:uid="{FF49440A-387C-4681-BCA5-42C477850E6C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Prime de risque marché (ERP)</t>
        </r>
      </text>
    </comment>
    <comment ref="H117" authorId="0" shapeId="0" xr:uid="{EC67856F-9947-4F6C-BB1D-5B68543CE020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Coût de la dette pré-tax (8%)</t>
        </r>
      </text>
    </comment>
    <comment ref="H118" authorId="0" shapeId="0" xr:uid="{39864270-6BFD-4446-954A-56635BFB16E6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Taux d'imposition (21%)</t>
        </r>
      </text>
    </comment>
    <comment ref="H120" authorId="0" shapeId="0" xr:uid="{334AAB95-4854-4ED6-8EAC-F6A6BC0D2CA8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Poids des capitaux propres (85% typique junior)</t>
        </r>
      </text>
    </comment>
    <comment ref="H121" authorId="0" shapeId="0" xr:uid="{9BA5F89D-EB9C-4B29-B2FA-8913A254634B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Poids de la dette (15%)</t>
        </r>
      </text>
    </comment>
    <comment ref="H123" authorId="0" shapeId="0" xr:uid="{816A84F4-2B12-4A9B-94F7-B4B7AB5D46E7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TEST DATA — Taux de croissance terminal (2.5%)</t>
        </r>
      </text>
    </comment>
    <comment ref="D134" authorId="0" shapeId="0" xr:uid="{4F3AEFC0-4F2B-428D-8120-F1BDB3117686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Date d'analyse — à mettre à jour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C5" authorId="0" shapeId="0" xr:uid="{F8FF85FF-C29A-4A89-BF47-1D61DA5BE626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TEST DATA — RAB Électricité régulée ($M)</t>
        </r>
      </text>
    </comment>
    <comment ref="C6" authorId="0" shapeId="0" xr:uid="{AB242C11-3C6A-4D3A-950D-859B26310EEF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TEST DATA — RAB Gaz régulé ($M)</t>
        </r>
      </text>
    </comment>
    <comment ref="C7" authorId="0" shapeId="0" xr:uid="{A8F26ED7-36AE-4542-B9CC-7B4CE2FF152C}">
      <text>
        <r>
          <rPr>
            <b/>
            <sz val="9"/>
            <color indexed="81"/>
            <rFont val="Tahoma"/>
            <family val="2"/>
          </rPr>
          <t>TEST DATA — EBITDA segment non-régulé ($M)</t>
        </r>
      </text>
    </comment>
    <comment ref="F7" authorId="0" shapeId="0" xr:uid="{D3F28335-465D-4864-BC06-19833A57FAE8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EV/EBITDA multiple for non-regulated segment (8-12x typical)</t>
        </r>
      </text>
    </comment>
    <comment ref="D13" authorId="0" shapeId="0" xr:uid="{83A8C45C-327E-45A3-AEF9-95FC0EA3E6E1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EV DCF = PV(UFCF années 1-5) + PV(Valeur Terminale)</t>
        </r>
      </text>
    </comment>
    <comment ref="D15" authorId="0" shapeId="0" xr:uid="{7D380F73-DDF4-46C6-A123-E57AC7216D21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Total Debt = Long-Term Debt + Short-Term Debt</t>
        </r>
      </text>
    </comment>
    <comment ref="D16" authorId="0" shapeId="0" xr:uid="{73A85928-C116-423A-8F13-5AE0F3075C9B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Cash &amp; Equivalents</t>
        </r>
      </text>
    </comment>
    <comment ref="D17" authorId="0" shapeId="0" xr:uid="{9BF6910B-B4D4-424D-B522-2FA99FD42623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Equity Value = EV - Dette + Cash</t>
        </r>
      </text>
    </comment>
    <comment ref="I37" authorId="0" shapeId="0" xr:uid="{334C9670-3619-4498-A96C-3EB5EB9C0839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IB: R&amp;D/Exploration costs in absolute $, growing at revenue growth rate</t>
        </r>
      </text>
    </comment>
    <comment ref="I40" authorId="0" shapeId="0" xr:uid="{21E45079-E895-444D-A5A4-0466A402B3E4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IB: D&amp;A in absolute $, growing at revenue growth rate (tied to asset base growth)</t>
        </r>
      </text>
    </comment>
    <comment ref="E52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IB ASSUMPTION — Revenue Growth Rate
Source: Avg. of available historical YoY growth rates (RATIOS F51:H51).
For new companies: use sector consensus or management guidance.
Typical junior miner range: 5-25% depending on development stage.
Adjust per company's resource development timeline.</t>
        </r>
      </text>
    </comment>
    <comment ref="E53" authorId="0" shapeId="0" xr:uid="{00000000-0006-0000-0400-000002000000}">
      <text>
        <r>
          <rPr>
            <sz val="11"/>
            <color theme="1"/>
            <rFont val="Aptos Narrow"/>
            <family val="2"/>
            <scheme val="minor"/>
          </rPr>
          <t>IB ASSUMPTION — Gross Margin %
Source: Avg. historical gross margin (INPUT Revenue - COGS).
For pre-revenue miners: use peer group median (15-40% for royalty cos, 30-50% for producers).
Set to 28% based on sector comparable midpoint.</t>
        </r>
      </text>
    </comment>
    <comment ref="E54" authorId="0" shapeId="0" xr:uid="{00000000-0006-0000-0400-000003000000}">
      <text>
        <r>
          <rPr>
            <sz val="11"/>
            <color theme="1"/>
            <rFont val="Aptos Narrow"/>
            <family val="2"/>
            <scheme val="minor"/>
          </rPr>
          <t>IB ASSUMPTION — SG&amp;A as % of Revenue
Source: Avg. historical SG&amp;A/Revenue.
For juniors: SG&amp;A typically $500K-$3M/yr absolute, not revenue-driven.
Adjust if company scales significantly.</t>
        </r>
      </text>
    </comment>
    <comment ref="E55" authorId="0" shapeId="0" xr:uid="{00000000-0006-0000-0400-000004000000}">
      <text>
        <r>
          <rPr>
            <sz val="11"/>
            <color theme="1"/>
            <rFont val="Aptos Narrow"/>
            <family val="2"/>
            <scheme val="minor"/>
          </rPr>
          <t>IB ASSUMPTION — Exploration / R&amp;D ($000/yr, ABSOLUTE)
Logic: For junior miners, R&amp;D/exploration costs are INDEPENDENT of revenue.
They are driven by the work program, not sales.
This cell = avg historical absolute spend (auto-calculated from INPUT).
Override manually if company has disclosed a specific exploration budget.
Typical range: $2M-$15M/yr for active explorers.</t>
        </r>
      </text>
    </comment>
    <comment ref="E56" authorId="0" shapeId="0" xr:uid="{00000000-0006-0000-0400-000005000000}">
      <text>
        <r>
          <rPr>
            <sz val="11"/>
            <color theme="1"/>
            <rFont val="Aptos Narrow"/>
            <family val="2"/>
            <scheme val="minor"/>
          </rPr>
          <t>IB ASSUMPTION — D&amp;A ($000/yr, ABSOLUTE)
Logic: D&amp;A for exploration-stage miners is tied to the asset base (PP&amp;E + intangibles),
not to revenue. Auto-calculated as avg of historical D&amp;A from INPUT.
Override if company has major asset additions planned (new mine, acquisition).
Projected to grow at revenue growth rate as proxy for asset base expansion.</t>
        </r>
      </text>
    </comment>
    <comment ref="E57" authorId="0" shapeId="0" xr:uid="{00000000-0006-0000-0400-000006000000}">
      <text>
        <r>
          <rPr>
            <sz val="11"/>
            <color theme="1"/>
            <rFont val="Aptos Narrow"/>
            <family val="2"/>
            <scheme val="minor"/>
          </rPr>
          <t>Baptiste jeh:
Moyenne du taux d'imposition effectif (toutes années disponibles)</t>
        </r>
      </text>
    </comment>
    <comment ref="E60" authorId="0" shapeId="0" xr:uid="{00000000-0006-0000-0400-000007000000}">
      <text>
        <r>
          <rPr>
            <sz val="11"/>
            <color theme="1"/>
            <rFont val="Aptos Narrow"/>
            <family val="2"/>
            <scheme val="minor"/>
          </rPr>
          <t>IB ASSUMPTION — CapEx as % of Revenue
For exploration-stage: use absolute CapEx from INPUT!H78 (sustaining + growth).
Note: exploration CapEx is capitalized differently under IFRS vs US GAAP.
Typical sustaining CapEx: 5-15% of revenue for producers; higher for developers.</t>
        </r>
      </text>
    </comment>
    <comment ref="E61" authorId="0" shapeId="0" xr:uid="{00000000-0006-0000-0400-000008000000}">
      <text>
        <r>
          <rPr>
            <sz val="11"/>
            <color theme="1"/>
            <rFont val="Aptos Narrow"/>
            <family val="2"/>
            <scheme val="minor"/>
          </rPr>
          <t>IB ASSUMPTION — Change in NWC as % of Revenue Growth
For cash-burning juniors: NWC change often driven by AP/payables management.
Conservative estimate: 10-15% of revenue increment.
Set at 12% — adjust if company has material inventory build.</t>
        </r>
      </text>
    </comment>
    <comment ref="E62" authorId="0" shapeId="0" xr:uid="{1D0C53C9-1752-4AA5-A594-2E1A1C0D67CB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IB ASSUMPTION — Debt/RAB Target
For regulated utilities: 50-65% is standard (investment grade).
For mining companies: use Net Debt/EBITDA or Debt/Assets instead.
Note: this metric is ONLY relevant if RAB SOTP methodology is applicable (regulated revenue).
For exploration-stage: set to 0 or N/A.</t>
        </r>
      </text>
    </comment>
    <comment ref="D95" authorId="0" shapeId="0" xr:uid="{D8F370F4-FC06-410A-BF43-927FC66C168F}">
      <text>
        <r>
          <rPr>
            <b/>
            <sz val="9"/>
            <color indexed="81"/>
            <rFont val="Tahoma"/>
            <family val="2"/>
          </rPr>
          <t>Baptiste jeh:</t>
        </r>
        <r>
          <rPr>
            <sz val="9"/>
            <color indexed="81"/>
            <rFont val="Tahoma"/>
            <family val="2"/>
          </rPr>
          <t xml:space="preserve">
UFCF année 5 — utilisé comme base de la valeur terminale dans la table de sensibilité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F12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Baptiste jeh:
Sony FY2024 Revenue converted from JPY to USD at ~149 JPY/USD. Source: Sony Group IR. Original JPY figure ~13.1T yen.</t>
        </r>
      </text>
    </comment>
    <comment ref="G12" authorId="0" shapeId="0" xr:uid="{00000000-0006-0000-0500-000002000000}">
      <text>
        <r>
          <rPr>
            <sz val="11"/>
            <color theme="1"/>
            <rFont val="Aptos Narrow"/>
            <family val="2"/>
            <scheme val="minor"/>
          </rPr>
          <t>Baptiste jeh:
Sony FY2024 EBITDA converted from JPY to USD at ~149 JPY/USD. Approximate figure.</t>
        </r>
      </text>
    </comment>
  </commentList>
</comments>
</file>

<file path=xl/sharedStrings.xml><?xml version="1.0" encoding="utf-8"?>
<sst xmlns="http://schemas.openxmlformats.org/spreadsheetml/2006/main" count="930" uniqueCount="519">
  <si>
    <t>INPUT — Raw Data</t>
  </si>
  <si>
    <t>All figures in USD millions unless stated</t>
  </si>
  <si>
    <t>METRIC</t>
  </si>
  <si>
    <t>UNIT</t>
  </si>
  <si>
    <t>2025 (LTM)</t>
  </si>
  <si>
    <t xml:space="preserve"> </t>
  </si>
  <si>
    <t>INPUT</t>
  </si>
  <si>
    <t>Revenue</t>
  </si>
  <si>
    <t>($M)</t>
  </si>
  <si>
    <t>Cost of Goods Sold (COGS)</t>
  </si>
  <si>
    <t>Gross Profit</t>
  </si>
  <si>
    <t>Operating Expenses (SG&amp;A)</t>
  </si>
  <si>
    <t>Research &amp; Development</t>
  </si>
  <si>
    <t>Depreciation &amp; Amortization</t>
  </si>
  <si>
    <t>EBIT (Operating Profit)</t>
  </si>
  <si>
    <t>Interest Expense</t>
  </si>
  <si>
    <t>Interest Income</t>
  </si>
  <si>
    <t>Earnings Before Tax (EBT)</t>
  </si>
  <si>
    <t>Income Tax Expense</t>
  </si>
  <si>
    <t>Net Income</t>
  </si>
  <si>
    <t>Common Dividends</t>
  </si>
  <si>
    <t>EBITDA</t>
  </si>
  <si>
    <t>BALANCE SHEET</t>
  </si>
  <si>
    <t>Cash &amp; Cash Equivalents</t>
  </si>
  <si>
    <t>Accounts Receivable</t>
  </si>
  <si>
    <t>Inventories</t>
  </si>
  <si>
    <t>Other Current Assets</t>
  </si>
  <si>
    <t>Total Current Assets</t>
  </si>
  <si>
    <t>PP&amp;E (Net)</t>
  </si>
  <si>
    <t>Intangible Assets</t>
  </si>
  <si>
    <t>Other Long-Term Assets</t>
  </si>
  <si>
    <t>Total Assets</t>
  </si>
  <si>
    <t>Accounts Payable</t>
  </si>
  <si>
    <t>Short-Term Debt</t>
  </si>
  <si>
    <t>Income Tax Payable</t>
  </si>
  <si>
    <t>Other Current Liabilities</t>
  </si>
  <si>
    <t>Total Current Liabilities</t>
  </si>
  <si>
    <t>Long-Term Debt</t>
  </si>
  <si>
    <t>Total Liabilities</t>
  </si>
  <si>
    <t>Common Equity (Paid-In Capital)</t>
  </si>
  <si>
    <t>Retained Earnings</t>
  </si>
  <si>
    <t>Total Shareholders Equity</t>
  </si>
  <si>
    <t>Total Liabilities &amp; Equity</t>
  </si>
  <si>
    <t>CASH FLOW STATEMENT</t>
  </si>
  <si>
    <t>Change in Accounts Receivable</t>
  </si>
  <si>
    <t>Change in Inventories</t>
  </si>
  <si>
    <t>Change in Accounts Payable</t>
  </si>
  <si>
    <t>Other Working Capital Changes</t>
  </si>
  <si>
    <t>Cash from Operating Activities</t>
  </si>
  <si>
    <t>Capital Expenditures (CapEx)</t>
  </si>
  <si>
    <t>Other Investing Activities</t>
  </si>
  <si>
    <t>Cash from Investing Activities</t>
  </si>
  <si>
    <t>Change in Long-Term Debt</t>
  </si>
  <si>
    <t>Change in Common Equity</t>
  </si>
  <si>
    <t>Dividends Paid</t>
  </si>
  <si>
    <t>Cash from Financing Activities</t>
  </si>
  <si>
    <t>Net Change in Cash</t>
  </si>
  <si>
    <t>Beginning Cash Balance</t>
  </si>
  <si>
    <t>Ending Cash Balance</t>
  </si>
  <si>
    <t>MARKET &amp; VALUATION DATA</t>
  </si>
  <si>
    <t>Share Price</t>
  </si>
  <si>
    <t>($)</t>
  </si>
  <si>
    <t>Shares Outstanding (Diluted)</t>
  </si>
  <si>
    <t>(M)</t>
  </si>
  <si>
    <t>Market Capitalization</t>
  </si>
  <si>
    <t>Enterprise Value (EV)</t>
  </si>
  <si>
    <t>Beta (Levered)</t>
  </si>
  <si>
    <t>(x)</t>
  </si>
  <si>
    <t>Risk-Free Rate</t>
  </si>
  <si>
    <t>(%)</t>
  </si>
  <si>
    <t>Equity Risk Premium (ERP)</t>
  </si>
  <si>
    <t>Cost of Equity (CAPM)</t>
  </si>
  <si>
    <t>Cost of Debt (Pre-Tax)</t>
  </si>
  <si>
    <t>Tax Rate</t>
  </si>
  <si>
    <t>After-Tax Cost of Debt</t>
  </si>
  <si>
    <t>Weight of Equity (%)</t>
  </si>
  <si>
    <t>Weight of Debt (%)</t>
  </si>
  <si>
    <t>WACC</t>
  </si>
  <si>
    <t>Terminal Growth Rate</t>
  </si>
  <si>
    <t>Days in Period</t>
  </si>
  <si>
    <t>(days)</t>
  </si>
  <si>
    <t>COMPANY INFORMATION</t>
  </si>
  <si>
    <t>Company Name</t>
  </si>
  <si>
    <t>(text)</t>
  </si>
  <si>
    <t>Nextraction Energy Corp.</t>
  </si>
  <si>
    <t>Ticker Symbol</t>
  </si>
  <si>
    <t>NXTFF</t>
  </si>
  <si>
    <t>Sector / Industry</t>
  </si>
  <si>
    <t>Base Year (LTM)</t>
  </si>
  <si>
    <t>Currency</t>
  </si>
  <si>
    <t>USD</t>
  </si>
  <si>
    <t>Units</t>
  </si>
  <si>
    <t>Analysis Date</t>
  </si>
  <si>
    <t>NOTE: All analytical sheets reference this INPUT sheet only. Enter data in the blue cells (columns D–H).</t>
  </si>
  <si>
    <t>© 2015 to 2024 FinSight</t>
  </si>
  <si>
    <t>This Excel model is for educational purposes only.</t>
  </si>
  <si>
    <t>https://finsight.com/</t>
  </si>
  <si>
    <t>FinSight</t>
  </si>
  <si>
    <t>RATIOS — Financial Ratio Analysis</t>
  </si>
  <si>
    <t>RATIOS</t>
  </si>
  <si>
    <t>Year</t>
  </si>
  <si>
    <t>VALUATION RATIOS</t>
  </si>
  <si>
    <t>Price / Earnings (P/E)</t>
  </si>
  <si>
    <t>EV / EBITDA</t>
  </si>
  <si>
    <t>EV / EBIT</t>
  </si>
  <si>
    <t>Price / Book (P/B)</t>
  </si>
  <si>
    <t>Earnings Per Share (EPS)</t>
  </si>
  <si>
    <t>PROFITABILITY RATIOS</t>
  </si>
  <si>
    <t>Gross Profit Margin</t>
  </si>
  <si>
    <t>EBITDA Margin</t>
  </si>
  <si>
    <t>EBIT (Operating) Margin</t>
  </si>
  <si>
    <t>Net Profit Margin</t>
  </si>
  <si>
    <t>Return on Equity (ROE)</t>
  </si>
  <si>
    <t>Return on Assets (ROA)</t>
  </si>
  <si>
    <t>Return on Invested Capital (ROIC)</t>
  </si>
  <si>
    <t>LIQUIDITY &amp; SOLVENCY RATIOS</t>
  </si>
  <si>
    <t>Current Ratio</t>
  </si>
  <si>
    <t>Quick Ratio</t>
  </si>
  <si>
    <t>Cash Ratio</t>
  </si>
  <si>
    <t>Debt / Equity Ratio</t>
  </si>
  <si>
    <t>Net Debt / EBITDA</t>
  </si>
  <si>
    <t>Interest Coverage (EBIT/Interest)</t>
  </si>
  <si>
    <t>Debt / Total Assets</t>
  </si>
  <si>
    <t>Equity Ratio</t>
  </si>
  <si>
    <t>GROWTH RATIOS</t>
  </si>
  <si>
    <t>Revenue Growth (YoY)</t>
  </si>
  <si>
    <t>–</t>
  </si>
  <si>
    <t>Gross Profit Growth (YoY)</t>
  </si>
  <si>
    <t>EBITDA Growth (YoY)</t>
  </si>
  <si>
    <t>Net Income Growth (YoY)</t>
  </si>
  <si>
    <t>EPS Growth (YoY)</t>
  </si>
  <si>
    <t>Total Assets Growth (YoY)</t>
  </si>
  <si>
    <t>CASH FLOW RATIOS</t>
  </si>
  <si>
    <t>Operating Cash Flow Margin</t>
  </si>
  <si>
    <t>Free Cash Flow (FCF)</t>
  </si>
  <si>
    <t>FCF Margin</t>
  </si>
  <si>
    <t>Cash Return on Equity</t>
  </si>
  <si>
    <t>CapEx / Revenue</t>
  </si>
  <si>
    <t>Dividend Payout Ratio</t>
  </si>
  <si>
    <t>CFO / Net Income (Accruals Ratio)</t>
  </si>
  <si>
    <t>CHART DATA</t>
  </si>
  <si>
    <t>Revenue ($M)</t>
  </si>
  <si>
    <t>EBITDA ($M)</t>
  </si>
  <si>
    <t>Net Income ($M)</t>
  </si>
  <si>
    <t>Cumul. Revenue ($M)</t>
  </si>
  <si>
    <t>SG&amp;A ($M)</t>
  </si>
  <si>
    <t>R&amp;D ($M)</t>
  </si>
  <si>
    <t>D&amp;A ($M)</t>
  </si>
  <si>
    <t>Interest ($M)</t>
  </si>
  <si>
    <t>FCF &amp; CapEx Trend ($M)</t>
  </si>
  <si>
    <t>Metric</t>
  </si>
  <si>
    <t>Free Cash Flow ($M)</t>
  </si>
  <si>
    <t>CapEx ($M)</t>
  </si>
  <si>
    <t>Cash from Operations ($M)</t>
  </si>
  <si>
    <t>Returns Chart Data</t>
  </si>
  <si>
    <t>COMPONENT</t>
  </si>
  <si>
    <t>EBIT</t>
  </si>
  <si>
    <t>ZONE INTERPRETATION</t>
  </si>
  <si>
    <t>ZONE</t>
  </si>
  <si>
    <t>BASE FINANCIAL DATA (from INPUT)</t>
  </si>
  <si>
    <t>Cost of Goods Sold</t>
  </si>
  <si>
    <t>Constant</t>
  </si>
  <si>
    <t>INTERPRETATION</t>
  </si>
  <si>
    <t>RESULT</t>
  </si>
  <si>
    <t>DCF</t>
  </si>
  <si>
    <t>(Units)</t>
  </si>
  <si>
    <t>Terminal</t>
  </si>
  <si>
    <t>INCOME STATEMENT</t>
  </si>
  <si>
    <t>SG&amp;A Expenses</t>
  </si>
  <si>
    <t>Income Taxes</t>
  </si>
  <si>
    <t>Gross Margin</t>
  </si>
  <si>
    <t>Effective Tax Rate</t>
  </si>
  <si>
    <t>BALANCE SHEET / CASH FLOW DRIVERS</t>
  </si>
  <si>
    <t>FREE CASH FLOW CALCULATION</t>
  </si>
  <si>
    <t>(-) Taxes on EBIT (Unlevered)</t>
  </si>
  <si>
    <t>NOPAT (Net Operating Profit After Tax)</t>
  </si>
  <si>
    <t>(+) Depreciation &amp; Amortization</t>
  </si>
  <si>
    <t>(-) Capital Expenditures (CapEx)</t>
  </si>
  <si>
    <t>(-) Change in Working Capital</t>
  </si>
  <si>
    <t>Unlevered Free Cash Flow (UFCF)</t>
  </si>
  <si>
    <t>WACC CALCULATION (Capital Asset Pricing Model)</t>
  </si>
  <si>
    <t>Risk-Free Rate (Rf)</t>
  </si>
  <si>
    <t>Target Equity Weight (We)</t>
  </si>
  <si>
    <t>Target Debt Weight (Wd)</t>
  </si>
  <si>
    <t>Pre-Tax Cost of Debt (Kd)</t>
  </si>
  <si>
    <t>(-) Total Debt</t>
  </si>
  <si>
    <t>(+) Cash &amp; Cash Equivalents</t>
  </si>
  <si>
    <t>Equity Value</t>
  </si>
  <si>
    <t>Implied Share Price (DCF)</t>
  </si>
  <si>
    <t>Current Share Price</t>
  </si>
  <si>
    <t>Upside / (Downside)</t>
  </si>
  <si>
    <t>UFCF IRR (5-Year)</t>
  </si>
  <si>
    <t>SENSITIVITY ANALYSIS — Implied Share Price ($)</t>
  </si>
  <si>
    <t>Terminal Growth Rate →</t>
  </si>
  <si>
    <t>WACC ↓</t>
  </si>
  <si>
    <t>g=0%</t>
  </si>
  <si>
    <t>g=1%</t>
  </si>
  <si>
    <t>g=2%</t>
  </si>
  <si>
    <t>g=3% (Base)</t>
  </si>
  <si>
    <t>g=4%</t>
  </si>
  <si>
    <t>SCENARIO ANALYSIS — 3 SCENARIOS</t>
  </si>
  <si>
    <t>Pessimistic</t>
  </si>
  <si>
    <t>Realistic</t>
  </si>
  <si>
    <t>Optimistic</t>
  </si>
  <si>
    <t>Revenue Growth (Y1-Y5 avg.)</t>
  </si>
  <si>
    <t>Implied Share Price ($)</t>
  </si>
  <si>
    <t>UFCF Projection ($M)</t>
  </si>
  <si>
    <t>UFCF</t>
  </si>
  <si>
    <t>Revenue Projection ($M)</t>
  </si>
  <si>
    <t>COMPARABLES — Trading Comparables</t>
  </si>
  <si>
    <t>COMPARABLES</t>
  </si>
  <si>
    <t>COMPARABLE TRADING ANALYSIS</t>
  </si>
  <si>
    <t>Share
Price</t>
  </si>
  <si>
    <t>Enterprise
Value</t>
  </si>
  <si>
    <t>Revenue
(LTM)</t>
  </si>
  <si>
    <t>EV /
EBITDA</t>
  </si>
  <si>
    <t>EPS
(LTM)</t>
  </si>
  <si>
    <t>P / E
(LTM)</t>
  </si>
  <si>
    <t>PEER COMPANIES</t>
  </si>
  <si>
    <t>TICKER</t>
  </si>
  <si>
    <t>(USD/sh)</t>
  </si>
  <si>
    <t>Mean</t>
  </si>
  <si>
    <t>Median</t>
  </si>
  <si>
    <t>Maximum</t>
  </si>
  <si>
    <t>Minimum</t>
  </si>
  <si>
    <t>TARGET COMPANY VALUATION (Based on Peer Multiples)</t>
  </si>
  <si>
    <t>TARGET COMPANY METRICS (from INPUT)</t>
  </si>
  <si>
    <t>Target: Revenue (LTM)</t>
  </si>
  <si>
    <t>Target: EBITDA (LTM)</t>
  </si>
  <si>
    <t>Target: EPS (LTM)</t>
  </si>
  <si>
    <t>Target: Net Debt</t>
  </si>
  <si>
    <t>Target: Shares Outstanding</t>
  </si>
  <si>
    <t>IMPLIED VALUATION</t>
  </si>
  <si>
    <t>EV / EBITDA — Implied EV ($M)</t>
  </si>
  <si>
    <t>Implied Enterprise Value (Average of 3 Methods)</t>
  </si>
  <si>
    <t>(-) Net Debt</t>
  </si>
  <si>
    <t>Implied Equity Value ($M)</t>
  </si>
  <si>
    <t>Current Share Price ($)</t>
  </si>
  <si>
    <t>Implied Upside / (Downside)</t>
  </si>
  <si>
    <t>(1) Target company EV based on LTM EV/EBITDA and EV/Revenue multiples relative to comparable peer set.</t>
  </si>
  <si>
    <t>Company</t>
  </si>
  <si>
    <t>EV/EBITDA (x)</t>
  </si>
  <si>
    <t>EV/Revenue (x)</t>
  </si>
  <si>
    <t>P/E (x)</t>
  </si>
  <si>
    <t>Implied Share Price — Valuation Range ($)</t>
  </si>
  <si>
    <t>Method</t>
  </si>
  <si>
    <t>Low ($)</t>
  </si>
  <si>
    <t>High ($)</t>
  </si>
  <si>
    <t>Current ($)</t>
  </si>
  <si>
    <t>Median ($)</t>
  </si>
  <si>
    <t>EV/EBITDA</t>
  </si>
  <si>
    <t>vé</t>
  </si>
  <si>
    <t>P/E</t>
  </si>
  <si>
    <t>SCENARIOS — Scenario Analysis</t>
  </si>
  <si>
    <t>SCENARIOS</t>
  </si>
  <si>
    <t>All figures in USD millions unless stated | 3 scenarios: Pessimistic / Realistic (Base) / Optimistic</t>
  </si>
  <si>
    <t>▶  SELECT SCENARIO</t>
  </si>
  <si>
    <t>SCENARIO ASSUMPTIONS</t>
  </si>
  <si>
    <t>DRIVER</t>
  </si>
  <si>
    <t>Revenue Growth Rate (Y1-Y5)</t>
  </si>
  <si>
    <t>SCENARIO RESULTS — DYNAMIC VIEW</t>
  </si>
  <si>
    <t>Free Cash Flow (Est.)</t>
  </si>
  <si>
    <t>Implied Share Price</t>
  </si>
  <si>
    <t>SCENARIO SUMMARY COMPARISON</t>
  </si>
  <si>
    <t>METRIC (Year 5)</t>
  </si>
  <si>
    <t>Revenue (Year 5)</t>
  </si>
  <si>
    <t>EBITDA (Year 5)</t>
  </si>
  <si>
    <t>Net Income (Year 5)</t>
  </si>
  <si>
    <t>FCF (Year 5)</t>
  </si>
  <si>
    <t>EBITDA Margin (Year 5)</t>
  </si>
  <si>
    <t>Delta (Opt. vs Pess.)</t>
  </si>
  <si>
    <t>CHART DATA: EBITDA by Scenario</t>
  </si>
  <si>
    <t>Chart Data: Revenue by Scenario</t>
  </si>
  <si>
    <t>Année</t>
  </si>
  <si>
    <t>Cumul Revenue</t>
  </si>
  <si>
    <t>Financial Performance</t>
  </si>
  <si>
    <t>Net Margin</t>
  </si>
  <si>
    <t>Revenue &amp; Profitability</t>
  </si>
  <si>
    <t>Profit Margins</t>
  </si>
  <si>
    <t>Cumulative revenue</t>
  </si>
  <si>
    <t>Expense Breakdown</t>
  </si>
  <si>
    <t>Performance Summary (Five-Year)</t>
  </si>
  <si>
    <t>Income Statement (LTM)</t>
  </si>
  <si>
    <t>5-Yr Avg</t>
  </si>
  <si>
    <t>Trend</t>
  </si>
  <si>
    <t>Actual</t>
  </si>
  <si>
    <t>Prev Year</t>
  </si>
  <si>
    <t>Variance</t>
  </si>
  <si>
    <t>Var %</t>
  </si>
  <si>
    <t>COGS</t>
  </si>
  <si>
    <t>Expenses</t>
  </si>
  <si>
    <t>Net Margin (%)</t>
  </si>
  <si>
    <t>P&amp;L Summary (LTM)</t>
  </si>
  <si>
    <t>Balance Sheet Summary (LTM)</t>
  </si>
  <si>
    <t>Assets</t>
  </si>
  <si>
    <t>Current Assets</t>
  </si>
  <si>
    <t>Non-current Assets</t>
  </si>
  <si>
    <t>SG&amp;A</t>
  </si>
  <si>
    <t>R&amp;D</t>
  </si>
  <si>
    <t>D&amp;A</t>
  </si>
  <si>
    <t>Liabilities</t>
  </si>
  <si>
    <t>Interest</t>
  </si>
  <si>
    <t>Current Liabilities</t>
  </si>
  <si>
    <t>Total Expenses</t>
  </si>
  <si>
    <t>Net Operating Profit</t>
  </si>
  <si>
    <t>Liabilities &amp; Shareholders' Equity</t>
  </si>
  <si>
    <t>Projected Business Performance</t>
  </si>
  <si>
    <t>Football Field Chart — Valuation Inputs</t>
  </si>
  <si>
    <t>All figures in USD Thousands unless stated</t>
  </si>
  <si>
    <t>Delta ($)</t>
  </si>
  <si>
    <t>Company Information</t>
  </si>
  <si>
    <t>52-Week Trading Range</t>
  </si>
  <si>
    <t>Consensus Research</t>
  </si>
  <si>
    <t>Precedent Transactions</t>
  </si>
  <si>
    <t>Sector</t>
  </si>
  <si>
    <t>Sum-of-the-Parts</t>
  </si>
  <si>
    <t>Discounted Cash Flow</t>
  </si>
  <si>
    <t>Financial Data — Multi-Year</t>
  </si>
  <si>
    <t>Stock Chart: Trailing 52-Weeks</t>
  </si>
  <si>
    <t>Valuation Summary: Football Field Chart</t>
  </si>
  <si>
    <t>Revenue Growth (%)</t>
  </si>
  <si>
    <t>EBITDA Growth (%)</t>
  </si>
  <si>
    <t>Revenue — Products</t>
  </si>
  <si>
    <t>Cost of Revenue (COGS)</t>
  </si>
  <si>
    <t>Total Revenue</t>
  </si>
  <si>
    <t>Cash from Ops (CFO)</t>
  </si>
  <si>
    <t>Total Revenue ($M)</t>
  </si>
  <si>
    <t>Other Financial Metrics ($ Millier)</t>
  </si>
  <si>
    <t>Low</t>
  </si>
  <si>
    <t>Delta</t>
  </si>
  <si>
    <t>High</t>
  </si>
  <si>
    <t>Precedent Trans.</t>
  </si>
  <si>
    <t>CFO</t>
  </si>
  <si>
    <t>CFO ($M)</t>
  </si>
  <si>
    <t>STOCK_DATA — Apple Inc. (AAPL) — Trailing 52 Weeks</t>
  </si>
  <si>
    <t>#</t>
  </si>
  <si>
    <t>Month</t>
  </si>
  <si>
    <t>Close Price ($)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</si>
  <si>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</si>
  <si>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</si>
  <si>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</si>
  <si>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</si>
  <si>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</si>
  <si>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</si>
  <si>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</si>
  <si>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</si>
  <si>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</si>
  <si>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</si>
  <si>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</si>
  <si>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</si>
  <si>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⚠️  Données simulées. Remplacer par données réelles (Bloomberg/FactSet) en colonne B (Mois) et C (Prix).</t>
  </si>
  <si>
    <t>Secteur</t>
  </si>
  <si>
    <t>Driver</t>
  </si>
  <si>
    <t>Pessimiste</t>
  </si>
  <si>
    <t>Realiste</t>
  </si>
  <si>
    <t>Optimiste</t>
  </si>
  <si>
    <t>Technologie / SaaS</t>
  </si>
  <si>
    <t>SG&amp;A (% Revenue)</t>
  </si>
  <si>
    <t>R&amp;D (% Revenue)</t>
  </si>
  <si>
    <t>CapEx (% Revenue)</t>
  </si>
  <si>
    <t>Change in NWC (% Rev Change)</t>
  </si>
  <si>
    <t>EV/EBITDA Exit Multiple</t>
  </si>
  <si>
    <t>Industrie / Manufacturing</t>
  </si>
  <si>
    <t>Consommation / Retail</t>
  </si>
  <si>
    <t>Luxe / Premium</t>
  </si>
  <si>
    <t>Energie / Utilities</t>
  </si>
  <si>
    <t>Sante / Pharma</t>
  </si>
  <si>
    <t>Utility</t>
  </si>
  <si>
    <t>Utilities / Regulated Electric</t>
  </si>
  <si>
    <t>UTILITY — REGULATED ASSET BASE (RAB) DATA</t>
  </si>
  <si>
    <t>RAB — Regulated Asset Base (Rate Base)</t>
  </si>
  <si>
    <t>RAB Growth (YoY)</t>
  </si>
  <si>
    <t>Allowed ROE (Regulatory)</t>
  </si>
  <si>
    <t>Earned ROE (Actual)</t>
  </si>
  <si>
    <t>Debt / RAB</t>
  </si>
  <si>
    <t>Capex / D&amp;A</t>
  </si>
  <si>
    <t>Regulated Revenue</t>
  </si>
  <si>
    <t>Non-Regulated (Merchant) Revenue</t>
  </si>
  <si>
    <t>Fuel / Purchased Power Costs</t>
  </si>
  <si>
    <t>Payout Ratio (DPS / EPS)</t>
  </si>
  <si>
    <t>Rate Case Filing / Next Review Date</t>
  </si>
  <si>
    <t>N/A</t>
  </si>
  <si>
    <t>Customer Count</t>
  </si>
  <si>
    <t>(000s)</t>
  </si>
  <si>
    <t>NOTE: Blue cells = input. RAB data from annual reports / regulatory filings. Allowed ROE set by PUC/CRE/Ofgem.</t>
  </si>
  <si>
    <t>FFO / Debt (Operating CF / Total Debt)</t>
  </si>
  <si>
    <t>Dividend Yield</t>
  </si>
  <si>
    <t>RAB SOTP VALUATION — Regulated Asset Base Sum-of-the-Parts</t>
  </si>
  <si>
    <t>RAB SOTP VALUATION</t>
  </si>
  <si>
    <t>All figures in USD millions unless stated | Utility / Regulated Sector</t>
  </si>
  <si>
    <t>UTILITY — ASSUMPTIONS &amp; DRIVERS</t>
  </si>
  <si>
    <t>UTILITY INCOME STATEMENT DRIVERS</t>
  </si>
  <si>
    <t>RAB Growth Rate (YoY)</t>
  </si>
  <si>
    <t>EBITDA Margin (% of Regulated Revenue)</t>
  </si>
  <si>
    <t>Allowed ROE</t>
  </si>
  <si>
    <t>BALANCE SHEET / CAPEX DRIVERS</t>
  </si>
  <si>
    <t>CapEx (% of RAB, growth capex)</t>
  </si>
  <si>
    <t>Debt / RAB Target</t>
  </si>
  <si>
    <t>RAB SOTP METHODOLOGY NOTE</t>
  </si>
  <si>
    <t>UTILITY valuation uses Sum-of-the-Parts (SOTP) on the Regulated Asset Base (RAB):</t>
  </si>
  <si>
    <t xml:space="preserve">  •  RAB Value = RAB × P/RAB multiple (0.9-1.2x, justified if Earned ROE &gt; WACC)</t>
  </si>
  <si>
    <t xml:space="preserve">  •  P/RAB fair value = (Earned ROE − g) / (WACC − g)  [analogous to justified P/B]</t>
  </si>
  <si>
    <t xml:space="preserve">  •  EV = SOTP of each regulatory jurisdiction: Σ (RABᵢ × multipleᵢ) + Non-Regulated EV (EV/EBITDA)</t>
  </si>
  <si>
    <t xml:space="preserve">  •  Equity Value = EV − Net Debt − Preferred Equity</t>
  </si>
  <si>
    <t xml:space="preserve">  •  Cross-check: P/E (15-20x), EV/EBITDA (8-12x), Dividend Yield (3-6%)</t>
  </si>
  <si>
    <t xml:space="preserve">  •  Scenario drivers: Allowed ROE ±50bps, Rate case timing ±1yr, Capex plan ±10%</t>
  </si>
  <si>
    <t>RAB SOTP — SIMPLIFIED VALUATION TABLE</t>
  </si>
  <si>
    <t>Regulatory Jurisdiction</t>
  </si>
  <si>
    <t>RAB ($M)</t>
  </si>
  <si>
    <t>Earned ROE</t>
  </si>
  <si>
    <t>P/RAB Multiple</t>
  </si>
  <si>
    <t>Implied Value ($M)</t>
  </si>
  <si>
    <t>Regulated Electric (PUC)</t>
  </si>
  <si>
    <t>Regulated Gas (PUC)</t>
  </si>
  <si>
    <t>Non-Regulated / Merchant (EV/EBITDA)</t>
  </si>
  <si>
    <t>Total Enterprise Value (SOTP)</t>
  </si>
  <si>
    <t>(-) Net Debt ($M)</t>
  </si>
  <si>
    <t>Shares Outstanding (M)</t>
  </si>
  <si>
    <t>Implied Share Price — RAB SOTP ($)</t>
  </si>
  <si>
    <t>P / RAB
(x)</t>
  </si>
  <si>
    <t>Div. Yield
(%)</t>
  </si>
  <si>
    <t>NextEra Energy, Inc.</t>
  </si>
  <si>
    <t>NEE</t>
  </si>
  <si>
    <t>Duke Energy Corporation</t>
  </si>
  <si>
    <t>DUK</t>
  </si>
  <si>
    <t>The Southern Company</t>
  </si>
  <si>
    <t>SO</t>
  </si>
  <si>
    <t>Dominion Energy, Inc.</t>
  </si>
  <si>
    <t>D</t>
  </si>
  <si>
    <t>American Electric Power</t>
  </si>
  <si>
    <t>AEP</t>
  </si>
  <si>
    <t>P / RAB — Implied Equity Value ($M)</t>
  </si>
  <si>
    <t>P / E — Implied Equity Value ($M)</t>
  </si>
  <si>
    <t>Implied Enterprise Value (Avg. EV/EBITDA + P/RAB bridge + P/E)</t>
  </si>
  <si>
    <t>P/RAB</t>
  </si>
  <si>
    <t>RAB Growth Rate (Y1-Y5)</t>
  </si>
  <si>
    <t>Allowed ROE (Regulatory Decision)</t>
  </si>
  <si>
    <t>EBITDA Margin (% of Revenue)</t>
  </si>
  <si>
    <t>▶  Secteur actif :</t>
  </si>
  <si>
    <t>FFO / Debt (S&amp;P IG threshold)</t>
  </si>
  <si>
    <t>CapEx (% of RAB)</t>
  </si>
  <si>
    <t>&gt;</t>
  </si>
  <si>
    <t>EV / RAB (Regulated Asset Base)</t>
  </si>
  <si>
    <t>P / RAB (Price / RAB per share)</t>
  </si>
  <si>
    <t>Regulated Revenue Mix (% of Total)</t>
  </si>
  <si>
    <t>Allowed ROE vs Earned ROE (Gap)</t>
  </si>
  <si>
    <t>UTILITY — OPERATIONAL &amp; REGULATORY RATIOS</t>
  </si>
  <si>
    <t>Benchmark: RAB Growth 4-8% | Allowed ROE 9-10.5% | Debt/RAB 50-65% | FFO/Debt 12-18% | Capex/D&amp;A &gt;1.5x</t>
  </si>
  <si>
    <t>CASH RUNWAY — Liquidity &amp; Survival Analysis</t>
  </si>
  <si>
    <t>CASH RUNWAY</t>
  </si>
  <si>
    <t>Key liquidity metrics for junior mining/exploration companies — replaces Altman Z-Score (not applicable to this sector)</t>
  </si>
  <si>
    <t>Cash &amp; Cash Equivalents ($000)</t>
  </si>
  <si>
    <t>Total Operating Cash Outflows ($000)</t>
  </si>
  <si>
    <t>Working Capital ($000)</t>
  </si>
  <si>
    <t>Total Current Liabilities ($000)</t>
  </si>
  <si>
    <t>Net Loss (EBIT) ($000)</t>
  </si>
  <si>
    <t>CASH RUNWAY METRICS</t>
  </si>
  <si>
    <t>Monthly Burn Rate ($000/month)</t>
  </si>
  <si>
    <t>Cash Runway (months)</t>
  </si>
  <si>
    <t>Cash / Current Liabilities</t>
  </si>
  <si>
    <t>Working Capital / Monthly Burn</t>
  </si>
  <si>
    <t>YoY Change in Burn Rate</t>
  </si>
  <si>
    <t>CASH RUNWAY SCORE (FINAL)</t>
  </si>
  <si>
    <t>SAFE ZONE (&gt; 18 months)</t>
  </si>
  <si>
    <t>18+ months of cash — well funded</t>
  </si>
  <si>
    <t>CAUTION ZONE (6–18 months)</t>
  </si>
  <si>
    <t>Monitor closely — financing likely needed</t>
  </si>
  <si>
    <t>CRITICAL ZONE (&lt; 6 months)</t>
  </si>
  <si>
    <t>Imminent liquidity risk — dilution or debt probable</t>
  </si>
  <si>
    <t>NOTE: Cash Runway = Cash &amp; Equivalents / Monthly Burn Rate (Annual CFO / 12). Replaces Altman Z-Score, which is not applicable to</t>
  </si>
  <si>
    <t>junior mining/exploration companies. Burn rate is based on operating cash outflows. Positive working capital assumed as baseline.</t>
  </si>
  <si>
    <t>OHLSON O-SCORE — Bankruptcy Probability</t>
  </si>
  <si>
    <t>OHLSON O-SCORE</t>
  </si>
  <si>
    <t>Ohlson (1980) logistic regression model — 9 financial ratios — more robust than Altman for non-manufacturing/loss-making firms</t>
  </si>
  <si>
    <t>Total Assets ($000)</t>
  </si>
  <si>
    <t>Total Liabilities ($000)</t>
  </si>
  <si>
    <t>Current Liabilities ($000)</t>
  </si>
  <si>
    <t>Current Assets ($000)</t>
  </si>
  <si>
    <t>Net Income ($000)</t>
  </si>
  <si>
    <t>Funds from Operations / FFO ($000)</t>
  </si>
  <si>
    <t>Revenue ($000)</t>
  </si>
  <si>
    <t>Prior Year Total Assets ($000)</t>
  </si>
  <si>
    <t>9 OHLSON COMPONENTS</t>
  </si>
  <si>
    <t>X1 = SIZE: log(Total Assets / GNP Price Index)</t>
  </si>
  <si>
    <t>X2 = TLTA: Total Liabilities / Total Assets</t>
  </si>
  <si>
    <t>X3 = WCTA: Working Capital / Total Assets</t>
  </si>
  <si>
    <t>X4 = CLCA: Current Liab. / Current Assets</t>
  </si>
  <si>
    <t>X5 = OENEG: 1 if Total Liab. &gt; Total Assets, else 0</t>
  </si>
  <si>
    <t>X6 = NITA: Net Income / Total Assets</t>
  </si>
  <si>
    <t>X7 = FUTL: FFO / Total Liabilities</t>
  </si>
  <si>
    <t>X8 = INTWO: 1 if Net Income &lt; 0 last 2 yrs, else 0</t>
  </si>
  <si>
    <t>X9 = CHIN: (NI_t - NI_t-1) / (|NI_t| + |NI_t-1|)</t>
  </si>
  <si>
    <t>O-SCORE WEIGHTED CALCULATION</t>
  </si>
  <si>
    <t>6.03 × X2 (TLTA)</t>
  </si>
  <si>
    <t>0.076 × X4 (CLCA)</t>
  </si>
  <si>
    <t>0.285 × X8 (INTWO)</t>
  </si>
  <si>
    <t>O-SCORE (FINAL)</t>
  </si>
  <si>
    <t>PROBABILITY OF BANKRUPTCY</t>
  </si>
  <si>
    <t>LOW RISK (P ≤ 20%)</t>
  </si>
  <si>
    <t>Probability of default is low</t>
  </si>
  <si>
    <t>MODERATE RISK (20–50%)</t>
  </si>
  <si>
    <t>Monitor financial position closely</t>
  </si>
  <si>
    <t>HIGH RISK (P &gt; 50%)</t>
  </si>
  <si>
    <t>Significant probability of financial distress</t>
  </si>
  <si>
    <t>NOTE: Ohlson O-Score (1980) uses logistic regression with 9 variables. More robust than Altman for loss-making firms.</t>
  </si>
  <si>
    <t>GNP deflator fixed at 226.4 (Ohlson 1980 base). Result = probability of bankruptcy within 1 year.</t>
  </si>
  <si>
    <t>Exploration / R&amp;D Expense (avg $000/yr)</t>
  </si>
  <si>
    <t>D&amp;A (avg $000/yr)</t>
  </si>
  <si>
    <t>Yellow = Base Case (WACC = 13.0%, g = 2.5%)</t>
  </si>
  <si>
    <t>-0.407 × X1 (SIZE)</t>
  </si>
  <si>
    <t>-1.43 × X3 (WCTA)</t>
  </si>
  <si>
    <t>-1.72 × X5 (OENEG)</t>
  </si>
  <si>
    <t>-2.37 × X6 (NITA)</t>
  </si>
  <si>
    <t>-1.83 × X7 (FUTL)</t>
  </si>
  <si>
    <t>-0.521 × X9 (CHIN)</t>
  </si>
  <si>
    <t xml:space="preserve">DIDSCOUTED CASH FLOW </t>
  </si>
  <si>
    <t>²</t>
  </si>
  <si>
    <t>Non-current Liabilities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</si>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</sst>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6" formatCode="#,##0\ &quot;€&quot;;[Red]\-#,##0\ &quot;€&quot;"/>
    <numFmt numFmtId="43" formatCode="_-* #,##0.00_-;\-* #,##0.00_-;_-* &quot;-&quot;??_-;_-@_-"/>
    <numFmt numFmtId="164" formatCode="_(#,##0_);\(#,##0\);_(&quot;–&quot;_);_(@_)"/>
    <numFmt numFmtId="165" formatCode="_(0_);\(0\);_(&quot;–&quot;_);_(@_)"/>
    <numFmt numFmtId="166" formatCode="_(0.000_);\(0.000\);_(&quot;–&quot;_);_(@_)"/>
    <numFmt numFmtId="167" formatCode="_(#,##0.0%_);\(#,##0.0%\);_(&quot;–&quot;_);_(@_)"/>
    <numFmt numFmtId="168" formatCode="_(#,##0.00_);\(#,##0.00\);_(&quot;–&quot;_);_(@_)"/>
    <numFmt numFmtId="169" formatCode="0.0%"/>
    <numFmt numFmtId="170" formatCode="_(* #,##0_);_(* \(#,##0\);_(* &quot;-&quot;??_);_(@_)"/>
    <numFmt numFmtId="171" formatCode="_(#,##0%_);\(#,##0%\);_(&quot;–&quot;_);_(@_)"/>
    <numFmt numFmtId="172" formatCode="&quot;€&quot;#,##0;\(&quot;€&quot;#,##0\);\-"/>
    <numFmt numFmtId="173" formatCode="0.0\x"/>
    <numFmt numFmtId="174" formatCode="&quot;€&quot;#,##0.00"/>
    <numFmt numFmtId="175" formatCode="0.0"/>
    <numFmt numFmtId="176" formatCode="&quot;€&quot;#,##0.00;\(&quot;€&quot;#,##0.00\);\-"/>
    <numFmt numFmtId="177" formatCode="_(#,##0.0_);\(#,##0.0\);_(&quot;–&quot;_);_(@_)"/>
    <numFmt numFmtId="179" formatCode="&quot;€&quot;#,##0"/>
    <numFmt numFmtId="180" formatCode="&quot;€&quot;#,##0_);\(&quot;€&quot;#,##0\)"/>
    <numFmt numFmtId="181" formatCode="0.00\x"/>
    <numFmt numFmtId="182" formatCode=";;;"/>
    <numFmt numFmtId="183" formatCode="_(&quot;$&quot;* #,##0.00_);_(&quot;$&quot;* \(#,##0.00\);_(&quot;$&quot;* &quot;-&quot;??_);_(@_)"/>
    <numFmt numFmtId="184" formatCode="#,##0.0"/>
    <numFmt numFmtId="185" formatCode="_(0.0_);\(0.0\);_(&quot;–&quot;_);_(@_)"/>
    <numFmt numFmtId="186" formatCode="_(0.00\x_);\(0.00\x\);_(&quot;–&quot;_);_(@_)"/>
    <numFmt numFmtId="187" formatCode="_(0.0&quot; mths&quot;_);\(0.0&quot; mths&quot;\);_(&quot;–&quot;_);_(@_)"/>
    <numFmt numFmtId="188" formatCode="0.0%;\(0.0%\);&quot;–&quot;"/>
  </numFmts>
  <fonts count="126" x14ac:knownFonts="1">
    <font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132E57"/>
      <name val="Open Sans"/>
      <family val="2"/>
    </font>
    <font>
      <sz val="9"/>
      <color rgb="FFFFFFFF"/>
      <name val="Open Sans"/>
      <family val="2"/>
    </font>
    <font>
      <sz val="10"/>
      <color theme="1"/>
      <name val="Open Sans"/>
      <family val="2"/>
    </font>
    <font>
      <b/>
      <sz val="10"/>
      <color rgb="FFFFFFFF"/>
      <name val="Open Sans"/>
      <family val="2"/>
    </font>
    <font>
      <b/>
      <sz val="10"/>
      <color rgb="FF3271D2"/>
      <name val="Open Sans"/>
      <family val="2"/>
    </font>
    <font>
      <sz val="10"/>
      <color rgb="FF3271D2"/>
      <name val="Open Sans"/>
      <family val="2"/>
    </font>
    <font>
      <b/>
      <sz val="10"/>
      <color theme="1"/>
      <name val="Open Sans"/>
      <family val="2"/>
    </font>
    <font>
      <i/>
      <sz val="10"/>
      <color rgb="FF595959"/>
      <name val="Open Sans"/>
      <family val="2"/>
    </font>
    <font>
      <sz val="10"/>
      <color rgb="FFFFFFFF"/>
      <name val="Open Sans"/>
      <family val="2"/>
    </font>
    <font>
      <b/>
      <sz val="10"/>
      <color rgb="FF000000"/>
      <name val="Open Sans"/>
      <family val="2"/>
    </font>
    <font>
      <sz val="9"/>
      <color rgb="FF000000"/>
      <name val="Open Sans"/>
      <family val="2"/>
    </font>
    <font>
      <i/>
      <sz val="10"/>
      <color rgb="FF3271D2"/>
      <name val="Open Sans"/>
      <family val="2"/>
    </font>
    <font>
      <sz val="10"/>
      <color rgb="FF276221"/>
      <name val="Open Sans"/>
      <family val="2"/>
    </font>
    <font>
      <sz val="10"/>
      <color rgb="FF9C0006"/>
      <name val="Open Sans"/>
      <family val="2"/>
    </font>
    <font>
      <b/>
      <sz val="14"/>
      <color rgb="FF3271D2"/>
      <name val="Open Sans"/>
      <family val="2"/>
    </font>
    <font>
      <sz val="8"/>
      <color rgb="FF595959"/>
      <name val="Open Sans"/>
      <family val="2"/>
    </font>
    <font>
      <b/>
      <sz val="8"/>
      <color rgb="FF595959"/>
      <name val="Open Sans"/>
      <family val="2"/>
    </font>
    <font>
      <i/>
      <sz val="9"/>
      <color rgb="FF000000"/>
      <name val="Open Sans"/>
      <family val="2"/>
    </font>
    <font>
      <b/>
      <sz val="14"/>
      <color rgb="FF3271D2"/>
      <name val="Aptos Narrow"/>
      <family val="2"/>
      <scheme val="minor"/>
    </font>
    <font>
      <sz val="10"/>
      <color rgb="FF132E57"/>
      <name val="Open Sans"/>
      <family val="2"/>
    </font>
    <font>
      <i/>
      <sz val="9"/>
      <color rgb="FF595959"/>
      <name val="Open Sans"/>
      <family val="2"/>
    </font>
    <font>
      <b/>
      <sz val="12"/>
      <color rgb="FF3271D2"/>
      <name val="Open Sans"/>
      <family val="2"/>
    </font>
    <font>
      <sz val="9"/>
      <color rgb="FF132E57"/>
      <name val="Open Sans"/>
      <family val="2"/>
    </font>
    <font>
      <b/>
      <sz val="8"/>
      <color rgb="FF132E57"/>
      <name val="Open Sans"/>
      <family val="2"/>
    </font>
    <font>
      <b/>
      <sz val="11"/>
      <color rgb="FF132E57"/>
      <name val="Aptos Narrow"/>
      <family val="2"/>
      <scheme val="minor"/>
    </font>
    <font>
      <b/>
      <sz val="10"/>
      <color rgb="FF132E57"/>
      <name val="Aptos Narrow"/>
      <family val="2"/>
      <scheme val="minor"/>
    </font>
    <font>
      <b/>
      <sz val="9"/>
      <color rgb="FF132E57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8"/>
      <color rgb="FF595959"/>
      <name val="Open Sans"/>
      <family val="2"/>
    </font>
    <font>
      <b/>
      <sz val="10"/>
      <color rgb="FFFFFFFF"/>
      <name val="Open Sans"/>
      <family val="2"/>
    </font>
    <font>
      <b/>
      <sz val="18"/>
      <color rgb="FFFFFFFF"/>
      <name val="Open Sans"/>
      <family val="2"/>
    </font>
    <font>
      <sz val="10"/>
      <color rgb="FF3271D2"/>
      <name val="Open Sans"/>
      <family val="2"/>
    </font>
    <font>
      <b/>
      <sz val="10"/>
      <color rgb="FFFFFFFF"/>
      <name val="Aptos Narrow"/>
      <family val="2"/>
      <scheme val="minor"/>
    </font>
    <font>
      <b/>
      <sz val="12"/>
      <color rgb="FF000000"/>
      <name val="Open Sans"/>
      <family val="2"/>
    </font>
    <font>
      <sz val="8"/>
      <color rgb="FF000000"/>
      <name val="Open Sans"/>
      <family val="2"/>
    </font>
    <font>
      <i/>
      <sz val="10"/>
      <color rgb="FF000000"/>
      <name val="Open Sans"/>
      <family val="2"/>
    </font>
    <font>
      <sz val="14"/>
      <color rgb="FF000000"/>
      <name val="Open Sans"/>
      <family val="2"/>
    </font>
    <font>
      <sz val="10"/>
      <color rgb="FFFFFFFF"/>
      <name val="Open Sans"/>
      <family val="2"/>
    </font>
    <font>
      <b/>
      <sz val="14"/>
      <color rgb="FF3271D2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sz val="10"/>
      <color rgb="FF000000"/>
      <name val="Aptos Narrow"/>
      <family val="2"/>
      <scheme val="minor"/>
    </font>
    <font>
      <sz val="11"/>
      <name val="Open Sans"/>
      <family val="2"/>
    </font>
    <font>
      <u/>
      <sz val="10"/>
      <color theme="10"/>
      <name val="Arial"/>
      <family val="2"/>
    </font>
    <font>
      <sz val="11"/>
      <color theme="1"/>
      <name val="Open Sans"/>
      <family val="2"/>
    </font>
    <font>
      <sz val="10"/>
      <name val="Arial"/>
      <family val="2"/>
    </font>
    <font>
      <sz val="14"/>
      <color theme="1"/>
      <name val="Open Sans"/>
      <family val="2"/>
    </font>
    <font>
      <b/>
      <sz val="10"/>
      <color theme="1"/>
      <name val="Open Sans"/>
      <family val="2"/>
    </font>
    <font>
      <i/>
      <sz val="9"/>
      <color theme="1"/>
      <name val="Aptos Narrow"/>
      <family val="2"/>
      <scheme val="minor"/>
    </font>
    <font>
      <i/>
      <sz val="9"/>
      <color theme="1"/>
      <name val="Open Sans"/>
      <family val="2"/>
    </font>
    <font>
      <sz val="11"/>
      <color rgb="FFFFFFFF"/>
      <name val="Open Sans"/>
      <family val="2"/>
    </font>
    <font>
      <b/>
      <sz val="10"/>
      <color rgb="FF000000"/>
      <name val="Aptos Narrow"/>
      <family val="2"/>
      <scheme val="minor"/>
    </font>
    <font>
      <sz val="10"/>
      <color rgb="FF3271D2"/>
      <name val="Aptos Narrow"/>
      <family val="2"/>
      <scheme val="minor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sz val="12"/>
      <color rgb="FF000000"/>
      <name val="Open Sans"/>
      <family val="2"/>
    </font>
    <font>
      <sz val="12"/>
      <color theme="0" tint="-0.499984740745262"/>
      <name val="Open Sans"/>
      <family val="2"/>
    </font>
    <font>
      <sz val="12"/>
      <color theme="1" tint="0.499984740745262"/>
      <name val="Open Sans"/>
      <family val="2"/>
    </font>
    <font>
      <i/>
      <sz val="9"/>
      <color rgb="FFA3A3A3"/>
      <name val="Aptos Narrow"/>
      <family val="2"/>
      <scheme val="minor"/>
    </font>
    <font>
      <sz val="11"/>
      <color rgb="FF141413"/>
      <name val="Segoe UI"/>
      <family val="2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theme="0"/>
      <name val="Open Sans"/>
      <family val="2"/>
    </font>
    <font>
      <sz val="12"/>
      <color theme="0"/>
      <name val="Open Sans"/>
      <family val="2"/>
    </font>
    <font>
      <b/>
      <sz val="11"/>
      <color theme="1"/>
      <name val="Open Sans"/>
      <family val="2"/>
    </font>
    <font>
      <i/>
      <sz val="10"/>
      <color rgb="FFFFFFFF"/>
      <name val="Open Sans"/>
      <family val="2"/>
    </font>
    <font>
      <i/>
      <sz val="10"/>
      <color theme="1"/>
      <name val="Open Sans"/>
      <family val="2"/>
    </font>
    <font>
      <b/>
      <i/>
      <sz val="14"/>
      <color rgb="FF3271D2"/>
      <name val="Open Sans"/>
      <family val="2"/>
    </font>
    <font>
      <b/>
      <sz val="10"/>
      <color rgb="FFCCCCCC"/>
      <name val="Open Sans"/>
      <family val="2"/>
    </font>
    <font>
      <sz val="10"/>
      <color rgb="FFAAAAAA"/>
      <name val="Open Sans"/>
      <family val="2"/>
    </font>
    <font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"/>
      <color rgb="FFFFFFFF"/>
      <name val="Aptos Narrow"/>
      <family val="2"/>
      <scheme val="minor"/>
    </font>
    <font>
      <b/>
      <sz val="14"/>
      <color rgb="FFFFFFFF"/>
      <name val="Open Sans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ptos Narrow"/>
      <family val="2"/>
      <scheme val="minor"/>
    </font>
    <font>
      <b/>
      <sz val="10"/>
      <color rgb="FF3271D2"/>
      <name val="Aptos Narrow"/>
      <family val="2"/>
      <scheme val="minor"/>
    </font>
    <font>
      <b/>
      <sz val="14"/>
      <color rgb="FFE7F2FF"/>
      <name val="Open Sans"/>
      <family val="2"/>
    </font>
    <font>
      <sz val="8"/>
      <color rgb="FFFFFFFF"/>
      <name val="Open Sans"/>
      <family val="2"/>
    </font>
    <font>
      <sz val="14"/>
      <color theme="0"/>
      <name val="Open Sans"/>
      <family val="2"/>
    </font>
    <font>
      <sz val="8"/>
      <color theme="0"/>
      <name val="Open Sans"/>
      <family val="2"/>
    </font>
    <font>
      <b/>
      <sz val="8"/>
      <color theme="0"/>
      <name val="Open Sans"/>
      <family val="2"/>
    </font>
    <font>
      <b/>
      <sz val="14"/>
      <color theme="0"/>
      <name val="Open Sans"/>
      <family val="2"/>
    </font>
    <font>
      <b/>
      <sz val="10"/>
      <color theme="0"/>
      <name val="Open Sans"/>
      <family val="2"/>
    </font>
    <font>
      <sz val="10"/>
      <color theme="0"/>
      <name val="Open Sans"/>
      <family val="2"/>
    </font>
    <font>
      <b/>
      <sz val="8"/>
      <color rgb="FFD9E5F7"/>
      <name val="Open Sans"/>
      <family val="2"/>
    </font>
    <font>
      <sz val="11"/>
      <color rgb="FF000000"/>
      <name val="Aptos Narrow"/>
      <family val="2"/>
      <scheme val="minor"/>
    </font>
    <font>
      <sz val="10"/>
      <name val="Open Sans"/>
      <family val="2"/>
    </font>
    <font>
      <b/>
      <sz val="11"/>
      <color rgb="FF000000"/>
      <name val="Aptos Narrow"/>
      <family val="2"/>
      <scheme val="minor"/>
    </font>
    <font>
      <b/>
      <sz val="10"/>
      <color rgb="FFD9E5F7"/>
      <name val="Open Sans"/>
      <family val="2"/>
    </font>
    <font>
      <sz val="11"/>
      <color rgb="FF1F2D3D"/>
      <name val="Open Sans"/>
      <family val="2"/>
    </font>
    <font>
      <b/>
      <sz val="10"/>
      <color rgb="FF1A1A2E"/>
      <name val="Open Sans"/>
      <family val="2"/>
    </font>
    <font>
      <sz val="10"/>
      <color rgb="FF1A1A2E"/>
      <name val="Open Sans"/>
      <family val="2"/>
    </font>
    <font>
      <sz val="11"/>
      <color rgb="FF1A1A2E"/>
      <name val="Open Sans"/>
      <family val="2"/>
    </font>
    <font>
      <b/>
      <sz val="11"/>
      <color rgb="FF1A1A2E"/>
      <name val="Open Sans"/>
      <family val="2"/>
    </font>
    <font>
      <sz val="10"/>
      <color rgb="FF555555"/>
      <name val="Open Sans"/>
      <family val="2"/>
    </font>
    <font>
      <sz val="10"/>
      <color rgb="FF1A1A2E"/>
      <name val="Aptos Narrow"/>
      <family val="2"/>
      <scheme val="minor"/>
    </font>
    <font>
      <sz val="10"/>
      <name val="Aptos Narrow"/>
      <family val="2"/>
      <scheme val="minor"/>
    </font>
    <font>
      <b/>
      <sz val="13"/>
      <color rgb="FF3271D2"/>
      <name val="Open Sans"/>
      <family val="2"/>
    </font>
    <font>
      <b/>
      <sz val="10"/>
      <color rgb="FF1A1A2E"/>
      <name val="Aptos Narrow"/>
      <family val="2"/>
      <scheme val="minor"/>
    </font>
    <font>
      <sz val="10"/>
      <color rgb="FFFFFFFF"/>
      <name val="Aptos Narrow"/>
      <family val="2"/>
      <scheme val="minor"/>
    </font>
    <font>
      <sz val="10"/>
      <color rgb="FF888888"/>
      <name val="Open Sans"/>
      <family val="2"/>
    </font>
    <font>
      <b/>
      <sz val="10"/>
      <color rgb="FFCC0000"/>
      <name val="Open Sans"/>
      <family val="2"/>
    </font>
    <font>
      <b/>
      <sz val="10"/>
      <color rgb="FF444444"/>
      <name val="Open Sans"/>
      <family val="2"/>
    </font>
    <font>
      <sz val="10"/>
      <color rgb="FF444444"/>
      <name val="Open Sans"/>
      <family val="2"/>
    </font>
    <font>
      <sz val="8"/>
      <color rgb="FF0000FF"/>
      <name val="Open Sans"/>
      <family val="2"/>
    </font>
    <font>
      <b/>
      <sz val="9"/>
      <color rgb="FF888888"/>
      <name val="Open Sans"/>
      <family val="2"/>
    </font>
    <font>
      <i/>
      <sz val="10"/>
      <color rgb="FF888888"/>
      <name val="Open Sans"/>
      <family val="2"/>
    </font>
    <font>
      <sz val="11"/>
      <color rgb="FF3271D2"/>
      <name val="Aptos Narrow"/>
      <family val="2"/>
      <scheme val="minor"/>
    </font>
    <font>
      <sz val="10"/>
      <color rgb="FF9C5700"/>
      <name val="Open Sans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Aptos Narrow"/>
      <family val="2"/>
      <scheme val="minor"/>
    </font>
    <font>
      <b/>
      <sz val="10"/>
      <name val="Open Sans"/>
      <family val="2"/>
    </font>
    <font>
      <sz val="8"/>
      <name val="Open Sans"/>
      <family val="2"/>
    </font>
    <font>
      <sz val="11"/>
      <color rgb="FF00B050"/>
      <name val="Open Sans"/>
      <family val="2"/>
    </font>
    <font>
      <sz val="11"/>
      <color rgb="FFC00000"/>
      <name val="Open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BF0FA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0" fillId="0" borderId="0"/>
    <xf numFmtId="43" fontId="31" fillId="0" borderId="0"/>
    <xf numFmtId="0" fontId="31" fillId="0" borderId="0"/>
    <xf numFmtId="0" fontId="51" fillId="0" borderId="0"/>
    <xf numFmtId="0" fontId="53" fillId="0" borderId="0"/>
    <xf numFmtId="183" fontId="31" fillId="0" borderId="0"/>
    <xf numFmtId="9" fontId="31" fillId="0" borderId="0"/>
    <xf numFmtId="0" fontId="31" fillId="0" borderId="0"/>
  </cellStyleXfs>
  <cellXfs count="540">
    <xf numFmtId="0" fontId="0" fillId="0" borderId="0" xfId="0"/>
    <xf numFmtId="0" fontId="4" fillId="3" borderId="0" xfId="0" applyFont="1" applyFill="1"/>
    <xf numFmtId="0" fontId="5" fillId="4" borderId="0" xfId="0" applyFont="1" applyFill="1"/>
    <xf numFmtId="0" fontId="6" fillId="0" borderId="0" xfId="0" applyFont="1"/>
    <xf numFmtId="0" fontId="12" fillId="4" borderId="0" xfId="0" applyFont="1" applyFill="1"/>
    <xf numFmtId="0" fontId="7" fillId="6" borderId="0" xfId="0" applyFont="1" applyFill="1"/>
    <xf numFmtId="0" fontId="12" fillId="6" borderId="0" xfId="0" applyFont="1" applyFill="1"/>
    <xf numFmtId="0" fontId="18" fillId="2" borderId="0" xfId="0" applyFont="1" applyFill="1"/>
    <xf numFmtId="0" fontId="19" fillId="0" borderId="0" xfId="0" applyFont="1" applyAlignment="1">
      <alignment horizont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8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6" fillId="0" borderId="0" xfId="0" applyFont="1" applyAlignment="1">
      <alignment horizontal="left" indent="1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0" fontId="18" fillId="2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right"/>
    </xf>
    <xf numFmtId="0" fontId="1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2" fillId="4" borderId="0" xfId="0" applyFont="1" applyFill="1" applyAlignment="1">
      <alignment horizontal="left"/>
    </xf>
    <xf numFmtId="0" fontId="12" fillId="4" borderId="0" xfId="0" applyFont="1" applyFill="1" applyAlignment="1">
      <alignment horizontal="right"/>
    </xf>
    <xf numFmtId="0" fontId="4" fillId="3" borderId="0" xfId="0" applyFont="1" applyFill="1" applyAlignment="1">
      <alignment horizontal="right" wrapText="1"/>
    </xf>
    <xf numFmtId="164" fontId="6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0" fontId="9" fillId="0" borderId="0" xfId="0" applyFont="1" applyAlignment="1">
      <alignment horizontal="left" indent="1"/>
    </xf>
    <xf numFmtId="0" fontId="15" fillId="0" borderId="0" xfId="0" applyFont="1" applyAlignment="1">
      <alignment horizontal="left"/>
    </xf>
    <xf numFmtId="49" fontId="19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22" fillId="2" borderId="0" xfId="0" applyFont="1" applyFill="1" applyAlignment="1">
      <alignment horizontal="right"/>
    </xf>
    <xf numFmtId="0" fontId="18" fillId="2" borderId="0" xfId="0" applyFont="1" applyFill="1" applyAlignment="1">
      <alignment horizontal="center"/>
    </xf>
    <xf numFmtId="3" fontId="18" fillId="2" borderId="0" xfId="0" applyNumberFormat="1" applyFont="1" applyFill="1" applyAlignment="1">
      <alignment horizontal="right"/>
    </xf>
    <xf numFmtId="0" fontId="18" fillId="2" borderId="0" xfId="0" applyFont="1" applyFill="1" applyAlignment="1">
      <alignment horizontal="right" wrapText="1"/>
    </xf>
    <xf numFmtId="0" fontId="2" fillId="0" borderId="0" xfId="0" applyFont="1" applyAlignment="1">
      <alignment horizontal="left"/>
    </xf>
    <xf numFmtId="0" fontId="23" fillId="3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24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49" fontId="20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0" fontId="10" fillId="0" borderId="0" xfId="0" applyFont="1" applyAlignment="1">
      <alignment horizontal="left" indent="1"/>
    </xf>
    <xf numFmtId="0" fontId="3" fillId="7" borderId="0" xfId="0" applyFont="1" applyFill="1" applyAlignment="1">
      <alignment horizontal="right"/>
    </xf>
    <xf numFmtId="0" fontId="6" fillId="7" borderId="0" xfId="0" applyFont="1" applyFill="1" applyAlignment="1">
      <alignment horizontal="right"/>
    </xf>
    <xf numFmtId="0" fontId="16" fillId="7" borderId="0" xfId="0" applyFont="1" applyFill="1" applyAlignment="1">
      <alignment horizontal="left"/>
    </xf>
    <xf numFmtId="0" fontId="17" fillId="7" borderId="0" xfId="0" applyFont="1" applyFill="1" applyAlignment="1">
      <alignment horizontal="left"/>
    </xf>
    <xf numFmtId="0" fontId="13" fillId="7" borderId="0" xfId="0" applyFont="1" applyFill="1" applyAlignment="1">
      <alignment horizontal="right"/>
    </xf>
    <xf numFmtId="167" fontId="6" fillId="7" borderId="0" xfId="0" applyNumberFormat="1" applyFont="1" applyFill="1" applyAlignment="1">
      <alignment horizontal="right"/>
    </xf>
    <xf numFmtId="0" fontId="10" fillId="7" borderId="0" xfId="0" applyFont="1" applyFill="1" applyAlignment="1">
      <alignment horizontal="right"/>
    </xf>
    <xf numFmtId="0" fontId="13" fillId="0" borderId="0" xfId="0" applyFont="1" applyAlignment="1">
      <alignment horizontal="left" indent="1"/>
    </xf>
    <xf numFmtId="164" fontId="13" fillId="7" borderId="0" xfId="0" applyNumberFormat="1" applyFont="1" applyFill="1" applyAlignment="1">
      <alignment horizontal="right"/>
    </xf>
    <xf numFmtId="0" fontId="25" fillId="2" borderId="0" xfId="0" applyFont="1" applyFill="1" applyAlignment="1">
      <alignment horizontal="left"/>
    </xf>
    <xf numFmtId="0" fontId="10" fillId="0" borderId="3" xfId="0" applyFont="1" applyBorder="1" applyAlignment="1">
      <alignment horizontal="right"/>
    </xf>
    <xf numFmtId="0" fontId="13" fillId="7" borderId="0" xfId="0" applyFont="1" applyFill="1" applyAlignment="1">
      <alignment horizontal="left" indent="1"/>
    </xf>
    <xf numFmtId="0" fontId="13" fillId="7" borderId="0" xfId="0" applyFont="1" applyFill="1"/>
    <xf numFmtId="0" fontId="13" fillId="7" borderId="0" xfId="0" applyFont="1" applyFill="1" applyAlignment="1">
      <alignment horizontal="left"/>
    </xf>
    <xf numFmtId="0" fontId="6" fillId="7" borderId="0" xfId="0" applyFont="1" applyFill="1"/>
    <xf numFmtId="0" fontId="3" fillId="7" borderId="0" xfId="0" applyFont="1" applyFill="1" applyAlignment="1">
      <alignment horizontal="left" indent="1"/>
    </xf>
    <xf numFmtId="6" fontId="3" fillId="7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 applyAlignment="1">
      <alignment horizontal="left"/>
    </xf>
    <xf numFmtId="0" fontId="10" fillId="7" borderId="0" xfId="0" applyFont="1" applyFill="1" applyAlignment="1">
      <alignment horizontal="left"/>
    </xf>
    <xf numFmtId="1" fontId="13" fillId="5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4" fillId="3" borderId="0" xfId="0" applyFont="1" applyFill="1" applyAlignment="1">
      <alignment horizontal="left" indent="1"/>
    </xf>
    <xf numFmtId="0" fontId="27" fillId="3" borderId="0" xfId="0" applyFont="1" applyFill="1" applyAlignment="1">
      <alignment horizontal="center"/>
    </xf>
    <xf numFmtId="0" fontId="28" fillId="3" borderId="0" xfId="0" applyFont="1" applyFill="1"/>
    <xf numFmtId="0" fontId="0" fillId="7" borderId="0" xfId="0" applyFill="1"/>
    <xf numFmtId="0" fontId="29" fillId="3" borderId="0" xfId="0" applyFont="1" applyFill="1" applyAlignment="1">
      <alignment horizontal="left"/>
    </xf>
    <xf numFmtId="0" fontId="28" fillId="3" borderId="0" xfId="0" applyFont="1" applyFill="1" applyAlignment="1">
      <alignment horizontal="right"/>
    </xf>
    <xf numFmtId="0" fontId="30" fillId="3" borderId="0" xfId="0" applyFont="1" applyFill="1" applyAlignment="1">
      <alignment horizontal="left"/>
    </xf>
    <xf numFmtId="0" fontId="30" fillId="3" borderId="0" xfId="0" applyFont="1" applyFill="1" applyAlignment="1">
      <alignment horizontal="right"/>
    </xf>
    <xf numFmtId="0" fontId="22" fillId="0" borderId="0" xfId="0" applyFont="1" applyAlignment="1">
      <alignment horizontal="right"/>
    </xf>
    <xf numFmtId="0" fontId="33" fillId="0" borderId="0" xfId="0" applyFont="1"/>
    <xf numFmtId="0" fontId="32" fillId="0" borderId="0" xfId="0" applyFont="1"/>
    <xf numFmtId="0" fontId="28" fillId="0" borderId="0" xfId="0" applyFont="1"/>
    <xf numFmtId="0" fontId="34" fillId="0" borderId="0" xfId="0" applyFont="1" applyAlignment="1">
      <alignment horizontal="left"/>
    </xf>
    <xf numFmtId="0" fontId="35" fillId="7" borderId="0" xfId="0" applyFont="1" applyFill="1" applyAlignment="1">
      <alignment horizontal="right"/>
    </xf>
    <xf numFmtId="0" fontId="34" fillId="7" borderId="0" xfId="0" applyFont="1" applyFill="1" applyAlignment="1">
      <alignment horizontal="left"/>
    </xf>
    <xf numFmtId="0" fontId="36" fillId="7" borderId="0" xfId="0" applyFont="1" applyFill="1" applyAlignment="1">
      <alignment horizontal="center"/>
    </xf>
    <xf numFmtId="0" fontId="37" fillId="6" borderId="0" xfId="0" applyFont="1" applyFill="1" applyAlignment="1">
      <alignment horizontal="right"/>
    </xf>
    <xf numFmtId="0" fontId="38" fillId="6" borderId="0" xfId="0" applyFont="1" applyFill="1" applyAlignment="1">
      <alignment horizontal="left"/>
    </xf>
    <xf numFmtId="0" fontId="40" fillId="6" borderId="0" xfId="0" applyFont="1" applyFill="1" applyAlignment="1">
      <alignment horizontal="left"/>
    </xf>
    <xf numFmtId="0" fontId="18" fillId="7" borderId="0" xfId="0" applyFon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18" fillId="0" borderId="0" xfId="0" applyFont="1" applyAlignment="1">
      <alignment horizontal="right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3" fontId="18" fillId="0" borderId="0" xfId="0" applyNumberFormat="1" applyFont="1" applyAlignment="1">
      <alignment horizontal="right"/>
    </xf>
    <xf numFmtId="0" fontId="18" fillId="7" borderId="0" xfId="0" applyFont="1" applyFill="1"/>
    <xf numFmtId="0" fontId="44" fillId="7" borderId="0" xfId="0" applyFont="1" applyFill="1"/>
    <xf numFmtId="0" fontId="44" fillId="7" borderId="0" xfId="0" applyFont="1" applyFill="1" applyAlignment="1">
      <alignment horizontal="left"/>
    </xf>
    <xf numFmtId="0" fontId="44" fillId="7" borderId="0" xfId="0" applyFont="1" applyFill="1" applyAlignment="1">
      <alignment horizontal="right"/>
    </xf>
    <xf numFmtId="0" fontId="10" fillId="7" borderId="0" xfId="0" applyFont="1" applyFill="1" applyAlignment="1">
      <alignment horizontal="left" indent="1"/>
    </xf>
    <xf numFmtId="164" fontId="8" fillId="7" borderId="0" xfId="0" applyNumberFormat="1" applyFont="1" applyFill="1" applyAlignment="1">
      <alignment horizontal="right"/>
    </xf>
    <xf numFmtId="0" fontId="34" fillId="7" borderId="0" xfId="0" applyFont="1" applyFill="1"/>
    <xf numFmtId="0" fontId="34" fillId="7" borderId="0" xfId="0" applyFont="1" applyFill="1" applyAlignment="1">
      <alignment horizontal="left" indent="1"/>
    </xf>
    <xf numFmtId="164" fontId="34" fillId="7" borderId="0" xfId="0" applyNumberFormat="1" applyFont="1" applyFill="1" applyAlignment="1">
      <alignment horizontal="right"/>
    </xf>
    <xf numFmtId="0" fontId="34" fillId="7" borderId="0" xfId="0" applyFont="1" applyFill="1" applyAlignment="1">
      <alignment horizontal="right"/>
    </xf>
    <xf numFmtId="0" fontId="8" fillId="7" borderId="0" xfId="0" applyFont="1" applyFill="1" applyAlignment="1">
      <alignment horizontal="left"/>
    </xf>
    <xf numFmtId="0" fontId="18" fillId="7" borderId="0" xfId="0" applyFont="1" applyFill="1" applyAlignment="1">
      <alignment horizontal="center"/>
    </xf>
    <xf numFmtId="0" fontId="45" fillId="6" borderId="0" xfId="0" applyFont="1" applyFill="1" applyAlignment="1">
      <alignment horizontal="right"/>
    </xf>
    <xf numFmtId="0" fontId="46" fillId="2" borderId="0" xfId="0" applyFont="1" applyFill="1"/>
    <xf numFmtId="0" fontId="46" fillId="2" borderId="0" xfId="0" applyFont="1" applyFill="1" applyAlignment="1">
      <alignment horizontal="left"/>
    </xf>
    <xf numFmtId="169" fontId="34" fillId="7" borderId="0" xfId="0" applyNumberFormat="1" applyFont="1" applyFill="1" applyAlignment="1">
      <alignment horizontal="right"/>
    </xf>
    <xf numFmtId="3" fontId="34" fillId="7" borderId="0" xfId="0" applyNumberFormat="1" applyFont="1" applyFill="1" applyAlignment="1">
      <alignment horizontal="right"/>
    </xf>
    <xf numFmtId="3" fontId="3" fillId="7" borderId="0" xfId="0" applyNumberFormat="1" applyFont="1" applyFill="1" applyAlignment="1">
      <alignment horizontal="right"/>
    </xf>
    <xf numFmtId="0" fontId="0" fillId="2" borderId="0" xfId="0" applyFill="1"/>
    <xf numFmtId="0" fontId="50" fillId="0" borderId="0" xfId="2" applyFont="1"/>
    <xf numFmtId="0" fontId="52" fillId="0" borderId="0" xfId="2" applyFont="1"/>
    <xf numFmtId="0" fontId="47" fillId="0" borderId="0" xfId="2" applyFont="1"/>
    <xf numFmtId="37" fontId="54" fillId="0" borderId="0" xfId="2" applyNumberFormat="1" applyFont="1" applyAlignment="1">
      <alignment vertical="center"/>
    </xf>
    <xf numFmtId="0" fontId="35" fillId="7" borderId="6" xfId="0" applyFont="1" applyFill="1" applyBorder="1" applyAlignment="1">
      <alignment horizontal="left"/>
    </xf>
    <xf numFmtId="0" fontId="45" fillId="6" borderId="0" xfId="0" applyFont="1" applyFill="1"/>
    <xf numFmtId="0" fontId="56" fillId="0" borderId="0" xfId="0" applyFont="1"/>
    <xf numFmtId="0" fontId="57" fillId="0" borderId="0" xfId="0" applyFont="1"/>
    <xf numFmtId="0" fontId="55" fillId="0" borderId="0" xfId="0" applyFont="1"/>
    <xf numFmtId="0" fontId="55" fillId="0" borderId="0" xfId="0" applyFont="1" applyAlignment="1">
      <alignment horizontal="left"/>
    </xf>
    <xf numFmtId="0" fontId="55" fillId="7" borderId="0" xfId="0" applyFont="1" applyFill="1" applyAlignment="1">
      <alignment horizontal="left"/>
    </xf>
    <xf numFmtId="0" fontId="52" fillId="7" borderId="6" xfId="0" applyFont="1" applyFill="1" applyBorder="1"/>
    <xf numFmtId="0" fontId="47" fillId="7" borderId="0" xfId="0" applyFont="1" applyFill="1" applyAlignment="1">
      <alignment horizontal="left"/>
    </xf>
    <xf numFmtId="0" fontId="52" fillId="7" borderId="0" xfId="0" applyFont="1" applyFill="1"/>
    <xf numFmtId="0" fontId="47" fillId="0" borderId="0" xfId="0" applyFont="1"/>
    <xf numFmtId="0" fontId="47" fillId="2" borderId="0" xfId="0" applyFont="1" applyFill="1"/>
    <xf numFmtId="0" fontId="58" fillId="6" borderId="0" xfId="0" applyFont="1" applyFill="1"/>
    <xf numFmtId="0" fontId="57" fillId="7" borderId="0" xfId="0" applyFont="1" applyFill="1"/>
    <xf numFmtId="0" fontId="47" fillId="7" borderId="0" xfId="0" applyFont="1" applyFill="1" applyAlignment="1">
      <alignment horizontal="center"/>
    </xf>
    <xf numFmtId="0" fontId="55" fillId="0" borderId="0" xfId="0" applyFont="1" applyAlignment="1">
      <alignment horizontal="center"/>
    </xf>
    <xf numFmtId="170" fontId="61" fillId="0" borderId="0" xfId="1" applyNumberFormat="1" applyFont="1"/>
    <xf numFmtId="0" fontId="2" fillId="0" borderId="0" xfId="0" applyFont="1"/>
    <xf numFmtId="0" fontId="47" fillId="0" borderId="0" xfId="0" applyFont="1" applyAlignment="1">
      <alignment horizontal="left"/>
    </xf>
    <xf numFmtId="0" fontId="66" fillId="7" borderId="0" xfId="0" applyFont="1" applyFill="1"/>
    <xf numFmtId="0" fontId="49" fillId="0" borderId="0" xfId="0" applyFont="1" applyAlignment="1">
      <alignment horizontal="left"/>
    </xf>
    <xf numFmtId="0" fontId="67" fillId="0" borderId="0" xfId="0" applyFont="1"/>
    <xf numFmtId="0" fontId="47" fillId="7" borderId="8" xfId="0" applyFont="1" applyFill="1" applyBorder="1" applyAlignment="1">
      <alignment horizontal="right"/>
    </xf>
    <xf numFmtId="0" fontId="52" fillId="7" borderId="8" xfId="0" applyFont="1" applyFill="1" applyBorder="1"/>
    <xf numFmtId="0" fontId="47" fillId="7" borderId="9" xfId="0" applyFont="1" applyFill="1" applyBorder="1" applyAlignment="1">
      <alignment horizontal="center"/>
    </xf>
    <xf numFmtId="0" fontId="33" fillId="6" borderId="0" xfId="0" applyFont="1" applyFill="1"/>
    <xf numFmtId="0" fontId="32" fillId="3" borderId="0" xfId="0" applyFont="1" applyFill="1"/>
    <xf numFmtId="0" fontId="69" fillId="0" borderId="0" xfId="0" applyFont="1"/>
    <xf numFmtId="0" fontId="61" fillId="0" borderId="0" xfId="0" applyFont="1"/>
    <xf numFmtId="0" fontId="35" fillId="0" borderId="0" xfId="0" applyFont="1" applyAlignment="1">
      <alignment vertical="center"/>
    </xf>
    <xf numFmtId="0" fontId="63" fillId="0" borderId="0" xfId="0" applyFont="1"/>
    <xf numFmtId="0" fontId="35" fillId="0" borderId="0" xfId="0" applyFont="1"/>
    <xf numFmtId="0" fontId="62" fillId="0" borderId="0" xfId="0" applyFont="1" applyAlignment="1">
      <alignment horizontal="right"/>
    </xf>
    <xf numFmtId="37" fontId="61" fillId="0" borderId="0" xfId="0" applyNumberFormat="1" applyFont="1" applyAlignment="1">
      <alignment vertical="top"/>
    </xf>
    <xf numFmtId="0" fontId="64" fillId="0" borderId="0" xfId="0" applyFont="1" applyAlignment="1">
      <alignment horizontal="right"/>
    </xf>
    <xf numFmtId="170" fontId="65" fillId="0" borderId="0" xfId="0" applyNumberFormat="1" applyFont="1"/>
    <xf numFmtId="171" fontId="50" fillId="0" borderId="0" xfId="2" applyNumberFormat="1" applyFont="1" applyAlignment="1">
      <alignment horizontal="right"/>
    </xf>
    <xf numFmtId="0" fontId="34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70" fillId="0" borderId="0" xfId="2" applyFont="1"/>
    <xf numFmtId="0" fontId="71" fillId="0" borderId="0" xfId="0" applyFont="1"/>
    <xf numFmtId="170" fontId="71" fillId="0" borderId="0" xfId="0" applyNumberFormat="1" applyFont="1"/>
    <xf numFmtId="43" fontId="0" fillId="0" borderId="0" xfId="1" applyFont="1"/>
    <xf numFmtId="0" fontId="58" fillId="0" borderId="0" xfId="0" applyFont="1"/>
    <xf numFmtId="0" fontId="34" fillId="7" borderId="6" xfId="0" applyFont="1" applyFill="1" applyBorder="1" applyAlignment="1">
      <alignment horizontal="centerContinuous"/>
    </xf>
    <xf numFmtId="0" fontId="52" fillId="7" borderId="6" xfId="0" applyFont="1" applyFill="1" applyBorder="1" applyAlignment="1">
      <alignment horizontal="centerContinuous"/>
    </xf>
    <xf numFmtId="0" fontId="35" fillId="7" borderId="6" xfId="0" applyFont="1" applyFill="1" applyBorder="1" applyAlignment="1">
      <alignment horizontal="centerContinuous"/>
    </xf>
    <xf numFmtId="0" fontId="72" fillId="7" borderId="6" xfId="0" applyFont="1" applyFill="1" applyBorder="1" applyAlignment="1">
      <alignment horizontal="centerContinuous"/>
    </xf>
    <xf numFmtId="43" fontId="52" fillId="7" borderId="0" xfId="1" applyFont="1" applyFill="1"/>
    <xf numFmtId="10" fontId="52" fillId="7" borderId="0" xfId="0" applyNumberFormat="1" applyFont="1" applyFill="1"/>
    <xf numFmtId="0" fontId="0" fillId="7" borderId="6" xfId="0" applyFill="1" applyBorder="1" applyAlignment="1">
      <alignment horizontal="centerContinuous"/>
    </xf>
    <xf numFmtId="0" fontId="73" fillId="0" borderId="0" xfId="0" applyFont="1"/>
    <xf numFmtId="0" fontId="74" fillId="0" borderId="0" xfId="0" applyFont="1"/>
    <xf numFmtId="0" fontId="75" fillId="0" borderId="0" xfId="0" applyFont="1"/>
    <xf numFmtId="0" fontId="68" fillId="0" borderId="0" xfId="0" applyFont="1"/>
    <xf numFmtId="169" fontId="9" fillId="0" borderId="0" xfId="0" applyNumberFormat="1" applyFont="1" applyAlignment="1">
      <alignment horizontal="right"/>
    </xf>
    <xf numFmtId="0" fontId="70" fillId="7" borderId="0" xfId="0" applyFont="1" applyFill="1"/>
    <xf numFmtId="0" fontId="78" fillId="0" borderId="0" xfId="0" applyFont="1"/>
    <xf numFmtId="0" fontId="19" fillId="7" borderId="0" xfId="0" applyFont="1" applyFill="1" applyAlignment="1">
      <alignment horizontal="center"/>
    </xf>
    <xf numFmtId="6" fontId="4" fillId="3" borderId="0" xfId="0" applyNumberFormat="1" applyFont="1" applyFill="1" applyAlignment="1">
      <alignment horizontal="left"/>
    </xf>
    <xf numFmtId="0" fontId="20" fillId="7" borderId="0" xfId="0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1" fontId="4" fillId="3" borderId="0" xfId="0" applyNumberFormat="1" applyFont="1" applyFill="1" applyAlignment="1">
      <alignment horizontal="center"/>
    </xf>
    <xf numFmtId="6" fontId="3" fillId="3" borderId="0" xfId="0" applyNumberFormat="1" applyFont="1" applyFill="1"/>
    <xf numFmtId="0" fontId="13" fillId="0" borderId="0" xfId="0" applyFont="1" applyAlignment="1">
      <alignment horizontal="left"/>
    </xf>
    <xf numFmtId="0" fontId="4" fillId="0" borderId="0" xfId="0" applyFont="1"/>
    <xf numFmtId="172" fontId="6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169" fontId="6" fillId="7" borderId="0" xfId="0" applyNumberFormat="1" applyFont="1" applyFill="1" applyAlignment="1">
      <alignment horizontal="right"/>
    </xf>
    <xf numFmtId="169" fontId="32" fillId="0" borderId="0" xfId="0" applyNumberFormat="1" applyFont="1"/>
    <xf numFmtId="169" fontId="0" fillId="0" borderId="0" xfId="0" applyNumberFormat="1"/>
    <xf numFmtId="0" fontId="3" fillId="0" borderId="0" xfId="0" applyFont="1"/>
    <xf numFmtId="0" fontId="1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3" fontId="9" fillId="9" borderId="0" xfId="0" applyNumberFormat="1" applyFont="1" applyFill="1" applyAlignment="1">
      <alignment horizontal="right"/>
    </xf>
    <xf numFmtId="3" fontId="39" fillId="9" borderId="1" xfId="0" applyNumberFormat="1" applyFont="1" applyFill="1" applyBorder="1" applyAlignment="1">
      <alignment horizontal="right"/>
    </xf>
    <xf numFmtId="3" fontId="9" fillId="9" borderId="1" xfId="0" applyNumberFormat="1" applyFont="1" applyFill="1" applyBorder="1" applyAlignment="1">
      <alignment horizontal="right"/>
    </xf>
    <xf numFmtId="3" fontId="34" fillId="9" borderId="0" xfId="0" applyNumberFormat="1" applyFont="1" applyFill="1" applyAlignment="1">
      <alignment horizontal="right"/>
    </xf>
    <xf numFmtId="3" fontId="39" fillId="9" borderId="0" xfId="0" applyNumberFormat="1" applyFont="1" applyFill="1" applyAlignment="1">
      <alignment horizontal="right"/>
    </xf>
    <xf numFmtId="3" fontId="48" fillId="9" borderId="0" xfId="0" applyNumberFormat="1" applyFont="1" applyFill="1" applyAlignment="1">
      <alignment horizontal="right"/>
    </xf>
    <xf numFmtId="14" fontId="9" fillId="9" borderId="0" xfId="0" applyNumberFormat="1" applyFont="1" applyFill="1" applyAlignment="1">
      <alignment horizontal="right"/>
    </xf>
    <xf numFmtId="3" fontId="6" fillId="9" borderId="0" xfId="0" applyNumberFormat="1" applyFont="1" applyFill="1" applyAlignment="1">
      <alignment horizontal="right"/>
    </xf>
    <xf numFmtId="3" fontId="35" fillId="9" borderId="0" xfId="0" applyNumberFormat="1" applyFont="1" applyFill="1" applyAlignment="1">
      <alignment horizontal="right"/>
    </xf>
    <xf numFmtId="3" fontId="35" fillId="9" borderId="3" xfId="0" applyNumberFormat="1" applyFont="1" applyFill="1" applyBorder="1" applyAlignment="1">
      <alignment horizontal="right"/>
    </xf>
    <xf numFmtId="3" fontId="34" fillId="9" borderId="1" xfId="0" applyNumberFormat="1" applyFont="1" applyFill="1" applyBorder="1" applyAlignment="1">
      <alignment horizontal="right"/>
    </xf>
    <xf numFmtId="173" fontId="3" fillId="9" borderId="0" xfId="0" applyNumberFormat="1" applyFont="1" applyFill="1" applyAlignment="1">
      <alignment horizontal="right"/>
    </xf>
    <xf numFmtId="174" fontId="3" fillId="9" borderId="1" xfId="0" applyNumberFormat="1" applyFont="1" applyFill="1" applyBorder="1" applyAlignment="1">
      <alignment horizontal="right"/>
    </xf>
    <xf numFmtId="169" fontId="3" fillId="9" borderId="0" xfId="0" applyNumberFormat="1" applyFont="1" applyFill="1" applyAlignment="1">
      <alignment horizontal="right"/>
    </xf>
    <xf numFmtId="169" fontId="3" fillId="9" borderId="1" xfId="0" applyNumberFormat="1" applyFont="1" applyFill="1" applyBorder="1" applyAlignment="1">
      <alignment horizontal="right"/>
    </xf>
    <xf numFmtId="173" fontId="3" fillId="9" borderId="1" xfId="0" applyNumberFormat="1" applyFont="1" applyFill="1" applyBorder="1" applyAlignment="1">
      <alignment horizontal="right"/>
    </xf>
    <xf numFmtId="172" fontId="13" fillId="9" borderId="0" xfId="0" applyNumberFormat="1" applyFont="1" applyFill="1" applyAlignment="1">
      <alignment horizontal="right"/>
    </xf>
    <xf numFmtId="0" fontId="2" fillId="9" borderId="0" xfId="0" applyFont="1" applyFill="1" applyAlignment="1">
      <alignment horizontal="right"/>
    </xf>
    <xf numFmtId="10" fontId="0" fillId="9" borderId="0" xfId="0" applyNumberFormat="1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right"/>
    </xf>
    <xf numFmtId="43" fontId="0" fillId="9" borderId="0" xfId="1" applyFont="1" applyFill="1" applyAlignment="1">
      <alignment horizontal="right"/>
    </xf>
    <xf numFmtId="164" fontId="3" fillId="9" borderId="0" xfId="0" applyNumberFormat="1" applyFont="1" applyFill="1" applyAlignment="1">
      <alignment horizontal="right"/>
    </xf>
    <xf numFmtId="166" fontId="3" fillId="9" borderId="0" xfId="0" applyNumberFormat="1" applyFont="1" applyFill="1" applyAlignment="1">
      <alignment horizontal="right"/>
    </xf>
    <xf numFmtId="172" fontId="9" fillId="9" borderId="0" xfId="0" applyNumberFormat="1" applyFont="1" applyFill="1" applyAlignment="1">
      <alignment horizontal="right"/>
    </xf>
    <xf numFmtId="172" fontId="3" fillId="9" borderId="0" xfId="0" applyNumberFormat="1" applyFont="1" applyFill="1" applyAlignment="1">
      <alignment horizontal="right"/>
    </xf>
    <xf numFmtId="172" fontId="6" fillId="9" borderId="0" xfId="0" applyNumberFormat="1" applyFont="1" applyFill="1" applyAlignment="1">
      <alignment horizontal="right"/>
    </xf>
    <xf numFmtId="172" fontId="9" fillId="9" borderId="1" xfId="0" applyNumberFormat="1" applyFont="1" applyFill="1" applyBorder="1" applyAlignment="1">
      <alignment horizontal="right"/>
    </xf>
    <xf numFmtId="172" fontId="3" fillId="9" borderId="1" xfId="0" applyNumberFormat="1" applyFont="1" applyFill="1" applyBorder="1" applyAlignment="1">
      <alignment horizontal="right"/>
    </xf>
    <xf numFmtId="172" fontId="6" fillId="9" borderId="1" xfId="0" applyNumberFormat="1" applyFont="1" applyFill="1" applyBorder="1" applyAlignment="1">
      <alignment horizontal="right"/>
    </xf>
    <xf numFmtId="172" fontId="8" fillId="9" borderId="0" xfId="0" applyNumberFormat="1" applyFont="1" applyFill="1" applyAlignment="1">
      <alignment horizontal="right"/>
    </xf>
    <xf numFmtId="172" fontId="10" fillId="9" borderId="0" xfId="0" applyNumberFormat="1" applyFont="1" applyFill="1" applyAlignment="1">
      <alignment horizontal="right"/>
    </xf>
    <xf numFmtId="172" fontId="8" fillId="9" borderId="3" xfId="0" applyNumberFormat="1" applyFont="1" applyFill="1" applyBorder="1" applyAlignment="1">
      <alignment horizontal="right"/>
    </xf>
    <xf numFmtId="172" fontId="13" fillId="9" borderId="3" xfId="0" applyNumberFormat="1" applyFont="1" applyFill="1" applyBorder="1" applyAlignment="1">
      <alignment horizontal="right"/>
    </xf>
    <xf numFmtId="172" fontId="10" fillId="9" borderId="3" xfId="0" applyNumberFormat="1" applyFont="1" applyFill="1" applyBorder="1" applyAlignment="1">
      <alignment horizontal="right"/>
    </xf>
    <xf numFmtId="169" fontId="48" fillId="9" borderId="0" xfId="0" applyNumberFormat="1" applyFont="1" applyFill="1" applyAlignment="1">
      <alignment horizontal="right"/>
    </xf>
    <xf numFmtId="169" fontId="6" fillId="9" borderId="0" xfId="0" applyNumberFormat="1" applyFont="1" applyFill="1" applyAlignment="1">
      <alignment horizontal="right"/>
    </xf>
    <xf numFmtId="176" fontId="6" fillId="9" borderId="0" xfId="0" applyNumberFormat="1" applyFont="1" applyFill="1" applyAlignment="1">
      <alignment horizontal="right"/>
    </xf>
    <xf numFmtId="176" fontId="13" fillId="9" borderId="0" xfId="0" applyNumberFormat="1" applyFont="1" applyFill="1" applyAlignment="1">
      <alignment horizontal="right"/>
    </xf>
    <xf numFmtId="167" fontId="6" fillId="9" borderId="0" xfId="0" applyNumberFormat="1" applyFont="1" applyFill="1" applyAlignment="1">
      <alignment horizontal="right"/>
    </xf>
    <xf numFmtId="176" fontId="10" fillId="9" borderId="0" xfId="0" applyNumberFormat="1" applyFont="1" applyFill="1" applyAlignment="1">
      <alignment horizontal="right"/>
    </xf>
    <xf numFmtId="168" fontId="10" fillId="9" borderId="0" xfId="0" applyNumberFormat="1" applyFont="1" applyFill="1" applyAlignment="1">
      <alignment horizontal="right"/>
    </xf>
    <xf numFmtId="164" fontId="0" fillId="9" borderId="0" xfId="0" applyNumberFormat="1" applyFill="1" applyAlignment="1">
      <alignment horizontal="right"/>
    </xf>
    <xf numFmtId="164" fontId="0" fillId="9" borderId="0" xfId="0" applyNumberFormat="1" applyFill="1"/>
    <xf numFmtId="168" fontId="6" fillId="9" borderId="0" xfId="0" applyNumberFormat="1" applyFont="1" applyFill="1" applyAlignment="1">
      <alignment horizontal="right"/>
    </xf>
    <xf numFmtId="177" fontId="3" fillId="9" borderId="0" xfId="0" applyNumberFormat="1" applyFont="1" applyFill="1" applyAlignment="1">
      <alignment horizontal="right"/>
    </xf>
    <xf numFmtId="168" fontId="3" fillId="9" borderId="0" xfId="0" applyNumberFormat="1" applyFont="1" applyFill="1" applyAlignment="1">
      <alignment horizontal="right"/>
    </xf>
    <xf numFmtId="177" fontId="3" fillId="9" borderId="1" xfId="0" applyNumberFormat="1" applyFont="1" applyFill="1" applyBorder="1" applyAlignment="1">
      <alignment horizontal="right"/>
    </xf>
    <xf numFmtId="177" fontId="6" fillId="9" borderId="0" xfId="0" applyNumberFormat="1" applyFont="1" applyFill="1" applyAlignment="1">
      <alignment horizontal="right"/>
    </xf>
    <xf numFmtId="177" fontId="10" fillId="9" borderId="3" xfId="0" applyNumberFormat="1" applyFont="1" applyFill="1" applyBorder="1" applyAlignment="1">
      <alignment horizontal="right"/>
    </xf>
    <xf numFmtId="169" fontId="13" fillId="9" borderId="4" xfId="0" applyNumberFormat="1" applyFont="1" applyFill="1" applyBorder="1" applyAlignment="1">
      <alignment horizontal="right"/>
    </xf>
    <xf numFmtId="169" fontId="35" fillId="9" borderId="4" xfId="0" applyNumberFormat="1" applyFont="1" applyFill="1" applyBorder="1" applyAlignment="1">
      <alignment horizontal="right"/>
    </xf>
    <xf numFmtId="10" fontId="34" fillId="9" borderId="0" xfId="0" applyNumberFormat="1" applyFont="1" applyFill="1"/>
    <xf numFmtId="43" fontId="49" fillId="9" borderId="2" xfId="1" applyFont="1" applyFill="1" applyBorder="1"/>
    <xf numFmtId="43" fontId="60" fillId="9" borderId="0" xfId="1" applyFont="1" applyFill="1"/>
    <xf numFmtId="43" fontId="49" fillId="9" borderId="0" xfId="1" applyFont="1" applyFill="1"/>
    <xf numFmtId="10" fontId="2" fillId="9" borderId="0" xfId="0" applyNumberFormat="1" applyFont="1" applyFill="1" applyAlignment="1">
      <alignment horizontal="right"/>
    </xf>
    <xf numFmtId="43" fontId="60" fillId="9" borderId="0" xfId="1" applyFont="1" applyFill="1" applyAlignment="1">
      <alignment horizontal="right"/>
    </xf>
    <xf numFmtId="43" fontId="49" fillId="9" borderId="0" xfId="1" applyFont="1" applyFill="1" applyAlignment="1">
      <alignment horizontal="right"/>
    </xf>
    <xf numFmtId="43" fontId="2" fillId="9" borderId="2" xfId="1" applyFont="1" applyFill="1" applyBorder="1" applyAlignment="1">
      <alignment horizontal="right"/>
    </xf>
    <xf numFmtId="174" fontId="0" fillId="9" borderId="0" xfId="0" applyNumberFormat="1" applyFill="1"/>
    <xf numFmtId="0" fontId="6" fillId="9" borderId="0" xfId="0" applyFont="1" applyFill="1"/>
    <xf numFmtId="0" fontId="70" fillId="0" borderId="0" xfId="0" applyFont="1"/>
    <xf numFmtId="1" fontId="79" fillId="0" borderId="0" xfId="0" applyNumberFormat="1" applyFont="1" applyAlignment="1">
      <alignment horizontal="left"/>
    </xf>
    <xf numFmtId="1" fontId="78" fillId="0" borderId="0" xfId="0" applyNumberFormat="1" applyFont="1"/>
    <xf numFmtId="1" fontId="78" fillId="0" borderId="0" xfId="0" applyNumberFormat="1" applyFont="1" applyAlignment="1">
      <alignment horizontal="right"/>
    </xf>
    <xf numFmtId="0" fontId="78" fillId="0" borderId="0" xfId="0" applyFont="1" applyAlignment="1">
      <alignment horizontal="right"/>
    </xf>
    <xf numFmtId="0" fontId="79" fillId="0" borderId="0" xfId="0" applyFont="1" applyAlignment="1">
      <alignment horizontal="left"/>
    </xf>
    <xf numFmtId="0" fontId="77" fillId="0" borderId="0" xfId="0" applyFont="1" applyAlignment="1">
      <alignment horizontal="left"/>
    </xf>
    <xf numFmtId="0" fontId="76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80" fillId="7" borderId="0" xfId="0" applyFont="1" applyFill="1"/>
    <xf numFmtId="0" fontId="80" fillId="7" borderId="0" xfId="0" applyFont="1" applyFill="1" applyAlignment="1">
      <alignment horizontal="left"/>
    </xf>
    <xf numFmtId="0" fontId="80" fillId="7" borderId="0" xfId="0" applyFont="1" applyFill="1" applyAlignment="1">
      <alignment horizontal="right"/>
    </xf>
    <xf numFmtId="0" fontId="84" fillId="0" borderId="0" xfId="0" applyFont="1" applyAlignment="1">
      <alignment horizontal="left"/>
    </xf>
    <xf numFmtId="0" fontId="85" fillId="2" borderId="0" xfId="0" applyFont="1" applyFill="1" applyAlignment="1">
      <alignment horizontal="left"/>
    </xf>
    <xf numFmtId="3" fontId="0" fillId="0" borderId="0" xfId="0" applyNumberFormat="1" applyAlignment="1">
      <alignment horizontal="right"/>
    </xf>
    <xf numFmtId="176" fontId="10" fillId="5" borderId="0" xfId="0" applyNumberFormat="1" applyFont="1" applyFill="1" applyAlignment="1">
      <alignment horizontal="right"/>
    </xf>
    <xf numFmtId="172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0" fontId="88" fillId="7" borderId="0" xfId="0" applyFont="1" applyFill="1"/>
    <xf numFmtId="0" fontId="89" fillId="0" borderId="0" xfId="0" applyFont="1" applyAlignment="1">
      <alignment horizontal="center"/>
    </xf>
    <xf numFmtId="0" fontId="90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7" fillId="7" borderId="0" xfId="0" applyFont="1" applyFill="1" applyAlignment="1">
      <alignment horizontal="center"/>
    </xf>
    <xf numFmtId="0" fontId="86" fillId="2" borderId="0" xfId="0" applyFont="1" applyFill="1" applyAlignment="1">
      <alignment horizontal="right"/>
    </xf>
    <xf numFmtId="10" fontId="3" fillId="8" borderId="0" xfId="0" applyNumberFormat="1" applyFont="1" applyFill="1" applyAlignment="1">
      <alignment horizontal="right"/>
    </xf>
    <xf numFmtId="181" fontId="3" fillId="8" borderId="0" xfId="0" applyNumberFormat="1" applyFont="1" applyFill="1" applyAlignment="1">
      <alignment horizontal="right"/>
    </xf>
    <xf numFmtId="10" fontId="13" fillId="8" borderId="0" xfId="0" applyNumberFormat="1" applyFont="1" applyFill="1" applyAlignment="1">
      <alignment horizontal="right"/>
    </xf>
    <xf numFmtId="169" fontId="3" fillId="8" borderId="0" xfId="0" applyNumberFormat="1" applyFont="1" applyFill="1" applyAlignment="1">
      <alignment horizontal="right"/>
    </xf>
    <xf numFmtId="10" fontId="4" fillId="8" borderId="0" xfId="0" applyNumberFormat="1" applyFont="1" applyFill="1" applyAlignment="1">
      <alignment horizontal="right"/>
    </xf>
    <xf numFmtId="173" fontId="3" fillId="8" borderId="0" xfId="0" applyNumberFormat="1" applyFont="1" applyFill="1" applyAlignment="1">
      <alignment horizontal="right"/>
    </xf>
    <xf numFmtId="176" fontId="6" fillId="0" borderId="0" xfId="0" applyNumberFormat="1" applyFont="1" applyAlignment="1">
      <alignment horizontal="right"/>
    </xf>
    <xf numFmtId="0" fontId="91" fillId="10" borderId="0" xfId="0" applyFont="1" applyFill="1" applyAlignment="1">
      <alignment horizontal="right"/>
    </xf>
    <xf numFmtId="179" fontId="92" fillId="10" borderId="0" xfId="0" applyNumberFormat="1" applyFont="1" applyFill="1" applyAlignment="1">
      <alignment horizontal="right"/>
    </xf>
    <xf numFmtId="0" fontId="93" fillId="10" borderId="0" xfId="0" applyFont="1" applyFill="1" applyAlignment="1">
      <alignment horizontal="right"/>
    </xf>
    <xf numFmtId="179" fontId="93" fillId="10" borderId="0" xfId="0" applyNumberFormat="1" applyFont="1" applyFill="1" applyAlignment="1">
      <alignment horizontal="right"/>
    </xf>
    <xf numFmtId="0" fontId="94" fillId="3" borderId="0" xfId="0" applyFont="1" applyFill="1" applyAlignment="1">
      <alignment horizontal="center"/>
    </xf>
    <xf numFmtId="179" fontId="12" fillId="7" borderId="0" xfId="0" applyNumberFormat="1" applyFont="1" applyFill="1" applyAlignment="1">
      <alignment horizontal="right"/>
    </xf>
    <xf numFmtId="179" fontId="7" fillId="7" borderId="0" xfId="0" applyNumberFormat="1" applyFont="1" applyFill="1" applyAlignment="1">
      <alignment horizontal="right"/>
    </xf>
    <xf numFmtId="10" fontId="27" fillId="3" borderId="0" xfId="0" applyNumberFormat="1" applyFont="1" applyFill="1" applyAlignment="1">
      <alignment horizontal="center"/>
    </xf>
    <xf numFmtId="2" fontId="29" fillId="3" borderId="0" xfId="0" applyNumberFormat="1" applyFont="1" applyFill="1" applyAlignment="1">
      <alignment horizontal="left"/>
    </xf>
    <xf numFmtId="49" fontId="4" fillId="3" borderId="0" xfId="0" applyNumberFormat="1" applyFont="1" applyFill="1" applyAlignment="1">
      <alignment horizontal="left"/>
    </xf>
    <xf numFmtId="3" fontId="34" fillId="9" borderId="5" xfId="0" applyNumberFormat="1" applyFont="1" applyFill="1" applyBorder="1" applyAlignment="1">
      <alignment horizontal="right"/>
    </xf>
    <xf numFmtId="3" fontId="3" fillId="9" borderId="0" xfId="0" applyNumberFormat="1" applyFont="1" applyFill="1" applyAlignment="1">
      <alignment horizontal="right"/>
    </xf>
    <xf numFmtId="3" fontId="13" fillId="9" borderId="0" xfId="0" applyNumberFormat="1" applyFont="1" applyFill="1" applyAlignment="1">
      <alignment horizontal="right"/>
    </xf>
    <xf numFmtId="3" fontId="13" fillId="9" borderId="5" xfId="0" applyNumberFormat="1" applyFont="1" applyFill="1" applyBorder="1" applyAlignment="1">
      <alignment horizontal="right"/>
    </xf>
    <xf numFmtId="49" fontId="13" fillId="9" borderId="0" xfId="0" applyNumberFormat="1" applyFont="1" applyFill="1" applyAlignment="1">
      <alignment horizontal="right"/>
    </xf>
    <xf numFmtId="49" fontId="10" fillId="9" borderId="0" xfId="0" applyNumberFormat="1" applyFont="1" applyFill="1" applyAlignment="1">
      <alignment horizontal="right"/>
    </xf>
    <xf numFmtId="0" fontId="18" fillId="10" borderId="0" xfId="0" applyFont="1" applyFill="1"/>
    <xf numFmtId="0" fontId="91" fillId="10" borderId="0" xfId="0" applyFont="1" applyFill="1" applyAlignment="1">
      <alignment horizontal="left"/>
    </xf>
    <xf numFmtId="0" fontId="91" fillId="10" borderId="0" xfId="0" applyFont="1" applyFill="1"/>
    <xf numFmtId="0" fontId="49" fillId="9" borderId="0" xfId="0" applyFont="1" applyFill="1"/>
    <xf numFmtId="3" fontId="95" fillId="9" borderId="0" xfId="0" applyNumberFormat="1" applyFont="1" applyFill="1"/>
    <xf numFmtId="169" fontId="97" fillId="9" borderId="0" xfId="0" applyNumberFormat="1" applyFont="1" applyFill="1"/>
    <xf numFmtId="49" fontId="97" fillId="9" borderId="0" xfId="0" applyNumberFormat="1" applyFont="1" applyFill="1"/>
    <xf numFmtId="169" fontId="35" fillId="9" borderId="0" xfId="0" applyNumberFormat="1" applyFont="1" applyFill="1" applyAlignment="1">
      <alignment horizontal="right"/>
    </xf>
    <xf numFmtId="182" fontId="19" fillId="0" borderId="0" xfId="0" applyNumberFormat="1" applyFont="1" applyAlignment="1">
      <alignment horizontal="center"/>
    </xf>
    <xf numFmtId="0" fontId="98" fillId="3" borderId="0" xfId="0" applyFont="1" applyFill="1" applyAlignment="1">
      <alignment horizontal="right"/>
    </xf>
    <xf numFmtId="0" fontId="99" fillId="7" borderId="0" xfId="0" applyFont="1" applyFill="1"/>
    <xf numFmtId="3" fontId="102" fillId="7" borderId="0" xfId="0" applyNumberFormat="1" applyFont="1" applyFill="1"/>
    <xf numFmtId="3" fontId="101" fillId="7" borderId="0" xfId="0" applyNumberFormat="1" applyFont="1" applyFill="1" applyAlignment="1">
      <alignment horizontal="right"/>
    </xf>
    <xf numFmtId="0" fontId="102" fillId="7" borderId="0" xfId="0" applyFont="1" applyFill="1"/>
    <xf numFmtId="10" fontId="101" fillId="7" borderId="0" xfId="0" applyNumberFormat="1" applyFont="1" applyFill="1" applyAlignment="1">
      <alignment horizontal="right"/>
    </xf>
    <xf numFmtId="0" fontId="104" fillId="7" borderId="0" xfId="0" applyFont="1" applyFill="1" applyAlignment="1">
      <alignment horizontal="right"/>
    </xf>
    <xf numFmtId="0" fontId="50" fillId="7" borderId="0" xfId="0" applyFont="1" applyFill="1"/>
    <xf numFmtId="0" fontId="96" fillId="7" borderId="9" xfId="0" applyFont="1" applyFill="1" applyBorder="1" applyAlignment="1">
      <alignment horizontal="left"/>
    </xf>
    <xf numFmtId="0" fontId="96" fillId="7" borderId="0" xfId="0" applyFont="1" applyFill="1" applyAlignment="1">
      <alignment horizontal="left"/>
    </xf>
    <xf numFmtId="3" fontId="34" fillId="9" borderId="0" xfId="1" applyNumberFormat="1" applyFont="1" applyFill="1"/>
    <xf numFmtId="3" fontId="105" fillId="8" borderId="0" xfId="0" applyNumberFormat="1" applyFont="1" applyFill="1" applyAlignment="1">
      <alignment horizontal="right"/>
    </xf>
    <xf numFmtId="0" fontId="100" fillId="8" borderId="0" xfId="0" applyFont="1" applyFill="1" applyAlignment="1">
      <alignment horizontal="right"/>
    </xf>
    <xf numFmtId="0" fontId="101" fillId="8" borderId="0" xfId="0" applyFont="1" applyFill="1" applyAlignment="1">
      <alignment horizontal="right"/>
    </xf>
    <xf numFmtId="0" fontId="103" fillId="8" borderId="0" xfId="0" applyFont="1" applyFill="1"/>
    <xf numFmtId="0" fontId="102" fillId="8" borderId="0" xfId="0" applyFont="1" applyFill="1"/>
    <xf numFmtId="3" fontId="100" fillId="8" borderId="0" xfId="0" applyNumberFormat="1" applyFont="1" applyFill="1" applyAlignment="1">
      <alignment horizontal="right"/>
    </xf>
    <xf numFmtId="3" fontId="101" fillId="8" borderId="5" xfId="0" applyNumberFormat="1" applyFont="1" applyFill="1" applyBorder="1" applyAlignment="1">
      <alignment horizontal="right"/>
    </xf>
    <xf numFmtId="3" fontId="101" fillId="8" borderId="0" xfId="0" applyNumberFormat="1" applyFont="1" applyFill="1" applyAlignment="1">
      <alignment horizontal="right"/>
    </xf>
    <xf numFmtId="3" fontId="106" fillId="8" borderId="0" xfId="0" applyNumberFormat="1" applyFont="1" applyFill="1" applyAlignment="1">
      <alignment horizontal="right"/>
    </xf>
    <xf numFmtId="10" fontId="105" fillId="8" borderId="0" xfId="0" applyNumberFormat="1" applyFont="1" applyFill="1" applyAlignment="1">
      <alignment horizontal="right"/>
    </xf>
    <xf numFmtId="0" fontId="1" fillId="0" borderId="0" xfId="0" applyFont="1"/>
    <xf numFmtId="1" fontId="1" fillId="0" borderId="0" xfId="0" applyNumberFormat="1" applyFont="1"/>
    <xf numFmtId="3" fontId="9" fillId="0" borderId="0" xfId="0" applyNumberFormat="1" applyFont="1" applyAlignment="1">
      <alignment horizontal="right"/>
    </xf>
    <xf numFmtId="2" fontId="9" fillId="0" borderId="0" xfId="0" applyNumberFormat="1" applyFont="1" applyAlignment="1">
      <alignment horizontal="right"/>
    </xf>
    <xf numFmtId="2" fontId="9" fillId="9" borderId="0" xfId="0" applyNumberFormat="1" applyFont="1" applyFill="1" applyAlignment="1">
      <alignment horizontal="right"/>
    </xf>
    <xf numFmtId="10" fontId="9" fillId="0" borderId="0" xfId="0" applyNumberFormat="1" applyFont="1" applyAlignment="1">
      <alignment horizontal="right"/>
    </xf>
    <xf numFmtId="10" fontId="9" fillId="9" borderId="0" xfId="0" applyNumberFormat="1" applyFont="1" applyFill="1" applyAlignment="1">
      <alignment horizontal="right"/>
    </xf>
    <xf numFmtId="10" fontId="34" fillId="9" borderId="0" xfId="0" applyNumberFormat="1" applyFont="1" applyFill="1" applyAlignment="1">
      <alignment horizontal="right"/>
    </xf>
    <xf numFmtId="0" fontId="11" fillId="7" borderId="0" xfId="0" applyFont="1" applyFill="1" applyAlignment="1">
      <alignment horizontal="left"/>
    </xf>
    <xf numFmtId="172" fontId="10" fillId="0" borderId="0" xfId="0" applyNumberFormat="1" applyFont="1" applyAlignment="1">
      <alignment horizontal="right"/>
    </xf>
    <xf numFmtId="172" fontId="10" fillId="7" borderId="0" xfId="0" applyNumberFormat="1" applyFont="1" applyFill="1" applyAlignment="1">
      <alignment horizontal="right"/>
    </xf>
    <xf numFmtId="168" fontId="9" fillId="8" borderId="0" xfId="0" applyNumberFormat="1" applyFont="1" applyFill="1" applyAlignment="1">
      <alignment horizontal="right"/>
    </xf>
    <xf numFmtId="164" fontId="9" fillId="8" borderId="0" xfId="0" applyNumberFormat="1" applyFont="1" applyFill="1" applyAlignment="1">
      <alignment horizontal="right"/>
    </xf>
    <xf numFmtId="168" fontId="9" fillId="8" borderId="1" xfId="0" applyNumberFormat="1" applyFont="1" applyFill="1" applyBorder="1" applyAlignment="1">
      <alignment horizontal="right"/>
    </xf>
    <xf numFmtId="164" fontId="9" fillId="8" borderId="1" xfId="0" applyNumberFormat="1" applyFont="1" applyFill="1" applyBorder="1" applyAlignment="1">
      <alignment horizontal="right"/>
    </xf>
    <xf numFmtId="2" fontId="0" fillId="9" borderId="0" xfId="0" applyNumberFormat="1" applyFill="1"/>
    <xf numFmtId="2" fontId="0" fillId="9" borderId="0" xfId="0" applyNumberFormat="1" applyFill="1" applyAlignment="1">
      <alignment horizontal="right"/>
    </xf>
    <xf numFmtId="0" fontId="1" fillId="7" borderId="0" xfId="0" applyFont="1" applyFill="1"/>
    <xf numFmtId="43" fontId="105" fillId="9" borderId="2" xfId="1" applyFont="1" applyFill="1" applyBorder="1"/>
    <xf numFmtId="43" fontId="105" fillId="9" borderId="0" xfId="1" applyFont="1" applyFill="1"/>
    <xf numFmtId="43" fontId="108" fillId="9" borderId="0" xfId="1" applyFont="1" applyFill="1"/>
    <xf numFmtId="0" fontId="100" fillId="0" borderId="0" xfId="0" applyFont="1" applyAlignment="1">
      <alignment horizontal="center"/>
    </xf>
    <xf numFmtId="0" fontId="6" fillId="10" borderId="0" xfId="0" applyFont="1" applyFill="1"/>
    <xf numFmtId="0" fontId="4" fillId="10" borderId="0" xfId="0" applyFont="1" applyFill="1"/>
    <xf numFmtId="0" fontId="10" fillId="10" borderId="0" xfId="0" applyFont="1" applyFill="1"/>
    <xf numFmtId="0" fontId="0" fillId="10" borderId="0" xfId="0" applyFill="1"/>
    <xf numFmtId="0" fontId="12" fillId="10" borderId="0" xfId="0" applyFont="1" applyFill="1"/>
    <xf numFmtId="0" fontId="70" fillId="10" borderId="0" xfId="2" applyFont="1" applyFill="1"/>
    <xf numFmtId="0" fontId="52" fillId="10" borderId="0" xfId="2" applyFont="1" applyFill="1"/>
    <xf numFmtId="0" fontId="71" fillId="10" borderId="0" xfId="0" applyFont="1" applyFill="1"/>
    <xf numFmtId="0" fontId="50" fillId="10" borderId="0" xfId="2" applyFont="1" applyFill="1"/>
    <xf numFmtId="0" fontId="47" fillId="10" borderId="0" xfId="2" applyFont="1" applyFill="1"/>
    <xf numFmtId="0" fontId="58" fillId="7" borderId="0" xfId="2" applyFont="1" applyFill="1"/>
    <xf numFmtId="0" fontId="12" fillId="0" borderId="0" xfId="0" applyFont="1" applyAlignment="1">
      <alignment horizontal="right"/>
    </xf>
    <xf numFmtId="0" fontId="81" fillId="2" borderId="0" xfId="0" applyFont="1" applyFill="1"/>
    <xf numFmtId="0" fontId="7" fillId="3" borderId="0" xfId="0" applyFont="1" applyFill="1" applyAlignment="1">
      <alignment horizontal="left"/>
    </xf>
    <xf numFmtId="0" fontId="81" fillId="0" borderId="0" xfId="0" applyFont="1" applyAlignment="1">
      <alignment horizontal="right"/>
    </xf>
    <xf numFmtId="0" fontId="40" fillId="3" borderId="0" xfId="0" applyFont="1" applyFill="1" applyAlignment="1">
      <alignment horizontal="left"/>
    </xf>
    <xf numFmtId="180" fontId="19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80" fontId="20" fillId="7" borderId="0" xfId="0" applyNumberFormat="1" applyFont="1" applyFill="1" applyAlignment="1">
      <alignment horizontal="center"/>
    </xf>
    <xf numFmtId="180" fontId="42" fillId="7" borderId="0" xfId="0" applyNumberFormat="1" applyFont="1" applyFill="1" applyAlignment="1">
      <alignment horizontal="center"/>
    </xf>
    <xf numFmtId="180" fontId="89" fillId="0" borderId="0" xfId="0" applyNumberFormat="1" applyFont="1" applyAlignment="1">
      <alignment horizontal="center"/>
    </xf>
    <xf numFmtId="180" fontId="89" fillId="7" borderId="0" xfId="0" applyNumberFormat="1" applyFont="1" applyFill="1" applyAlignment="1">
      <alignment horizontal="center"/>
    </xf>
    <xf numFmtId="180" fontId="90" fillId="0" borderId="0" xfId="0" applyNumberFormat="1" applyFont="1" applyAlignment="1">
      <alignment horizontal="center"/>
    </xf>
    <xf numFmtId="180" fontId="90" fillId="7" borderId="0" xfId="0" applyNumberFormat="1" applyFont="1" applyFill="1" applyAlignment="1">
      <alignment horizontal="center"/>
    </xf>
    <xf numFmtId="0" fontId="48" fillId="0" borderId="0" xfId="0" applyFont="1" applyAlignment="1">
      <alignment horizontal="left"/>
    </xf>
    <xf numFmtId="0" fontId="110" fillId="0" borderId="0" xfId="0" applyFont="1" applyAlignment="1">
      <alignment horizontal="left"/>
    </xf>
    <xf numFmtId="0" fontId="48" fillId="0" borderId="0" xfId="0" applyFont="1" applyAlignment="1">
      <alignment horizontal="left" indent="1"/>
    </xf>
    <xf numFmtId="0" fontId="8" fillId="11" borderId="0" xfId="0" applyFont="1" applyFill="1" applyAlignment="1">
      <alignment horizontal="left"/>
    </xf>
    <xf numFmtId="0" fontId="18" fillId="11" borderId="0" xfId="0" applyFont="1" applyFill="1" applyAlignment="1">
      <alignment horizontal="center"/>
    </xf>
    <xf numFmtId="0" fontId="112" fillId="7" borderId="0" xfId="0" applyFont="1" applyFill="1" applyAlignment="1">
      <alignment horizontal="left"/>
    </xf>
    <xf numFmtId="0" fontId="113" fillId="0" borderId="0" xfId="0" applyFont="1" applyAlignment="1">
      <alignment horizontal="left" indent="1"/>
    </xf>
    <xf numFmtId="0" fontId="112" fillId="0" borderId="0" xfId="0" applyFont="1" applyAlignment="1">
      <alignment horizontal="left" indent="1"/>
    </xf>
    <xf numFmtId="166" fontId="10" fillId="0" borderId="0" xfId="0" applyNumberFormat="1" applyFont="1" applyAlignment="1">
      <alignment horizontal="right"/>
    </xf>
    <xf numFmtId="173" fontId="9" fillId="8" borderId="0" xfId="0" applyNumberFormat="1" applyFont="1" applyFill="1" applyAlignment="1">
      <alignment horizontal="right"/>
    </xf>
    <xf numFmtId="173" fontId="9" fillId="8" borderId="1" xfId="0" applyNumberFormat="1" applyFont="1" applyFill="1" applyBorder="1" applyAlignment="1">
      <alignment horizontal="right"/>
    </xf>
    <xf numFmtId="173" fontId="3" fillId="8" borderId="1" xfId="0" applyNumberFormat="1" applyFont="1" applyFill="1" applyBorder="1" applyAlignment="1">
      <alignment horizontal="right"/>
    </xf>
    <xf numFmtId="169" fontId="3" fillId="8" borderId="1" xfId="0" applyNumberFormat="1" applyFont="1" applyFill="1" applyBorder="1" applyAlignment="1">
      <alignment horizontal="right"/>
    </xf>
    <xf numFmtId="2" fontId="6" fillId="9" borderId="0" xfId="0" applyNumberFormat="1" applyFont="1" applyFill="1" applyAlignment="1">
      <alignment horizontal="right"/>
    </xf>
    <xf numFmtId="173" fontId="6" fillId="9" borderId="0" xfId="0" applyNumberFormat="1" applyFont="1" applyFill="1" applyAlignment="1">
      <alignment horizontal="right"/>
    </xf>
    <xf numFmtId="2" fontId="6" fillId="9" borderId="2" xfId="0" applyNumberFormat="1" applyFont="1" applyFill="1" applyBorder="1" applyAlignment="1">
      <alignment horizontal="right"/>
    </xf>
    <xf numFmtId="3" fontId="6" fillId="9" borderId="2" xfId="0" applyNumberFormat="1" applyFont="1" applyFill="1" applyBorder="1" applyAlignment="1">
      <alignment horizontal="right"/>
    </xf>
    <xf numFmtId="173" fontId="6" fillId="9" borderId="2" xfId="0" applyNumberFormat="1" applyFont="1" applyFill="1" applyBorder="1" applyAlignment="1">
      <alignment horizontal="right"/>
    </xf>
    <xf numFmtId="169" fontId="6" fillId="9" borderId="2" xfId="0" applyNumberFormat="1" applyFont="1" applyFill="1" applyBorder="1" applyAlignment="1">
      <alignment horizontal="right"/>
    </xf>
    <xf numFmtId="2" fontId="6" fillId="9" borderId="3" xfId="0" applyNumberFormat="1" applyFont="1" applyFill="1" applyBorder="1" applyAlignment="1">
      <alignment horizontal="right"/>
    </xf>
    <xf numFmtId="3" fontId="6" fillId="9" borderId="3" xfId="0" applyNumberFormat="1" applyFont="1" applyFill="1" applyBorder="1" applyAlignment="1">
      <alignment horizontal="right"/>
    </xf>
    <xf numFmtId="173" fontId="6" fillId="9" borderId="3" xfId="0" applyNumberFormat="1" applyFont="1" applyFill="1" applyBorder="1" applyAlignment="1">
      <alignment horizontal="right"/>
    </xf>
    <xf numFmtId="169" fontId="6" fillId="9" borderId="3" xfId="0" applyNumberFormat="1" applyFont="1" applyFill="1" applyBorder="1" applyAlignment="1">
      <alignment horizontal="right"/>
    </xf>
    <xf numFmtId="0" fontId="48" fillId="7" borderId="0" xfId="0" applyFont="1" applyFill="1" applyAlignment="1">
      <alignment horizontal="left" indent="1"/>
    </xf>
    <xf numFmtId="0" fontId="115" fillId="3" borderId="0" xfId="0" applyFont="1" applyFill="1" applyAlignment="1">
      <alignment horizontal="left"/>
    </xf>
    <xf numFmtId="0" fontId="110" fillId="3" borderId="0" xfId="0" applyFont="1" applyFill="1" applyAlignment="1">
      <alignment horizontal="right"/>
    </xf>
    <xf numFmtId="169" fontId="6" fillId="9" borderId="0" xfId="0" applyNumberFormat="1" applyFont="1" applyFill="1"/>
    <xf numFmtId="173" fontId="6" fillId="9" borderId="0" xfId="0" applyNumberFormat="1" applyFont="1" applyFill="1"/>
    <xf numFmtId="0" fontId="0" fillId="2" borderId="0" xfId="0" applyFill="1" applyAlignment="1">
      <alignment horizontal="right"/>
    </xf>
    <xf numFmtId="0" fontId="32" fillId="2" borderId="0" xfId="0" applyFont="1" applyFill="1"/>
    <xf numFmtId="0" fontId="32" fillId="2" borderId="0" xfId="0" applyFont="1" applyFill="1" applyAlignment="1">
      <alignment horizontal="right"/>
    </xf>
    <xf numFmtId="0" fontId="116" fillId="0" borderId="0" xfId="0" applyFont="1" applyAlignment="1">
      <alignment horizontal="left" indent="1"/>
    </xf>
    <xf numFmtId="0" fontId="109" fillId="0" borderId="0" xfId="0" applyFont="1" applyAlignment="1">
      <alignment horizontal="right"/>
    </xf>
    <xf numFmtId="10" fontId="1" fillId="0" borderId="0" xfId="0" applyNumberFormat="1" applyFont="1" applyAlignment="1">
      <alignment horizontal="right"/>
    </xf>
    <xf numFmtId="43" fontId="1" fillId="0" borderId="0" xfId="1" applyFont="1"/>
    <xf numFmtId="169" fontId="12" fillId="0" borderId="0" xfId="0" applyNumberFormat="1" applyFont="1" applyAlignment="1">
      <alignment horizontal="right"/>
    </xf>
    <xf numFmtId="172" fontId="7" fillId="0" borderId="0" xfId="0" applyNumberFormat="1" applyFont="1" applyAlignment="1">
      <alignment horizontal="right"/>
    </xf>
    <xf numFmtId="173" fontId="12" fillId="0" borderId="0" xfId="0" applyNumberFormat="1" applyFont="1" applyAlignment="1">
      <alignment horizontal="right"/>
    </xf>
    <xf numFmtId="175" fontId="12" fillId="0" borderId="0" xfId="0" applyNumberFormat="1" applyFont="1" applyAlignment="1">
      <alignment horizontal="right"/>
    </xf>
    <xf numFmtId="174" fontId="12" fillId="0" borderId="0" xfId="0" applyNumberFormat="1" applyFont="1" applyAlignment="1">
      <alignment horizontal="right"/>
    </xf>
    <xf numFmtId="3" fontId="6" fillId="8" borderId="0" xfId="0" applyNumberFormat="1" applyFont="1" applyFill="1" applyAlignment="1">
      <alignment horizontal="right"/>
    </xf>
    <xf numFmtId="10" fontId="93" fillId="0" borderId="0" xfId="0" applyNumberFormat="1" applyFont="1" applyAlignment="1">
      <alignment horizontal="right"/>
    </xf>
    <xf numFmtId="169" fontId="3" fillId="0" borderId="0" xfId="0" applyNumberFormat="1" applyFont="1" applyAlignment="1">
      <alignment horizontal="right"/>
    </xf>
    <xf numFmtId="0" fontId="22" fillId="2" borderId="0" xfId="0" applyFont="1" applyFill="1"/>
    <xf numFmtId="0" fontId="21" fillId="7" borderId="0" xfId="0" applyFont="1" applyFill="1" applyAlignment="1">
      <alignment horizontal="left"/>
    </xf>
    <xf numFmtId="0" fontId="29" fillId="3" borderId="0" xfId="0" applyFont="1" applyFill="1"/>
    <xf numFmtId="0" fontId="85" fillId="2" borderId="0" xfId="0" applyFont="1" applyFill="1"/>
    <xf numFmtId="0" fontId="85" fillId="2" borderId="0" xfId="0" applyFont="1" applyFill="1" applyAlignment="1">
      <alignment horizontal="right"/>
    </xf>
    <xf numFmtId="0" fontId="3" fillId="9" borderId="0" xfId="0" applyFont="1" applyFill="1" applyAlignment="1">
      <alignment horizontal="right"/>
    </xf>
    <xf numFmtId="185" fontId="3" fillId="9" borderId="0" xfId="0" applyNumberFormat="1" applyFont="1" applyFill="1" applyAlignment="1">
      <alignment horizontal="right"/>
    </xf>
    <xf numFmtId="186" fontId="3" fillId="9" borderId="0" xfId="0" applyNumberFormat="1" applyFont="1" applyFill="1" applyAlignment="1">
      <alignment horizontal="right"/>
    </xf>
    <xf numFmtId="0" fontId="22" fillId="7" borderId="0" xfId="0" applyFont="1" applyFill="1"/>
    <xf numFmtId="0" fontId="13" fillId="9" borderId="0" xfId="0" applyFont="1" applyFill="1" applyAlignment="1">
      <alignment horizontal="right"/>
    </xf>
    <xf numFmtId="187" fontId="13" fillId="9" borderId="0" xfId="0" applyNumberFormat="1" applyFont="1" applyFill="1" applyAlignment="1">
      <alignment horizontal="right"/>
    </xf>
    <xf numFmtId="0" fontId="43" fillId="7" borderId="0" xfId="0" applyFont="1" applyFill="1" applyAlignment="1">
      <alignment horizontal="left"/>
    </xf>
    <xf numFmtId="165" fontId="3" fillId="9" borderId="0" xfId="0" applyNumberFormat="1" applyFont="1" applyFill="1" applyAlignment="1">
      <alignment horizontal="right"/>
    </xf>
    <xf numFmtId="166" fontId="107" fillId="2" borderId="0" xfId="0" applyNumberFormat="1" applyFont="1" applyFill="1" applyAlignment="1">
      <alignment horizontal="left"/>
    </xf>
    <xf numFmtId="0" fontId="13" fillId="9" borderId="0" xfId="0" applyFont="1" applyFill="1" applyAlignment="1">
      <alignment horizontal="center"/>
    </xf>
    <xf numFmtId="169" fontId="13" fillId="9" borderId="0" xfId="0" applyNumberFormat="1" applyFont="1" applyFill="1" applyAlignment="1">
      <alignment horizontal="center"/>
    </xf>
    <xf numFmtId="0" fontId="118" fillId="7" borderId="0" xfId="0" applyFont="1" applyFill="1" applyAlignment="1">
      <alignment horizontal="left"/>
    </xf>
    <xf numFmtId="0" fontId="111" fillId="0" borderId="0" xfId="0" applyFont="1" applyAlignment="1">
      <alignment horizontal="left"/>
    </xf>
    <xf numFmtId="174" fontId="92" fillId="0" borderId="0" xfId="0" applyNumberFormat="1" applyFont="1" applyAlignment="1">
      <alignment horizontal="left"/>
    </xf>
    <xf numFmtId="0" fontId="117" fillId="0" borderId="0" xfId="0" applyFont="1" applyAlignment="1">
      <alignment horizontal="right"/>
    </xf>
    <xf numFmtId="169" fontId="9" fillId="8" borderId="0" xfId="0" applyNumberFormat="1" applyFont="1" applyFill="1" applyAlignment="1">
      <alignment horizontal="right"/>
    </xf>
    <xf numFmtId="0" fontId="96" fillId="0" borderId="0" xfId="0" applyFont="1" applyAlignment="1">
      <alignment horizontal="left" indent="1"/>
    </xf>
    <xf numFmtId="0" fontId="96" fillId="7" borderId="0" xfId="0" applyFont="1" applyFill="1" applyAlignment="1">
      <alignment horizontal="left" indent="1"/>
    </xf>
    <xf numFmtId="49" fontId="0" fillId="0" borderId="0" xfId="0" applyNumberFormat="1"/>
    <xf numFmtId="0" fontId="0" fillId="0" borderId="0" xfId="0" applyFill="1"/>
    <xf numFmtId="0" fontId="96" fillId="0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18" fillId="0" borderId="0" xfId="0" applyFont="1" applyFill="1"/>
    <xf numFmtId="0" fontId="8" fillId="0" borderId="0" xfId="0" applyFont="1" applyFill="1" applyAlignment="1">
      <alignment horizontal="left"/>
    </xf>
    <xf numFmtId="0" fontId="18" fillId="0" borderId="0" xfId="0" applyFont="1" applyFill="1" applyAlignment="1">
      <alignment horizontal="center"/>
    </xf>
    <xf numFmtId="0" fontId="18" fillId="0" borderId="0" xfId="0" applyFont="1" applyFill="1" applyAlignment="1">
      <alignment horizontal="right"/>
    </xf>
    <xf numFmtId="172" fontId="0" fillId="0" borderId="0" xfId="0" applyNumberFormat="1" applyFill="1" applyAlignment="1">
      <alignment horizontal="right"/>
    </xf>
    <xf numFmtId="0" fontId="86" fillId="0" borderId="0" xfId="0" applyFont="1" applyFill="1" applyAlignment="1">
      <alignment horizontal="right"/>
    </xf>
    <xf numFmtId="172" fontId="50" fillId="0" borderId="0" xfId="0" applyNumberFormat="1" applyFont="1" applyFill="1" applyAlignment="1">
      <alignment horizontal="right"/>
    </xf>
    <xf numFmtId="172" fontId="8" fillId="0" borderId="0" xfId="0" applyNumberFormat="1" applyFont="1" applyFill="1" applyBorder="1" applyAlignment="1">
      <alignment horizontal="right"/>
    </xf>
    <xf numFmtId="172" fontId="13" fillId="0" borderId="0" xfId="0" applyNumberFormat="1" applyFont="1" applyFill="1" applyBorder="1" applyAlignment="1">
      <alignment horizontal="right"/>
    </xf>
    <xf numFmtId="172" fontId="10" fillId="0" borderId="0" xfId="0" applyNumberFormat="1" applyFont="1" applyFill="1" applyBorder="1" applyAlignment="1">
      <alignment horizontal="right"/>
    </xf>
    <xf numFmtId="0" fontId="10" fillId="8" borderId="0" xfId="0" applyFont="1" applyFill="1" applyAlignment="1">
      <alignment horizontal="right"/>
    </xf>
    <xf numFmtId="0" fontId="50" fillId="8" borderId="0" xfId="0" applyFont="1" applyFill="1" applyAlignment="1">
      <alignment horizontal="right"/>
    </xf>
    <xf numFmtId="172" fontId="0" fillId="8" borderId="0" xfId="0" applyNumberFormat="1" applyFill="1" applyAlignment="1">
      <alignment horizontal="right"/>
    </xf>
    <xf numFmtId="172" fontId="50" fillId="8" borderId="0" xfId="0" applyNumberFormat="1" applyFont="1" applyFill="1" applyAlignment="1">
      <alignment horizontal="right"/>
    </xf>
    <xf numFmtId="0" fontId="96" fillId="0" borderId="0" xfId="0" applyFont="1" applyAlignment="1">
      <alignment horizontal="left"/>
    </xf>
    <xf numFmtId="0" fontId="122" fillId="0" borderId="0" xfId="0" applyFont="1" applyAlignment="1">
      <alignment horizontal="left"/>
    </xf>
    <xf numFmtId="0" fontId="122" fillId="7" borderId="0" xfId="0" applyFont="1" applyFill="1" applyAlignment="1">
      <alignment horizontal="left"/>
    </xf>
    <xf numFmtId="0" fontId="122" fillId="0" borderId="0" xfId="0" applyFont="1" applyAlignment="1">
      <alignment horizontal="left" indent="1"/>
    </xf>
    <xf numFmtId="3" fontId="10" fillId="8" borderId="0" xfId="0" applyNumberFormat="1" applyFont="1" applyFill="1" applyAlignment="1">
      <alignment horizontal="right"/>
    </xf>
    <xf numFmtId="3" fontId="3" fillId="8" borderId="0" xfId="0" applyNumberFormat="1" applyFont="1" applyFill="1" applyAlignment="1">
      <alignment horizontal="right"/>
    </xf>
    <xf numFmtId="173" fontId="6" fillId="8" borderId="0" xfId="0" applyNumberFormat="1" applyFont="1" applyFill="1" applyAlignment="1">
      <alignment horizontal="right"/>
    </xf>
    <xf numFmtId="173" fontId="48" fillId="8" borderId="0" xfId="0" applyNumberFormat="1" applyFont="1" applyFill="1" applyAlignment="1">
      <alignment horizontal="right"/>
    </xf>
    <xf numFmtId="169" fontId="48" fillId="8" borderId="0" xfId="0" applyNumberFormat="1" applyFont="1" applyFill="1" applyAlignment="1">
      <alignment horizontal="right"/>
    </xf>
    <xf numFmtId="0" fontId="6" fillId="8" borderId="0" xfId="0" applyFont="1" applyFill="1" applyAlignment="1">
      <alignment horizontal="right"/>
    </xf>
    <xf numFmtId="3" fontId="114" fillId="8" borderId="0" xfId="0" applyNumberFormat="1" applyFont="1" applyFill="1" applyAlignment="1">
      <alignment horizontal="center"/>
    </xf>
    <xf numFmtId="0" fontId="0" fillId="8" borderId="0" xfId="0" applyFill="1"/>
    <xf numFmtId="184" fontId="3" fillId="9" borderId="0" xfId="0" applyNumberFormat="1" applyFont="1" applyFill="1" applyAlignment="1">
      <alignment horizontal="right"/>
    </xf>
    <xf numFmtId="169" fontId="89" fillId="0" borderId="0" xfId="0" applyNumberFormat="1" applyFont="1" applyAlignment="1">
      <alignment horizontal="center"/>
    </xf>
    <xf numFmtId="184" fontId="89" fillId="0" borderId="0" xfId="0" applyNumberFormat="1" applyFont="1" applyAlignment="1">
      <alignment horizontal="center"/>
    </xf>
    <xf numFmtId="169" fontId="19" fillId="0" borderId="0" xfId="0" applyNumberFormat="1" applyFont="1" applyAlignment="1">
      <alignment horizontal="center"/>
    </xf>
    <xf numFmtId="174" fontId="122" fillId="8" borderId="0" xfId="0" applyNumberFormat="1" applyFont="1" applyFill="1" applyAlignment="1">
      <alignment horizontal="right"/>
    </xf>
    <xf numFmtId="174" fontId="13" fillId="9" borderId="0" xfId="0" applyNumberFormat="1" applyFont="1" applyFill="1" applyAlignment="1">
      <alignment horizontal="right"/>
    </xf>
    <xf numFmtId="174" fontId="3" fillId="9" borderId="0" xfId="0" applyNumberFormat="1" applyFont="1" applyFill="1" applyAlignment="1">
      <alignment horizontal="right"/>
    </xf>
    <xf numFmtId="184" fontId="3" fillId="0" borderId="0" xfId="0" applyNumberFormat="1" applyFont="1" applyFill="1" applyAlignment="1">
      <alignment horizontal="right"/>
    </xf>
    <xf numFmtId="174" fontId="13" fillId="0" borderId="0" xfId="0" applyNumberFormat="1" applyFont="1" applyFill="1" applyAlignment="1">
      <alignment horizontal="right"/>
    </xf>
    <xf numFmtId="174" fontId="3" fillId="0" borderId="0" xfId="0" applyNumberFormat="1" applyFont="1" applyFill="1" applyAlignment="1">
      <alignment horizontal="right"/>
    </xf>
    <xf numFmtId="169" fontId="3" fillId="0" borderId="0" xfId="0" applyNumberFormat="1" applyFont="1" applyFill="1" applyAlignment="1">
      <alignment horizontal="right"/>
    </xf>
    <xf numFmtId="0" fontId="3" fillId="0" borderId="0" xfId="0" applyFont="1" applyFill="1" applyAlignment="1">
      <alignment horizontal="right"/>
    </xf>
    <xf numFmtId="184" fontId="3" fillId="8" borderId="0" xfId="0" applyNumberFormat="1" applyFont="1" applyFill="1" applyAlignment="1">
      <alignment horizontal="right"/>
    </xf>
    <xf numFmtId="169" fontId="123" fillId="0" borderId="0" xfId="0" applyNumberFormat="1" applyFont="1" applyFill="1" applyAlignment="1">
      <alignment horizontal="center"/>
    </xf>
    <xf numFmtId="173" fontId="121" fillId="9" borderId="0" xfId="0" applyNumberFormat="1" applyFont="1" applyFill="1"/>
    <xf numFmtId="169" fontId="121" fillId="9" borderId="0" xfId="0" applyNumberFormat="1" applyFont="1" applyFill="1" applyAlignment="1">
      <alignment horizontal="right"/>
    </xf>
    <xf numFmtId="168" fontId="10" fillId="0" borderId="0" xfId="0" applyNumberFormat="1" applyFont="1" applyFill="1" applyAlignment="1">
      <alignment horizontal="right"/>
    </xf>
    <xf numFmtId="188" fontId="10" fillId="9" borderId="3" xfId="0" applyNumberFormat="1" applyFont="1" applyFill="1" applyBorder="1" applyAlignment="1">
      <alignment horizontal="right"/>
    </xf>
    <xf numFmtId="0" fontId="121" fillId="0" borderId="0" xfId="0" applyFont="1" applyFill="1" applyAlignment="1">
      <alignment horizontal="left"/>
    </xf>
    <xf numFmtId="173" fontId="0" fillId="8" borderId="0" xfId="0" applyNumberFormat="1" applyFill="1" applyAlignment="1">
      <alignment horizontal="right"/>
    </xf>
    <xf numFmtId="173" fontId="121" fillId="8" borderId="0" xfId="0" applyNumberFormat="1" applyFont="1" applyFill="1" applyAlignment="1">
      <alignment horizontal="right"/>
    </xf>
    <xf numFmtId="167" fontId="3" fillId="8" borderId="0" xfId="0" applyNumberFormat="1" applyFont="1" applyFill="1" applyAlignment="1">
      <alignment horizontal="right"/>
    </xf>
    <xf numFmtId="169" fontId="34" fillId="8" borderId="0" xfId="0" applyNumberFormat="1" applyFont="1" applyFill="1" applyAlignment="1">
      <alignment horizontal="right"/>
    </xf>
    <xf numFmtId="168" fontId="13" fillId="8" borderId="3" xfId="0" applyNumberFormat="1" applyFont="1" applyFill="1" applyBorder="1" applyAlignment="1">
      <alignment horizontal="right"/>
    </xf>
    <xf numFmtId="49" fontId="35" fillId="8" borderId="3" xfId="0" applyNumberFormat="1" applyFont="1" applyFill="1" applyBorder="1" applyAlignment="1">
      <alignment horizontal="right"/>
    </xf>
    <xf numFmtId="3" fontId="96" fillId="9" borderId="0" xfId="0" applyNumberFormat="1" applyFont="1" applyFill="1" applyAlignment="1">
      <alignment horizontal="right"/>
    </xf>
    <xf numFmtId="10" fontId="96" fillId="8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left"/>
    </xf>
    <xf numFmtId="0" fontId="57" fillId="0" borderId="0" xfId="0" applyFont="1" applyFill="1" applyAlignment="1">
      <alignment horizontal="left"/>
    </xf>
    <xf numFmtId="43" fontId="52" fillId="7" borderId="0" xfId="1" applyFont="1" applyFill="1" applyBorder="1"/>
    <xf numFmtId="3" fontId="105" fillId="8" borderId="0" xfId="0" applyNumberFormat="1" applyFont="1" applyFill="1" applyBorder="1" applyAlignment="1">
      <alignment horizontal="right"/>
    </xf>
    <xf numFmtId="3" fontId="34" fillId="9" borderId="0" xfId="1" applyNumberFormat="1" applyFont="1" applyFill="1" applyBorder="1"/>
    <xf numFmtId="0" fontId="52" fillId="7" borderId="0" xfId="0" applyFont="1" applyFill="1" applyBorder="1"/>
    <xf numFmtId="0" fontId="124" fillId="8" borderId="0" xfId="0" applyFont="1" applyFill="1" applyAlignment="1">
      <alignment horizontal="center"/>
    </xf>
    <xf numFmtId="0" fontId="125" fillId="8" borderId="0" xfId="0" applyFont="1" applyFill="1" applyAlignment="1">
      <alignment horizontal="center"/>
    </xf>
    <xf numFmtId="3" fontId="100" fillId="8" borderId="3" xfId="0" applyNumberFormat="1" applyFont="1" applyFill="1" applyBorder="1" applyAlignment="1">
      <alignment horizontal="right"/>
    </xf>
    <xf numFmtId="3" fontId="99" fillId="0" borderId="0" xfId="0" applyNumberFormat="1" applyFont="1" applyFill="1"/>
    <xf numFmtId="0" fontId="13" fillId="7" borderId="0" xfId="0" applyFont="1" applyFill="1" applyBorder="1" applyAlignment="1">
      <alignment horizontal="right"/>
    </xf>
    <xf numFmtId="3" fontId="100" fillId="8" borderId="0" xfId="0" applyNumberFormat="1" applyFont="1" applyFill="1" applyBorder="1" applyAlignment="1">
      <alignment horizontal="right"/>
    </xf>
    <xf numFmtId="0" fontId="100" fillId="8" borderId="0" xfId="0" applyFont="1" applyFill="1" applyBorder="1" applyAlignment="1">
      <alignment horizontal="right"/>
    </xf>
    <xf numFmtId="3" fontId="102" fillId="0" borderId="0" xfId="0" applyNumberFormat="1" applyFont="1" applyFill="1" applyAlignment="1">
      <alignment horizontal="right"/>
    </xf>
    <xf numFmtId="3" fontId="102" fillId="0" borderId="0" xfId="0" applyNumberFormat="1" applyFont="1" applyFill="1"/>
    <xf numFmtId="1" fontId="102" fillId="8" borderId="0" xfId="0" applyNumberFormat="1" applyFont="1" applyFill="1"/>
    <xf numFmtId="0" fontId="72" fillId="7" borderId="0" xfId="0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0" fontId="13" fillId="0" borderId="0" xfId="0" applyFont="1" applyFill="1" applyBorder="1" applyAlignment="1">
      <alignment horizontal="right"/>
    </xf>
    <xf numFmtId="0" fontId="32" fillId="8" borderId="0" xfId="0" applyFont="1" applyFill="1"/>
    <xf numFmtId="0" fontId="96" fillId="9" borderId="0" xfId="0" applyFont="1" applyFill="1" applyAlignment="1">
      <alignment horizontal="right"/>
    </xf>
    <xf numFmtId="14" fontId="96" fillId="9" borderId="0" xfId="0" applyNumberFormat="1" applyFont="1" applyFill="1" applyAlignment="1">
      <alignment horizontal="right"/>
    </xf>
    <xf numFmtId="10" fontId="84" fillId="10" borderId="0" xfId="0" applyNumberFormat="1" applyFont="1" applyFill="1" applyAlignment="1">
      <alignment horizontal="right"/>
    </xf>
    <xf numFmtId="10" fontId="32" fillId="10" borderId="0" xfId="0" applyNumberFormat="1" applyFont="1" applyFill="1" applyAlignment="1">
      <alignment horizontal="right"/>
    </xf>
    <xf numFmtId="0" fontId="59" fillId="10" borderId="7" xfId="0" applyFont="1" applyFill="1" applyBorder="1" applyAlignment="1">
      <alignment horizontal="right"/>
    </xf>
    <xf numFmtId="0" fontId="42" fillId="0" borderId="0" xfId="0" applyFont="1" applyAlignment="1">
      <alignment horizontal="left"/>
    </xf>
    <xf numFmtId="0" fontId="42" fillId="0" borderId="0" xfId="0" applyFont="1"/>
  </cellXfs>
  <cellStyles count="8">
    <cellStyle name="Comma 2" xfId="7" xr:uid="{00000000-0005-0000-0000-000007000000}"/>
    <cellStyle name="Currency 2" xfId="5" xr:uid="{00000000-0005-0000-0000-000005000000}"/>
    <cellStyle name="Hyperlink 2 2" xfId="3" xr:uid="{00000000-0005-0000-0000-000003000000}"/>
    <cellStyle name="Milliers" xfId="1" builtinId="3"/>
    <cellStyle name="Normal" xfId="0" builtinId="0"/>
    <cellStyle name="Normal 2" xfId="2" xr:uid="{00000000-0005-0000-0000-000002000000}"/>
    <cellStyle name="Normal 2 2" xfId="4" xr:uid="{00000000-0005-0000-0000-000004000000}"/>
    <cellStyle name="Percent 2" xfId="6" xr:uid="{00000000-0005-0000-0000-000006000000}"/>
  </cellStyles>
  <dxfs count="6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c:rich>
      </c:tx>
      <c:layout>
        <c:manualLayout>
          <c:xMode val="edge"/>
          <c:yMode val="edge"/>
          <c:x val="0.23700261672234271"/>
          <c:y val="0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RATIOS!$B$98</c:f>
              <c:strCache>
                <c:ptCount val="1"/>
                <c:pt idx="0">
                  <c:v>Free Cash Flow ($M)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RATIOS!$C$97:$H$97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RATIOS!$C$98:$H$98</c:f>
              <c:numCache>
                <c:formatCode>General</c:formatCode>
                <c:ptCount val="6"/>
                <c:pt idx="2" formatCode="&quot;€&quot;#\ ##0;\(&quot;€&quot;#\ ##0\);\-">
                  <c:v>-68092.88</c:v>
                </c:pt>
                <c:pt idx="3" formatCode="&quot;€&quot;#\ ##0;\(&quot;€&quot;#\ ##0\);\-">
                  <c:v>-89071.829999999987</c:v>
                </c:pt>
                <c:pt idx="4" formatCode="&quot;€&quot;#\ ##0;\(&quot;€&quot;#\ ##0\);\-">
                  <c:v>-93213.85</c:v>
                </c:pt>
                <c:pt idx="5" formatCode="&quot;€&quot;#\ ##0;\(&quot;€&quot;#\ ##0\);\-">
                  <c:v>-90929.81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33-4DDD-9EDC-058E75ABCDC5}"/>
            </c:ext>
          </c:extLst>
        </c:ser>
        <c:ser>
          <c:idx val="1"/>
          <c:order val="1"/>
          <c:tx>
            <c:strRef>
              <c:f>RATIOS!$B$99</c:f>
              <c:strCache>
                <c:ptCount val="1"/>
                <c:pt idx="0">
                  <c:v>CapEx ($M)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RATIOS!$C$97:$H$97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RATIOS!$C$99:$H$99</c:f>
              <c:numCache>
                <c:formatCode>General</c:formatCode>
                <c:ptCount val="6"/>
                <c:pt idx="2">
                  <c:v>7172</c:v>
                </c:pt>
                <c:pt idx="3">
                  <c:v>8899</c:v>
                </c:pt>
                <c:pt idx="4">
                  <c:v>11342</c:v>
                </c:pt>
                <c:pt idx="5">
                  <c:v>8527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33-4DDD-9EDC-058E75ABCDC5}"/>
            </c:ext>
          </c:extLst>
        </c:ser>
        <c:ser>
          <c:idx val="2"/>
          <c:order val="2"/>
          <c:tx>
            <c:strRef>
              <c:f>RATIOS!$B$100</c:f>
              <c:strCache>
                <c:ptCount val="1"/>
                <c:pt idx="0">
                  <c:v>Cash from Operations ($M)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RATIOS!$C$97:$H$97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RATIOS!$C$100:$H$100</c:f>
              <c:numCache>
                <c:formatCode>General</c:formatCode>
                <c:ptCount val="6"/>
                <c:pt idx="2" formatCode="#,##0">
                  <c:v>-60920.88</c:v>
                </c:pt>
                <c:pt idx="3" formatCode="#,##0">
                  <c:v>-80172.829999999987</c:v>
                </c:pt>
                <c:pt idx="4" formatCode="#,##0">
                  <c:v>-81871.850000000006</c:v>
                </c:pt>
                <c:pt idx="5" formatCode="#,##0">
                  <c:v>-82402.81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33-4DDD-9EDC-058E75ABC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964032"/>
        <c:axId val="1926950112"/>
      </c:lineChart>
      <c:catAx>
        <c:axId val="192696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50112"/>
        <c:crosses val="autoZero"/>
        <c:auto val="1"/>
        <c:lblAlgn val="ctr"/>
        <c:lblOffset val="100"/>
        <c:noMultiLvlLbl val="0"/>
      </c:catAx>
      <c:valAx>
        <c:axId val="19269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6403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RATIOS!$B$104</c:f>
              <c:strCache>
                <c:ptCount val="1"/>
                <c:pt idx="0">
                  <c:v>Return on Equity (ROE)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RATIOS!$C$103:$H$103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RATIOS!$C$104:$H$104</c:f>
              <c:numCache>
                <c:formatCode>General</c:formatCode>
                <c:ptCount val="6"/>
                <c:pt idx="2" formatCode="0.0%">
                  <c:v>5375.965097402599</c:v>
                </c:pt>
                <c:pt idx="3" formatCode="0.0%">
                  <c:v>6989.4505672609394</c:v>
                </c:pt>
                <c:pt idx="4" formatCode="0.0%">
                  <c:v>7165.3552311435515</c:v>
                </c:pt>
                <c:pt idx="5" formatCode="0.0%">
                  <c:v>7141.1198380566811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AE-4726-A994-2DA417E6D30C}"/>
            </c:ext>
          </c:extLst>
        </c:ser>
        <c:ser>
          <c:idx val="1"/>
          <c:order val="1"/>
          <c:tx>
            <c:strRef>
              <c:f>RATIOS!$B$105</c:f>
              <c:strCache>
                <c:ptCount val="1"/>
                <c:pt idx="0">
                  <c:v>Return on Assets (ROA)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RATIOS!$C$103:$H$103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RATIOS!$C$105:$H$105</c:f>
              <c:numCache>
                <c:formatCode>General</c:formatCode>
                <c:ptCount val="6"/>
                <c:pt idx="2" formatCode="0.0%">
                  <c:v>-1.164557698732263</c:v>
                </c:pt>
                <c:pt idx="3" formatCode="0.0%">
                  <c:v>-1.2818771178883537</c:v>
                </c:pt>
                <c:pt idx="4" formatCode="0.0%">
                  <c:v>-1.1847768044047728</c:v>
                </c:pt>
                <c:pt idx="5" formatCode="0.0%">
                  <c:v>-1.0723835028716557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AE-4726-A994-2DA417E6D30C}"/>
            </c:ext>
          </c:extLst>
        </c:ser>
        <c:ser>
          <c:idx val="2"/>
          <c:order val="2"/>
          <c:tx>
            <c:strRef>
              <c:f>RATIOS!$B$106</c:f>
              <c:strCache>
                <c:ptCount val="1"/>
                <c:pt idx="0">
                  <c:v>Return on Invested Capital (ROIC)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RATIOS!$C$103:$H$103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RATIOS!$C$106:$H$106</c:f>
              <c:numCache>
                <c:formatCode>General</c:formatCode>
                <c:ptCount val="6"/>
                <c:pt idx="2" formatCode="0.0%">
                  <c:v>0</c:v>
                </c:pt>
                <c:pt idx="3" formatCode="0.0%">
                  <c:v>0</c:v>
                </c:pt>
                <c:pt idx="4" formatCode="0.0%">
                  <c:v>0</c:v>
                </c:pt>
                <c:pt idx="5" formatCode="0.0%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AE-4726-A994-2DA417E6D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9670816"/>
        <c:axId val="1919671296"/>
      </c:lineChart>
      <c:catAx>
        <c:axId val="191967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1296"/>
        <c:crosses val="autoZero"/>
        <c:auto val="1"/>
        <c:lblAlgn val="ctr"/>
        <c:lblOffset val="100"/>
        <c:noMultiLvlLbl val="0"/>
      </c:catAx>
      <c:valAx>
        <c:axId val="191967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081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'RAB SOTP VALUATION'!$B$119</c:f>
              <c:strCache>
                <c:ptCount val="1"/>
                <c:pt idx="0">
                  <c:v>UFCF</c:v>
                </c:pt>
              </c:strCache>
            </c:strRef>
          </c:tx>
          <c:spPr>
            <a:solidFill>
              <a:srgbClr val="1B3E70"/>
            </a:solidFill>
            <a:ln>
              <a:solidFill>
                <a:srgbClr val="1B3E70"/>
              </a:solidFill>
              <a:prstDash val="solid"/>
            </a:ln>
          </c:spPr>
          <c:invertIfNegative val="0"/>
          <c:cat>
            <c:strRef>
              <c:f>'RAB SOTP VALUATION'!$C$118:$G$118</c:f>
              <c:strCache>
                <c:ptCount val="5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</c:strCache>
            </c:strRef>
          </c:cat>
          <c:val>
            <c:numRef>
              <c:f>'RAB SOTP VALUATION'!$C$119:$G$119</c:f>
              <c:numCache>
                <c:formatCode>_(#\ ##0_);\(#\ ##0\);_("–"_);_(@_)</c:formatCode>
                <c:ptCount val="5"/>
                <c:pt idx="0">
                  <c:v>-2308.2767500000004</c:v>
                </c:pt>
                <c:pt idx="1">
                  <c:v>-2423.6905874999989</c:v>
                </c:pt>
                <c:pt idx="2">
                  <c:v>-2544.8751168749991</c:v>
                </c:pt>
                <c:pt idx="3">
                  <c:v>-2672.11887271875</c:v>
                </c:pt>
                <c:pt idx="4">
                  <c:v>-2805.7248163546865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A-4ADA-A4D6-BDB7BB091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3977584"/>
        <c:axId val="1373965104"/>
      </c:barChart>
      <c:catAx>
        <c:axId val="137397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65104"/>
        <c:crosses val="autoZero"/>
        <c:auto val="1"/>
        <c:lblAlgn val="ctr"/>
        <c:lblOffset val="100"/>
        <c:noMultiLvlLbl val="0"/>
      </c:catAx>
      <c:valAx>
        <c:axId val="137396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77584"/>
        <c:crosses val="autoZero"/>
        <c:crossBetween val="between"/>
        <c:majorUnit val="30000"/>
      </c:valAx>
    </c:plotArea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'RAB SOTP VALUATION'!$L$102</c:f>
              <c:strCache>
                <c:ptCount val="1"/>
                <c:pt idx="0">
                  <c:v>g=0%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'RAB SOTP VALUATION'!$M$101:$Q$101</c:f>
              <c:strCache>
                <c:ptCount val="5"/>
                <c:pt idx="0">
                  <c:v>11%</c:v>
                </c:pt>
                <c:pt idx="1">
                  <c:v>12%</c:v>
                </c:pt>
                <c:pt idx="2">
                  <c:v>13%</c:v>
                </c:pt>
                <c:pt idx="3">
                  <c:v>14%</c:v>
                </c:pt>
                <c:pt idx="4">
                  <c:v>15%</c:v>
                </c:pt>
              </c:strCache>
            </c:strRef>
          </c:cat>
          <c:val>
            <c:numRef>
              <c:f>'RAB SOTP VALUATION'!$M$102:$Q$102</c:f>
              <c:numCache>
                <c:formatCode>General</c:formatCode>
                <c:ptCount val="5"/>
                <c:pt idx="0">
                  <c:v>-720.47615084163442</c:v>
                </c:pt>
                <c:pt idx="1">
                  <c:v>-676.44578918696709</c:v>
                </c:pt>
                <c:pt idx="2" formatCode="&quot;€&quot;#\ ##0">
                  <c:v>-639.8787586657121</c:v>
                </c:pt>
                <c:pt idx="3" formatCode="&quot;€&quot;#\ ##0">
                  <c:v>-609.13723526904801</c:v>
                </c:pt>
                <c:pt idx="4" formatCode="&quot;€&quot;#\ ##0">
                  <c:v>-583.02258511692253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A3-4EA8-9061-EA51AB5AD5B8}"/>
            </c:ext>
          </c:extLst>
        </c:ser>
        <c:ser>
          <c:idx val="1"/>
          <c:order val="1"/>
          <c:tx>
            <c:strRef>
              <c:f>'RAB SOTP VALUATION'!$L$103</c:f>
              <c:strCache>
                <c:ptCount val="1"/>
                <c:pt idx="0">
                  <c:v>g=1%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'RAB SOTP VALUATION'!$M$101:$Q$101</c:f>
              <c:strCache>
                <c:ptCount val="5"/>
                <c:pt idx="0">
                  <c:v>11%</c:v>
                </c:pt>
                <c:pt idx="1">
                  <c:v>12%</c:v>
                </c:pt>
                <c:pt idx="2">
                  <c:v>13%</c:v>
                </c:pt>
                <c:pt idx="3">
                  <c:v>14%</c:v>
                </c:pt>
                <c:pt idx="4">
                  <c:v>15%</c:v>
                </c:pt>
              </c:strCache>
            </c:strRef>
          </c:cat>
          <c:val>
            <c:numRef>
              <c:f>'RAB SOTP VALUATION'!$M$103:$Q$103</c:f>
              <c:numCache>
                <c:formatCode>"€"#\ ##0</c:formatCode>
                <c:ptCount val="5"/>
                <c:pt idx="0">
                  <c:v>-760.0384867769028</c:v>
                </c:pt>
                <c:pt idx="1">
                  <c:v>-708.25316806572334</c:v>
                </c:pt>
                <c:pt idx="2">
                  <c:v>-665.85293248312314</c:v>
                </c:pt>
                <c:pt idx="3">
                  <c:v>-630.63011586953894</c:v>
                </c:pt>
                <c:pt idx="4">
                  <c:v>-601.01043894330883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A3-4EA8-9061-EA51AB5AD5B8}"/>
            </c:ext>
          </c:extLst>
        </c:ser>
        <c:ser>
          <c:idx val="2"/>
          <c:order val="2"/>
          <c:tx>
            <c:strRef>
              <c:f>'RAB SOTP VALUATION'!$L$104</c:f>
              <c:strCache>
                <c:ptCount val="1"/>
                <c:pt idx="0">
                  <c:v>g=2%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'RAB SOTP VALUATION'!$M$101:$Q$101</c:f>
              <c:strCache>
                <c:ptCount val="5"/>
                <c:pt idx="0">
                  <c:v>11%</c:v>
                </c:pt>
                <c:pt idx="1">
                  <c:v>12%</c:v>
                </c:pt>
                <c:pt idx="2">
                  <c:v>13%</c:v>
                </c:pt>
                <c:pt idx="3">
                  <c:v>14%</c:v>
                </c:pt>
                <c:pt idx="4">
                  <c:v>15%</c:v>
                </c:pt>
              </c:strCache>
            </c:strRef>
          </c:cat>
          <c:val>
            <c:numRef>
              <c:f>'RAB SOTP VALUATION'!$M$104:$Q$104</c:f>
              <c:numCache>
                <c:formatCode>"€"#\ ##0</c:formatCode>
                <c:ptCount val="5"/>
                <c:pt idx="0">
                  <c:v>-808.39147618073446</c:v>
                </c:pt>
                <c:pt idx="1">
                  <c:v>-746.42138663626179</c:v>
                </c:pt>
                <c:pt idx="2">
                  <c:v>-696.54925407208441</c:v>
                </c:pt>
                <c:pt idx="3">
                  <c:v>-655.7048447494218</c:v>
                </c:pt>
                <c:pt idx="4">
                  <c:v>-621.76544203919536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A3-4EA8-9061-EA51AB5AD5B8}"/>
            </c:ext>
          </c:extLst>
        </c:ser>
        <c:ser>
          <c:idx val="3"/>
          <c:order val="3"/>
          <c:tx>
            <c:strRef>
              <c:f>'RAB SOTP VALUATION'!$L$105</c:f>
              <c:strCache>
                <c:ptCount val="1"/>
                <c:pt idx="0">
                  <c:v>g=3% (Base)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cat>
            <c:strRef>
              <c:f>'RAB SOTP VALUATION'!$M$101:$Q$101</c:f>
              <c:strCache>
                <c:ptCount val="5"/>
                <c:pt idx="0">
                  <c:v>11%</c:v>
                </c:pt>
                <c:pt idx="1">
                  <c:v>12%</c:v>
                </c:pt>
                <c:pt idx="2">
                  <c:v>13%</c:v>
                </c:pt>
                <c:pt idx="3">
                  <c:v>14%</c:v>
                </c:pt>
                <c:pt idx="4">
                  <c:v>15%</c:v>
                </c:pt>
              </c:strCache>
            </c:strRef>
          </c:cat>
          <c:val>
            <c:numRef>
              <c:f>'RAB SOTP VALUATION'!$M$105:$Q$105</c:f>
              <c:numCache>
                <c:formatCode>"€"#\ ##0</c:formatCode>
                <c:ptCount val="5"/>
                <c:pt idx="0">
                  <c:v>-868.83120209346021</c:v>
                </c:pt>
                <c:pt idx="1">
                  <c:v>-793.07048923536104</c:v>
                </c:pt>
                <c:pt idx="2">
                  <c:v>-733.38422611379258</c:v>
                </c:pt>
                <c:pt idx="3">
                  <c:v>-685.33820082317482</c:v>
                </c:pt>
                <c:pt idx="4">
                  <c:v>-645.97932407781775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A3-4EA8-9061-EA51AB5AD5B8}"/>
            </c:ext>
          </c:extLst>
        </c:ser>
        <c:ser>
          <c:idx val="4"/>
          <c:order val="4"/>
          <c:tx>
            <c:strRef>
              <c:f>'RAB SOTP VALUATION'!$L$106</c:f>
              <c:strCache>
                <c:ptCount val="1"/>
                <c:pt idx="0">
                  <c:v>g=4%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'RAB SOTP VALUATION'!$M$101:$Q$101</c:f>
              <c:strCache>
                <c:ptCount val="5"/>
                <c:pt idx="0">
                  <c:v>11%</c:v>
                </c:pt>
                <c:pt idx="1">
                  <c:v>12%</c:v>
                </c:pt>
                <c:pt idx="2">
                  <c:v>13%</c:v>
                </c:pt>
                <c:pt idx="3">
                  <c:v>14%</c:v>
                </c:pt>
                <c:pt idx="4">
                  <c:v>15%</c:v>
                </c:pt>
              </c:strCache>
            </c:strRef>
          </c:cat>
          <c:val>
            <c:numRef>
              <c:f>'RAB SOTP VALUATION'!$M$106:$Q$106</c:f>
              <c:numCache>
                <c:formatCode>"€"#\ ##0</c:formatCode>
                <c:ptCount val="5"/>
                <c:pt idx="0">
                  <c:v>-946.53695454888725</c:v>
                </c:pt>
                <c:pt idx="1">
                  <c:v>-851.38040988197929</c:v>
                </c:pt>
                <c:pt idx="2">
                  <c:v>-778.40383809366483</c:v>
                </c:pt>
                <c:pt idx="3">
                  <c:v>-720.89763550381781</c:v>
                </c:pt>
                <c:pt idx="4">
                  <c:v>-674.5953299303884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A3-4EA8-9061-EA51AB5AD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412480"/>
        <c:axId val="211413440"/>
      </c:lineChart>
      <c:catAx>
        <c:axId val="21141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13440"/>
        <c:crosses val="autoZero"/>
        <c:auto val="1"/>
        <c:lblAlgn val="ctr"/>
        <c:lblOffset val="100"/>
        <c:noMultiLvlLbl val="0"/>
      </c:catAx>
      <c:valAx>
        <c:axId val="21141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1248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'RAB SOTP VALUATION'!$C$121:$G$121</c:f>
              <c:strCache>
                <c:ptCount val="5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</c:strCache>
            </c:strRef>
          </c:cat>
          <c:val>
            <c:numRef>
              <c:f>'RAB SOTP VALUATION'!$C$122:$G$122</c:f>
              <c:numCache>
                <c:formatCode>_(#\ ##0_);\(#\ ##0\);_("–"_);_(@_)</c:formatCode>
                <c:ptCount val="5"/>
                <c:pt idx="0">
                  <c:v>2205</c:v>
                </c:pt>
                <c:pt idx="1">
                  <c:v>2315.25</c:v>
                </c:pt>
                <c:pt idx="2">
                  <c:v>2431.0125000000003</c:v>
                </c:pt>
                <c:pt idx="3">
                  <c:v>2552.5631250000006</c:v>
                </c:pt>
                <c:pt idx="4">
                  <c:v>2680.1912812500009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EA-41AA-B89C-42ECC25C3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442720"/>
        <c:axId val="211471040"/>
      </c:lineChart>
      <c:catAx>
        <c:axId val="21144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71040"/>
        <c:crosses val="autoZero"/>
        <c:auto val="1"/>
        <c:lblAlgn val="ctr"/>
        <c:lblOffset val="100"/>
        <c:noMultiLvlLbl val="0"/>
      </c:catAx>
      <c:valAx>
        <c:axId val="21147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\ ##0_);\(#\ ##0\);_(&quot;–&quot;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4272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COMPARABLES!$B$45</c:f>
              <c:strCache>
                <c:ptCount val="1"/>
                <c:pt idx="0">
                  <c:v>NextEra Energy, Inc.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COMPARABLES!$C$44:$D$44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COMPARABLES!$C$45:$D$45</c:f>
              <c:numCache>
                <c:formatCode>0.0\x</c:formatCode>
                <c:ptCount val="2"/>
                <c:pt idx="0">
                  <c:v>15.2</c:v>
                </c:pt>
                <c:pt idx="1">
                  <c:v>2.8000000000000001E-2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5D-42E2-A292-4FE408001432}"/>
            </c:ext>
          </c:extLst>
        </c:ser>
        <c:ser>
          <c:idx val="1"/>
          <c:order val="1"/>
          <c:tx>
            <c:strRef>
              <c:f>COMPARABLES!$B$46</c:f>
              <c:strCache>
                <c:ptCount val="1"/>
                <c:pt idx="0">
                  <c:v>Duke Energy Corporation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COMPARABLES!$C$44:$D$44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COMPARABLES!$C$46:$D$46</c:f>
              <c:numCache>
                <c:formatCode>0.0%</c:formatCode>
                <c:ptCount val="2"/>
                <c:pt idx="0" formatCode="0.0\x">
                  <c:v>13.8</c:v>
                </c:pt>
                <c:pt idx="1">
                  <c:v>3.4000000000000002E-2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5D-42E2-A292-4FE408001432}"/>
            </c:ext>
          </c:extLst>
        </c:ser>
        <c:ser>
          <c:idx val="2"/>
          <c:order val="2"/>
          <c:tx>
            <c:strRef>
              <c:f>COMPARABLES!$B$47</c:f>
              <c:strCache>
                <c:ptCount val="1"/>
                <c:pt idx="0">
                  <c:v>The Southern Company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COMPARABLES!$C$44:$D$44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COMPARABLES!$C$47:$D$47</c:f>
              <c:numCache>
                <c:formatCode>0.0%</c:formatCode>
                <c:ptCount val="2"/>
                <c:pt idx="0" formatCode="0.0\x">
                  <c:v>14.1</c:v>
                </c:pt>
                <c:pt idx="1">
                  <c:v>3.2000000000000001E-2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5D-42E2-A292-4FE408001432}"/>
            </c:ext>
          </c:extLst>
        </c:ser>
        <c:ser>
          <c:idx val="3"/>
          <c:order val="3"/>
          <c:tx>
            <c:strRef>
              <c:f>COMPARABLES!$B$48</c:f>
              <c:strCache>
                <c:ptCount val="1"/>
                <c:pt idx="0">
                  <c:v>Dominion Energy, Inc.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COMPARABLES!$C$44:$D$44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COMPARABLES!$C$48:$D$48</c:f>
              <c:numCache>
                <c:formatCode>0.0%</c:formatCode>
                <c:ptCount val="2"/>
                <c:pt idx="0" formatCode="0.0\x">
                  <c:v>10.4</c:v>
                </c:pt>
                <c:pt idx="1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5D-42E2-A292-4FE408001432}"/>
            </c:ext>
          </c:extLst>
        </c:ser>
        <c:ser>
          <c:idx val="4"/>
          <c:order val="4"/>
          <c:tx>
            <c:strRef>
              <c:f>COMPARABLES!$B$49</c:f>
              <c:strCache>
                <c:ptCount val="1"/>
                <c:pt idx="0">
                  <c:v>American Electric Power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COMPARABLES!$C$44:$D$44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COMPARABLES!$C$49:$D$49</c:f>
              <c:numCache>
                <c:formatCode>0.0%</c:formatCode>
                <c:ptCount val="2"/>
                <c:pt idx="0" formatCode="0.0\x">
                  <c:v>12.9</c:v>
                </c:pt>
                <c:pt idx="1">
                  <c:v>3.5999999999999997E-2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5D-42E2-A292-4FE408001432}"/>
            </c:ext>
          </c:extLst>
        </c:ser>
        <c:ser>
          <c:idx val="5"/>
          <c:order val="5"/>
          <c:tx>
            <c:strRef>
              <c:f>COMPARABLES!$B$50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COMPARABLES!$C$44:$D$44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COMPARABLES!$C$50:$D$50</c:f>
              <c:numCache>
                <c:formatCode>0.0%</c:formatCode>
                <c:ptCount val="2"/>
                <c:pt idx="0" formatCode="0.0\x">
                  <c:v>13.280000000000001</c:v>
                </c:pt>
                <c:pt idx="1">
                  <c:v>3.5400000000000001E-2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5D-42E2-A292-4FE408001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64804656"/>
        <c:axId val="2064801296"/>
      </c:barChart>
      <c:catAx>
        <c:axId val="206480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1296"/>
        <c:crosses val="autoZero"/>
        <c:auto val="1"/>
        <c:lblAlgn val="ctr"/>
        <c:lblOffset val="100"/>
        <c:noMultiLvlLbl val="0"/>
      </c:catAx>
      <c:valAx>
        <c:axId val="20648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\x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465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COMPARABLES!$H$52</c:f>
              <c:strCache>
                <c:ptCount val="1"/>
                <c:pt idx="0">
                  <c:v>Method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COMPARABLES!$I$51:$K$51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COMPARABLES!$I$52:$K$52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4D-46AD-936A-7BC99B907943}"/>
            </c:ext>
          </c:extLst>
        </c:ser>
        <c:ser>
          <c:idx val="1"/>
          <c:order val="1"/>
          <c:tx>
            <c:strRef>
              <c:f>COMPARABLES!$H$53</c:f>
              <c:strCache>
                <c:ptCount val="1"/>
                <c:pt idx="0">
                  <c:v>EV/EBITDA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COMPARABLES!$I$51:$K$51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COMPARABLES!$I$53:$K$53</c:f>
              <c:numCache>
                <c:formatCode>General</c:formatCode>
                <c:ptCount val="3"/>
                <c:pt idx="0">
                  <c:v>-1281.482769665568</c:v>
                </c:pt>
                <c:pt idx="1">
                  <c:v>-1454.9169100329727</c:v>
                </c:pt>
                <c:pt idx="2" formatCode="#,##0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4D-46AD-936A-7BC99B907943}"/>
            </c:ext>
          </c:extLst>
        </c:ser>
        <c:ser>
          <c:idx val="2"/>
          <c:order val="2"/>
          <c:tx>
            <c:strRef>
              <c:f>COMPARABLES!$H$54</c:f>
              <c:strCache>
                <c:ptCount val="1"/>
                <c:pt idx="0">
                  <c:v>P/RAB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COMPARABLES!$I$51:$K$51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COMPARABLES!$I$54:$K$54</c:f>
              <c:numCache>
                <c:formatCode>General</c:formatCode>
                <c:ptCount val="3"/>
                <c:pt idx="0">
                  <c:v>-1281.482769665568</c:v>
                </c:pt>
                <c:pt idx="1">
                  <c:v>-1454.9169100329727</c:v>
                </c:pt>
                <c:pt idx="2" formatCode="#,##0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4D-46AD-936A-7BC99B907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4802736"/>
        <c:axId val="2064819536"/>
      </c:barChart>
      <c:catAx>
        <c:axId val="206480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19536"/>
        <c:crosses val="autoZero"/>
        <c:auto val="1"/>
        <c:lblAlgn val="ctr"/>
        <c:lblOffset val="100"/>
        <c:noMultiLvlLbl val="0"/>
      </c:catAx>
      <c:valAx>
        <c:axId val="206481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27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by Scenario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SCENARIOS!$B$38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SCENARIOS!$C$37:$H$37</c:f>
              <c:strCache>
                <c:ptCount val="6"/>
                <c:pt idx="1">
                  <c:v>2026F</c:v>
                </c:pt>
                <c:pt idx="2">
                  <c:v>2027F</c:v>
                </c:pt>
                <c:pt idx="3">
                  <c:v>2028F</c:v>
                </c:pt>
                <c:pt idx="4">
                  <c:v>2029F</c:v>
                </c:pt>
                <c:pt idx="5">
                  <c:v>2030F</c:v>
                </c:pt>
              </c:strCache>
            </c:strRef>
          </c:cat>
          <c:val>
            <c:numRef>
              <c:f>SCENARIOS!$C$38:$H$38</c:f>
              <c:numCache>
                <c:formatCode>#,##0</c:formatCode>
                <c:ptCount val="6"/>
                <c:pt idx="1">
                  <c:v>2163</c:v>
                </c:pt>
                <c:pt idx="2">
                  <c:v>2227.89</c:v>
                </c:pt>
                <c:pt idx="3">
                  <c:v>2294.7266999999997</c:v>
                </c:pt>
                <c:pt idx="4">
                  <c:v>2363.5685009999997</c:v>
                </c:pt>
                <c:pt idx="5">
                  <c:v>2434.47555603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1F-4161-B40F-ADF373E36BEB}"/>
            </c:ext>
          </c:extLst>
        </c:ser>
        <c:ser>
          <c:idx val="1"/>
          <c:order val="1"/>
          <c:tx>
            <c:strRef>
              <c:f>SCENARIOS!$B$39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SCENARIOS!$C$37:$H$37</c:f>
              <c:strCache>
                <c:ptCount val="6"/>
                <c:pt idx="1">
                  <c:v>2026F</c:v>
                </c:pt>
                <c:pt idx="2">
                  <c:v>2027F</c:v>
                </c:pt>
                <c:pt idx="3">
                  <c:v>2028F</c:v>
                </c:pt>
                <c:pt idx="4">
                  <c:v>2029F</c:v>
                </c:pt>
                <c:pt idx="5">
                  <c:v>2030F</c:v>
                </c:pt>
              </c:strCache>
            </c:strRef>
          </c:cat>
          <c:val>
            <c:numRef>
              <c:f>SCENARIOS!$C$39:$H$39</c:f>
              <c:numCache>
                <c:formatCode>#,##0</c:formatCode>
                <c:ptCount val="6"/>
                <c:pt idx="1">
                  <c:v>2205</c:v>
                </c:pt>
                <c:pt idx="2">
                  <c:v>2315.25</c:v>
                </c:pt>
                <c:pt idx="3">
                  <c:v>2431.0125000000003</c:v>
                </c:pt>
                <c:pt idx="4">
                  <c:v>2552.5631250000006</c:v>
                </c:pt>
                <c:pt idx="5">
                  <c:v>2680.1912812500009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F-4161-B40F-ADF373E36BEB}"/>
            </c:ext>
          </c:extLst>
        </c:ser>
        <c:ser>
          <c:idx val="2"/>
          <c:order val="2"/>
          <c:tx>
            <c:strRef>
              <c:f>SCENARIOS!$B$40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SCENARIOS!$C$37:$H$37</c:f>
              <c:strCache>
                <c:ptCount val="6"/>
                <c:pt idx="1">
                  <c:v>2026F</c:v>
                </c:pt>
                <c:pt idx="2">
                  <c:v>2027F</c:v>
                </c:pt>
                <c:pt idx="3">
                  <c:v>2028F</c:v>
                </c:pt>
                <c:pt idx="4">
                  <c:v>2029F</c:v>
                </c:pt>
                <c:pt idx="5">
                  <c:v>2030F</c:v>
                </c:pt>
              </c:strCache>
            </c:strRef>
          </c:cat>
          <c:val>
            <c:numRef>
              <c:f>SCENARIOS!$C$40:$H$40</c:f>
              <c:numCache>
                <c:formatCode>#,##0</c:formatCode>
                <c:ptCount val="6"/>
                <c:pt idx="1">
                  <c:v>2268</c:v>
                </c:pt>
                <c:pt idx="2">
                  <c:v>2449.44</c:v>
                </c:pt>
                <c:pt idx="3">
                  <c:v>2645.3952000000004</c:v>
                </c:pt>
                <c:pt idx="4">
                  <c:v>2857.0268160000005</c:v>
                </c:pt>
                <c:pt idx="5">
                  <c:v>3085.5889612800006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1F-4161-B40F-ADF373E36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888191"/>
        <c:axId val="1333880031"/>
      </c:lineChart>
      <c:catAx>
        <c:axId val="133388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3880031"/>
        <c:crosses val="autoZero"/>
        <c:auto val="1"/>
        <c:lblAlgn val="ctr"/>
        <c:lblOffset val="100"/>
        <c:noMultiLvlLbl val="0"/>
      </c:catAx>
      <c:valAx>
        <c:axId val="133388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388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EBITDA Projection by Scenario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SCENARIOS!$B$44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SCENARIOS!$C$43:$H$43</c:f>
              <c:strCache>
                <c:ptCount val="6"/>
                <c:pt idx="1">
                  <c:v>2026F</c:v>
                </c:pt>
                <c:pt idx="2">
                  <c:v>2027F</c:v>
                </c:pt>
                <c:pt idx="3">
                  <c:v>2028F</c:v>
                </c:pt>
                <c:pt idx="4">
                  <c:v>2029F</c:v>
                </c:pt>
                <c:pt idx="5">
                  <c:v>2030F</c:v>
                </c:pt>
              </c:strCache>
            </c:strRef>
          </c:cat>
          <c:val>
            <c:numRef>
              <c:f>SCENARIOS!$C$44:$H$44</c:f>
              <c:numCache>
                <c:formatCode>#,##0</c:formatCode>
                <c:ptCount val="6"/>
                <c:pt idx="1">
                  <c:v>485.1</c:v>
                </c:pt>
                <c:pt idx="2">
                  <c:v>509.35500000000002</c:v>
                </c:pt>
                <c:pt idx="3">
                  <c:v>534.82275000000004</c:v>
                </c:pt>
                <c:pt idx="4">
                  <c:v>561.56388750000008</c:v>
                </c:pt>
                <c:pt idx="5">
                  <c:v>589.64208187500014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D-4B2C-AB48-B8A3EBAB388C}"/>
            </c:ext>
          </c:extLst>
        </c:ser>
        <c:ser>
          <c:idx val="1"/>
          <c:order val="1"/>
          <c:tx>
            <c:strRef>
              <c:f>SCENARIOS!$B$45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SCENARIOS!$C$43:$H$43</c:f>
              <c:strCache>
                <c:ptCount val="6"/>
                <c:pt idx="1">
                  <c:v>2026F</c:v>
                </c:pt>
                <c:pt idx="2">
                  <c:v>2027F</c:v>
                </c:pt>
                <c:pt idx="3">
                  <c:v>2028F</c:v>
                </c:pt>
                <c:pt idx="4">
                  <c:v>2029F</c:v>
                </c:pt>
                <c:pt idx="5">
                  <c:v>2030F</c:v>
                </c:pt>
              </c:strCache>
            </c:strRef>
          </c:cat>
          <c:val>
            <c:numRef>
              <c:f>SCENARIOS!$C$45:$H$45</c:f>
              <c:numCache>
                <c:formatCode>#,##0</c:formatCode>
                <c:ptCount val="6"/>
                <c:pt idx="1">
                  <c:v>635.04000000000008</c:v>
                </c:pt>
                <c:pt idx="2">
                  <c:v>685.84320000000002</c:v>
                </c:pt>
                <c:pt idx="3">
                  <c:v>740.7106560000002</c:v>
                </c:pt>
                <c:pt idx="4">
                  <c:v>799.96750848000022</c:v>
                </c:pt>
                <c:pt idx="5">
                  <c:v>863.96490915840025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D-4B2C-AB48-B8A3EBAB388C}"/>
            </c:ext>
          </c:extLst>
        </c:ser>
        <c:ser>
          <c:idx val="2"/>
          <c:order val="2"/>
          <c:tx>
            <c:strRef>
              <c:f>SCENARIOS!$B$46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SCENARIOS!$C$43:$H$43</c:f>
              <c:strCache>
                <c:ptCount val="6"/>
                <c:pt idx="1">
                  <c:v>2026F</c:v>
                </c:pt>
                <c:pt idx="2">
                  <c:v>2027F</c:v>
                </c:pt>
                <c:pt idx="3">
                  <c:v>2028F</c:v>
                </c:pt>
                <c:pt idx="4">
                  <c:v>2029F</c:v>
                </c:pt>
                <c:pt idx="5">
                  <c:v>2030F</c:v>
                </c:pt>
              </c:strCache>
            </c:strRef>
          </c:cat>
          <c:val>
            <c:numRef>
              <c:f>SCENARIOS!$C$46:$H$46</c:f>
              <c:numCache>
                <c:formatCode>#,##0</c:formatCode>
                <c:ptCount val="6"/>
                <c:pt idx="1">
                  <c:v>771.12</c:v>
                </c:pt>
                <c:pt idx="2">
                  <c:v>832.80960000000005</c:v>
                </c:pt>
                <c:pt idx="3">
                  <c:v>899.43436800000018</c:v>
                </c:pt>
                <c:pt idx="4">
                  <c:v>971.38911744000029</c:v>
                </c:pt>
                <c:pt idx="5">
                  <c:v>1049.1002468352003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CD-4B2C-AB48-B8A3EBAB3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883391"/>
        <c:axId val="1333884831"/>
      </c:lineChart>
      <c:catAx>
        <c:axId val="133388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3884831"/>
        <c:crosses val="autoZero"/>
        <c:auto val="1"/>
        <c:lblAlgn val="ctr"/>
        <c:lblOffset val="100"/>
        <c:noMultiLvlLbl val="0"/>
      </c:catAx>
      <c:valAx>
        <c:axId val="133388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_);[Red]\(&quot;€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388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DASHBOARD!$J$84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DASHBOARD!$K$83:$N$83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DASHBOARD!$K$84:$N$84</c:f>
              <c:numCache>
                <c:formatCode>0</c:formatCode>
                <c:ptCount val="4"/>
                <c:pt idx="0">
                  <c:v>-0.49507499999999999</c:v>
                </c:pt>
                <c:pt idx="1">
                  <c:v>-0.51741999999999999</c:v>
                </c:pt>
                <c:pt idx="2">
                  <c:v>-0.43577777777777776</c:v>
                </c:pt>
                <c:pt idx="3" formatCode="General">
                  <c:v>-0.3601571428571429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5E-4396-ABD1-4648E5EF9F9D}"/>
            </c:ext>
          </c:extLst>
        </c:ser>
        <c:ser>
          <c:idx val="1"/>
          <c:order val="1"/>
          <c:tx>
            <c:strRef>
              <c:f>DASHBOARD!$J$85</c:f>
              <c:strCache>
                <c:ptCount val="1"/>
                <c:pt idx="0">
                  <c:v>EBITDA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DASHBOARD!$K$83:$N$83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DASHBOARD!$K$85:$N$85</c:f>
              <c:numCache>
                <c:formatCode>General</c:formatCode>
                <c:ptCount val="4"/>
                <c:pt idx="0">
                  <c:v>-0.52070074999999993</c:v>
                </c:pt>
                <c:pt idx="1">
                  <c:v>-0.54388019999999992</c:v>
                </c:pt>
                <c:pt idx="2">
                  <c:v>-0.46100016666666671</c:v>
                </c:pt>
                <c:pt idx="3">
                  <c:v>-0.39068590476190479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5E-4396-ABD1-4648E5EF9F9D}"/>
            </c:ext>
          </c:extLst>
        </c:ser>
        <c:ser>
          <c:idx val="2"/>
          <c:order val="2"/>
          <c:tx>
            <c:strRef>
              <c:f>DASHBOARD!$J$86</c:f>
              <c:strCache>
                <c:ptCount val="1"/>
                <c:pt idx="0">
                  <c:v>Net Margin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DASHBOARD!$K$83:$N$83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DASHBOARD!$K$86:$N$86</c:f>
              <c:numCache>
                <c:formatCode>General</c:formatCode>
                <c:ptCount val="4"/>
                <c:pt idx="0">
                  <c:v>-0.5519324166666667</c:v>
                </c:pt>
                <c:pt idx="1">
                  <c:v>-0.57499879999999992</c:v>
                </c:pt>
                <c:pt idx="2">
                  <c:v>-0.49082683333333338</c:v>
                </c:pt>
                <c:pt idx="3">
                  <c:v>-0.41996585714285717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5E-4396-ABD1-4648E5EF9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799856"/>
        <c:axId val="2064804176"/>
      </c:lineChart>
      <c:catAx>
        <c:axId val="206479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4176"/>
        <c:crosses val="autoZero"/>
        <c:auto val="1"/>
        <c:lblAlgn val="ctr"/>
        <c:lblOffset val="100"/>
        <c:noMultiLvlLbl val="0"/>
      </c:catAx>
      <c:valAx>
        <c:axId val="206480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79985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SG&amp;A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DASHBOARD!$K$88:$N$88</c:f>
              <c:strCache>
                <c:ptCount val="4"/>
                <c:pt idx="3">
                  <c:v>2025 (LTM)</c:v>
                </c:pt>
              </c:strCache>
            </c:strRef>
          </c:cat>
          <c:val>
            <c:numRef>
              <c:f>DASHBOARD!$K$89:$N$89</c:f>
              <c:numCache>
                <c:formatCode>0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 formatCode="General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F9-4302-A564-39725771FDA5}"/>
            </c:ext>
          </c:extLst>
        </c:ser>
        <c:ser>
          <c:idx val="1"/>
          <c:order val="1"/>
          <c:tx>
            <c:v>R&amp;D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DASHBOARD!$K$88:$N$88</c:f>
              <c:strCache>
                <c:ptCount val="4"/>
                <c:pt idx="3">
                  <c:v>2025 (LTM)</c:v>
                </c:pt>
              </c:strCache>
            </c:strRef>
          </c:cat>
          <c:val>
            <c:numRef>
              <c:f>DASHBOARD!$K$90:$N$90</c:f>
              <c:numCache>
                <c:formatCode>General</c:formatCode>
                <c:ptCount val="4"/>
                <c:pt idx="0">
                  <c:v>0.09</c:v>
                </c:pt>
                <c:pt idx="1">
                  <c:v>0.03</c:v>
                </c:pt>
                <c:pt idx="2">
                  <c:v>0.03</c:v>
                </c:pt>
                <c:pt idx="3">
                  <c:v>6411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F9-4302-A564-39725771FDA5}"/>
            </c:ext>
          </c:extLst>
        </c:ser>
        <c:ser>
          <c:idx val="2"/>
          <c:order val="2"/>
          <c:tx>
            <c:v>D&amp;A</c:v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DASHBOARD!$K$88:$N$88</c:f>
              <c:strCache>
                <c:ptCount val="4"/>
                <c:pt idx="3">
                  <c:v>2025 (LTM)</c:v>
                </c:pt>
              </c:strCache>
            </c:strRef>
          </c:cat>
          <c:val>
            <c:numRef>
              <c:f>DASHBOARD!$K$91:$N$91</c:f>
              <c:numCache>
                <c:formatCode>General</c:formatCode>
                <c:ptCount val="4"/>
                <c:pt idx="0">
                  <c:v>3075</c:v>
                </c:pt>
                <c:pt idx="1">
                  <c:v>3969</c:v>
                </c:pt>
                <c:pt idx="2">
                  <c:v>4540</c:v>
                </c:pt>
                <c:pt idx="3">
                  <c:v>6148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F9-4302-A564-39725771FDA5}"/>
            </c:ext>
          </c:extLst>
        </c:ser>
        <c:ser>
          <c:idx val="3"/>
          <c:order val="3"/>
          <c:tx>
            <c:v>Interest</c:v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DASHBOARD!$K$88:$N$88</c:f>
              <c:strCache>
                <c:ptCount val="4"/>
                <c:pt idx="3">
                  <c:v>2025 (LTM)</c:v>
                </c:pt>
              </c:strCache>
            </c:strRef>
          </c:cat>
          <c:val>
            <c:numRef>
              <c:f>DASHBOARD!$K$92:$N$92</c:f>
              <c:numCache>
                <c:formatCode>General</c:formatCode>
                <c:ptCount val="4"/>
                <c:pt idx="0">
                  <c:v>3747</c:v>
                </c:pt>
                <c:pt idx="1">
                  <c:v>4667</c:v>
                </c:pt>
                <c:pt idx="2">
                  <c:v>5368</c:v>
                </c:pt>
                <c:pt idx="3">
                  <c:v>0.79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F9-4302-A564-39725771F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64832016"/>
        <c:axId val="2064833936"/>
      </c:barChart>
      <c:catAx>
        <c:axId val="206483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33936"/>
        <c:crosses val="autoZero"/>
        <c:auto val="1"/>
        <c:lblAlgn val="ctr"/>
        <c:lblOffset val="100"/>
        <c:noMultiLvlLbl val="0"/>
      </c:catAx>
      <c:valAx>
        <c:axId val="206483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3201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DASHBOARD!$S$5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2E8B57"/>
            </a:solidFill>
            <a:ln>
              <a:noFill/>
              <a:prstDash val="solid"/>
            </a:ln>
          </c:spPr>
          <c:invertIfNegative val="0"/>
          <c:cat>
            <c:strRef>
              <c:f>DASHBOARD!$Q$6:$Q$9</c:f>
              <c:strCache>
                <c:ptCount val="4"/>
                <c:pt idx="0">
                  <c:v>2025 (LTM)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DASHBOARD!$S$6:$S$9</c:f>
              <c:numCache>
                <c:formatCode>General</c:formatCode>
                <c:ptCount val="4"/>
                <c:pt idx="0">
                  <c:v>-86249.819999999992</c:v>
                </c:pt>
                <c:pt idx="1">
                  <c:v>-88348.83</c:v>
                </c:pt>
                <c:pt idx="2">
                  <c:v>-88348.83</c:v>
                </c:pt>
                <c:pt idx="3">
                  <c:v>-88192.83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BE-4635-B644-6035E95FC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52320"/>
        <c:axId val="211469120"/>
      </c:barChart>
      <c:barChart>
        <c:barDir val="col"/>
        <c:grouping val="clustered"/>
        <c:varyColors val="0"/>
        <c:ser>
          <c:idx val="0"/>
          <c:order val="0"/>
          <c:tx>
            <c:strRef>
              <c:f>DASHBOARD!$R$5</c:f>
              <c:strCache>
                <c:ptCount val="1"/>
                <c:pt idx="0">
                  <c:v>4500</c:v>
                </c:pt>
              </c:strCache>
            </c:strRef>
          </c:tx>
          <c:spPr>
            <a:solidFill>
              <a:srgbClr val="3271D2"/>
            </a:solidFill>
            <a:ln>
              <a:noFill/>
              <a:prstDash val="solid"/>
            </a:ln>
          </c:spPr>
          <c:invertIfNegative val="0"/>
          <c:cat>
            <c:strRef>
              <c:f>DASHBOARD!$Q$6:$Q$9</c:f>
              <c:strCache>
                <c:ptCount val="4"/>
                <c:pt idx="0">
                  <c:v>2025 (LTM)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DASHBOARD!$R$6:$R$9</c:f>
              <c:numCache>
                <c:formatCode>General</c:formatCode>
                <c:ptCount val="4"/>
                <c:pt idx="0">
                  <c:v>6600</c:v>
                </c:pt>
                <c:pt idx="1">
                  <c:v>1500</c:v>
                </c:pt>
                <c:pt idx="2">
                  <c:v>1800</c:v>
                </c:pt>
                <c:pt idx="3">
                  <c:v>2100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BE-4635-B644-6035E95FC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3879551"/>
        <c:axId val="1333891551"/>
      </c:barChart>
      <c:catAx>
        <c:axId val="2114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69120"/>
        <c:crosses val="autoZero"/>
        <c:auto val="1"/>
        <c:lblAlgn val="ctr"/>
        <c:lblOffset val="100"/>
        <c:noMultiLvlLbl val="0"/>
      </c:catAx>
      <c:valAx>
        <c:axId val="2114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52320"/>
        <c:crosses val="autoZero"/>
        <c:crossBetween val="between"/>
      </c:valAx>
      <c:valAx>
        <c:axId val="133389155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333879551"/>
        <c:crosses val="max"/>
        <c:crossBetween val="between"/>
      </c:valAx>
      <c:catAx>
        <c:axId val="1333879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33891551"/>
        <c:crosses val="autoZero"/>
        <c:auto val="1"/>
        <c:lblAlgn val="ctr"/>
        <c:lblOffset val="100"/>
        <c:noMultiLvlLbl val="0"/>
      </c:cat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($M)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DASHBOARD!$Q$3:$Q$6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DASHBOARD!$R$3:$R$6</c:f>
              <c:numCache>
                <c:formatCode>General</c:formatCode>
                <c:ptCount val="4"/>
                <c:pt idx="0">
                  <c:v>1200</c:v>
                </c:pt>
                <c:pt idx="1">
                  <c:v>2700</c:v>
                </c:pt>
                <c:pt idx="2">
                  <c:v>4500</c:v>
                </c:pt>
                <c:pt idx="3">
                  <c:v>6600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6D-4C93-B555-0B251CF92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896928"/>
        <c:axId val="457886848"/>
      </c:lineChart>
      <c:catAx>
        <c:axId val="45789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86848"/>
        <c:crosses val="autoZero"/>
        <c:auto val="1"/>
        <c:lblAlgn val="ctr"/>
        <c:lblOffset val="100"/>
        <c:noMultiLvlLbl val="0"/>
      </c:catAx>
      <c:valAx>
        <c:axId val="45788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9692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6062494852202461"/>
          <c:y val="3.4725376351076899E-2"/>
          <c:w val="0.80445997103692268"/>
          <c:h val="0.86844854735213683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ysClr val="window" lastClr="FFFFFF"/>
            </a:solidFill>
            <a:ln>
              <a:solidFill>
                <a:srgbClr val="FFFFFF"/>
              </a:solidFill>
              <a:prstDash val="solid"/>
            </a:ln>
          </c:spPr>
          <c:invertIfNegative val="0"/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61F-4B0C-9AC4-4DF1CB92E3B0}"/>
                </c:ext>
              </c:extLst>
            </c:dLbl>
            <c:dLbl>
              <c:idx val="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61F-4B0C-9AC4-4DF1CB92E3B0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61F-4B0C-9AC4-4DF1CB92E3B0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61F-4B0C-9AC4-4DF1CB92E3B0}"/>
                </c:ext>
              </c:extLst>
            </c:dLbl>
            <c:dLbl>
              <c:idx val="4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61F-4B0C-9AC4-4DF1CB92E3B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2'!$V$85:$V$89</c:f>
              <c:numCache>
                <c:formatCode>General</c:formatCode>
                <c:ptCount val="5"/>
                <c:pt idx="0">
                  <c:v>0.06</c:v>
                </c:pt>
                <c:pt idx="1">
                  <c:v>8.8000000000000009E-2</c:v>
                </c:pt>
                <c:pt idx="2">
                  <c:v>9.6000000000000002E-2</c:v>
                </c:pt>
                <c:pt idx="3">
                  <c:v>0.10400000000000001</c:v>
                </c:pt>
                <c:pt idx="4">
                  <c:v>9.1999999999999998E-2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F-4B0C-9AC4-4DF1CB92E3B0}"/>
            </c:ext>
          </c:extLst>
        </c:ser>
        <c:ser>
          <c:idx val="1"/>
          <c:order val="1"/>
          <c:spPr>
            <a:solidFill>
              <a:srgbClr val="1B3E70"/>
            </a:solidFill>
            <a:ln>
              <a:noFill/>
              <a:prstDash val="solid"/>
            </a:ln>
          </c:spPr>
          <c:invertIfNegative val="0"/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2'!$W$85:$W$89</c:f>
              <c:numCache>
                <c:formatCode>General</c:formatCode>
                <c:ptCount val="5"/>
                <c:pt idx="0">
                  <c:v>5.5999999999999994E-2</c:v>
                </c:pt>
                <c:pt idx="1">
                  <c:v>3.9999999999999994E-2</c:v>
                </c:pt>
                <c:pt idx="2">
                  <c:v>4.4000000000000011E-2</c:v>
                </c:pt>
                <c:pt idx="3">
                  <c:v>4.4000000000000011E-2</c:v>
                </c:pt>
                <c:pt idx="4">
                  <c:v>4.4000000000000011E-2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F-4B0C-9AC4-4DF1CB92E3B0}"/>
            </c:ext>
          </c:extLst>
        </c:ser>
        <c:ser>
          <c:idx val="2"/>
          <c:order val="2"/>
          <c:spPr>
            <a:solidFill>
              <a:sysClr val="window" lastClr="FFFFF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2'!$X$85:$X$89</c:f>
              <c:numCache>
                <c:formatCode>General</c:formatCode>
                <c:ptCount val="5"/>
                <c:pt idx="0">
                  <c:v>0.11599999999999999</c:v>
                </c:pt>
                <c:pt idx="1">
                  <c:v>0.128</c:v>
                </c:pt>
                <c:pt idx="2">
                  <c:v>0.14000000000000001</c:v>
                </c:pt>
                <c:pt idx="3">
                  <c:v>0.14800000000000002</c:v>
                </c:pt>
                <c:pt idx="4">
                  <c:v>0.13600000000000001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F-4B0C-9AC4-4DF1CB92E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5"/>
        <c:overlap val="100"/>
        <c:axId val="1578284831"/>
        <c:axId val="1578285791"/>
      </c:barChart>
      <c:catAx>
        <c:axId val="157828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5791"/>
        <c:crosses val="autoZero"/>
        <c:auto val="1"/>
        <c:lblAlgn val="ctr"/>
        <c:lblOffset val="100"/>
        <c:noMultiLvlLbl val="0"/>
      </c:catAx>
      <c:valAx>
        <c:axId val="1578285791"/>
        <c:scaling>
          <c:orientation val="minMax"/>
        </c:scaling>
        <c:delete val="0"/>
        <c:axPos val="b"/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483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Revenue</c:v>
          </c:tx>
          <c:spPr>
            <a:solidFill>
              <a:schemeClr val="accent1"/>
            </a:solidFill>
            <a:ln w="254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2'!$C$103:$G$103</c:f>
              <c:strCache>
                <c:ptCount val="5"/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2'!$C$105:$G$105</c:f>
              <c:numCache>
                <c:formatCode>General</c:formatCode>
                <c:ptCount val="5"/>
                <c:pt idx="0">
                  <c:v>0</c:v>
                </c:pt>
                <c:pt idx="1">
                  <c:v>1200</c:v>
                </c:pt>
                <c:pt idx="2">
                  <c:v>1500</c:v>
                </c:pt>
                <c:pt idx="3">
                  <c:v>1800</c:v>
                </c:pt>
                <c:pt idx="4">
                  <c:v>2100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63-4720-91A0-FDF6B470F2F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2"/>
        <c:overlap val="100"/>
        <c:axId val="1595827455"/>
        <c:axId val="1595828895"/>
      </c:barChart>
      <c:lineChart>
        <c:grouping val="standard"/>
        <c:varyColors val="0"/>
        <c:ser>
          <c:idx val="1"/>
          <c:order val="1"/>
          <c:tx>
            <c:v>Revenue Growth (%)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363-4720-91A0-FDF6B470F2F0}"/>
                </c:ext>
              </c:extLst>
            </c:dLbl>
            <c:dLbl>
              <c:idx val="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363-4720-91A0-FDF6B470F2F0}"/>
                </c:ext>
              </c:extLst>
            </c:dLbl>
            <c:dLbl>
              <c:idx val="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363-4720-91A0-FDF6B470F2F0}"/>
                </c:ext>
              </c:extLst>
            </c:dLbl>
            <c:numFmt formatCode="0.00%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2'!$C$103:$G$103</c:f>
              <c:strCache>
                <c:ptCount val="5"/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2'!$C$104:$G$104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0.19999999999999996</c:v>
                </c:pt>
                <c:pt idx="4">
                  <c:v>0.16666666666666674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63-4720-91A0-FDF6B470F2F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8833696"/>
        <c:axId val="1028832736"/>
      </c:lineChart>
      <c:catAx>
        <c:axId val="1595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8895"/>
        <c:crosses val="autoZero"/>
        <c:auto val="1"/>
        <c:lblAlgn val="ctr"/>
        <c:lblOffset val="100"/>
        <c:noMultiLvlLbl val="0"/>
      </c:catAx>
      <c:valAx>
        <c:axId val="159582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8E8E8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7455"/>
        <c:crosses val="autoZero"/>
        <c:crossBetween val="between"/>
      </c:valAx>
      <c:catAx>
        <c:axId val="10288336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28832736"/>
        <c:crosses val="autoZero"/>
        <c:auto val="1"/>
        <c:lblAlgn val="ctr"/>
        <c:lblOffset val="100"/>
        <c:noMultiLvlLbl val="0"/>
      </c:catAx>
      <c:valAx>
        <c:axId val="1028832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883369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INPUT!$D$129</c:f>
              <c:strCache>
                <c:ptCount val="1"/>
                <c:pt idx="0">
                  <c:v>NXTFF</c:v>
                </c:pt>
              </c:strCache>
            </c:strRef>
          </c:tx>
          <c:spPr>
            <a:ln w="28575" cap="rnd">
              <a:solidFill>
                <a:srgbClr val="E8612C"/>
              </a:solidFill>
              <a:prstDash val="solid"/>
              <a:round/>
            </a:ln>
          </c:spPr>
          <c:marker>
            <c:symbol val="none"/>
          </c:marker>
          <c:cat>
            <c:strRef>
              <c:f>STOCK_DATA!$B$3:$B$15</c:f>
              <c:strCache>
                <c:ptCount val="12"/>
                <c:pt idx="0">
                  <c:v>May-25</c:v>
                </c:pt>
                <c:pt idx="1">
                  <c:v>Jun-25</c:v>
                </c:pt>
                <c:pt idx="2">
                  <c:v>Jul-25</c:v>
                </c:pt>
                <c:pt idx="3">
                  <c:v>Aug-25</c:v>
                </c:pt>
                <c:pt idx="4">
                  <c:v>Sep-25</c:v>
                </c:pt>
                <c:pt idx="5">
                  <c:v>Oct-25</c:v>
                </c:pt>
                <c:pt idx="6">
                  <c:v>Nov-25</c:v>
                </c:pt>
                <c:pt idx="7">
                  <c:v>Dec-25</c:v>
                </c:pt>
                <c:pt idx="8">
                  <c:v>Jan-26</c:v>
                </c:pt>
                <c:pt idx="9">
                  <c:v>Feb-26</c:v>
                </c:pt>
                <c:pt idx="10">
                  <c:v>Mar-26</c:v>
                </c:pt>
                <c:pt idx="11">
                  <c:v>Apr-26</c:v>
                </c:pt>
              </c:strCache>
            </c:strRef>
          </c:cat>
          <c:val>
            <c:numRef>
              <c:f>STOCK_DATA!$C$3:$C$15</c:f>
              <c:numCache>
                <c:formatCode>"€"#\ ##0.00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0-4C01-A683-5EC45AA61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09328"/>
        <c:axId val="1116398288"/>
      </c:lineChart>
      <c:catAx>
        <c:axId val="11164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398288"/>
        <c:crosses val="autoZero"/>
        <c:auto val="1"/>
        <c:lblAlgn val="ctr"/>
        <c:lblOffset val="100"/>
        <c:tickLblSkip val="1"/>
        <c:noMultiLvlLbl val="0"/>
      </c:catAx>
      <c:valAx>
        <c:axId val="1116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c:spPr>
        </c:majorGridlines>
        <c:numFmt formatCode="&quot;€&quot;#\ 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40932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'DASHBOARD 2'!$R$96</c:f>
              <c:strCache>
                <c:ptCount val="1"/>
                <c:pt idx="0">
                  <c:v>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2'!$S$96:$V$96</c:f>
              <c:numCache>
                <c:formatCode>General</c:formatCode>
                <c:ptCount val="4"/>
                <c:pt idx="0">
                  <c:v>-62484.09</c:v>
                </c:pt>
                <c:pt idx="1">
                  <c:v>-81582.03</c:v>
                </c:pt>
                <c:pt idx="2">
                  <c:v>-82980.03</c:v>
                </c:pt>
                <c:pt idx="3">
                  <c:v>-82044.040000000008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21-468B-B8CF-BDD50C314D35}"/>
            </c:ext>
          </c:extLst>
        </c:ser>
        <c:ser>
          <c:idx val="1"/>
          <c:order val="1"/>
          <c:tx>
            <c:strRef>
              <c:f>'DASHBOARD 2'!$R$97</c:f>
              <c:strCache>
                <c:ptCount val="1"/>
                <c:pt idx="0">
                  <c:v>CFO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2'!$S$97:$V$97</c:f>
              <c:numCache>
                <c:formatCode>General</c:formatCode>
                <c:ptCount val="4"/>
                <c:pt idx="0">
                  <c:v>-60920.88</c:v>
                </c:pt>
                <c:pt idx="1">
                  <c:v>-80172.829999999987</c:v>
                </c:pt>
                <c:pt idx="2">
                  <c:v>-81871.850000000006</c:v>
                </c:pt>
                <c:pt idx="3">
                  <c:v>-82402.81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21-468B-B8CF-BDD50C314D35}"/>
            </c:ext>
          </c:extLst>
        </c:ser>
        <c:ser>
          <c:idx val="2"/>
          <c:order val="2"/>
          <c:tx>
            <c:strRef>
              <c:f>'DASHBOARD 2'!$R$98</c:f>
              <c:strCache>
                <c:ptCount val="1"/>
                <c:pt idx="0">
                  <c:v>Net Income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2'!$S$98:$V$98</c:f>
              <c:numCache>
                <c:formatCode>General</c:formatCode>
                <c:ptCount val="4"/>
                <c:pt idx="0">
                  <c:v>-66231.89</c:v>
                </c:pt>
                <c:pt idx="1">
                  <c:v>-86249.819999999992</c:v>
                </c:pt>
                <c:pt idx="2">
                  <c:v>-88348.83</c:v>
                </c:pt>
                <c:pt idx="3">
                  <c:v>-88192.83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21-468B-B8CF-BDD50C314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85920"/>
        <c:axId val="211486400"/>
      </c:lineChart>
      <c:catAx>
        <c:axId val="2114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6400"/>
        <c:crosses val="autoZero"/>
        <c:auto val="1"/>
        <c:lblAlgn val="ctr"/>
        <c:lblOffset val="100"/>
        <c:noMultiLvlLbl val="0"/>
      </c:catAx>
      <c:valAx>
        <c:axId val="211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59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688731</xdr:colOff>
      <xdr:row>106</xdr:row>
      <xdr:rowOff>161193</xdr:rowOff>
    </xdr:from>
    <xdr:to>
      <xdr:col>9</xdr:col>
      <xdr:colOff>117231</xdr:colOff>
      <xdr:row>121</xdr:row>
      <xdr:rowOff>46893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106</xdr:row>
      <xdr:rowOff>161193</xdr:rowOff>
    </xdr:from>
    <xdr:to>
      <xdr:col>3</xdr:col>
      <xdr:colOff>419833</xdr:colOff>
      <xdr:row>121</xdr:row>
      <xdr:rowOff>46893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38698</xdr:colOff>
      <xdr:row>122</xdr:row>
      <xdr:rowOff>86098</xdr:rowOff>
    </xdr:from>
    <xdr:to>
      <xdr:col>3</xdr:col>
      <xdr:colOff>116168</xdr:colOff>
      <xdr:row>141</xdr:row>
      <xdr:rowOff>37539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168089</xdr:colOff>
      <xdr:row>100</xdr:row>
      <xdr:rowOff>170330</xdr:rowOff>
    </xdr:from>
    <xdr:to>
      <xdr:col>13</xdr:col>
      <xdr:colOff>741829</xdr:colOff>
      <xdr:row>115</xdr:row>
      <xdr:rowOff>15690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318248</xdr:colOff>
      <xdr:row>122</xdr:row>
      <xdr:rowOff>96369</xdr:rowOff>
    </xdr:from>
    <xdr:to>
      <xdr:col>10</xdr:col>
      <xdr:colOff>228600</xdr:colOff>
      <xdr:row>140</xdr:row>
      <xdr:rowOff>26893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776467</xdr:colOff>
      <xdr:row>40</xdr:row>
      <xdr:rowOff>62696</xdr:rowOff>
    </xdr:from>
    <xdr:to>
      <xdr:col>11</xdr:col>
      <xdr:colOff>1150234</xdr:colOff>
      <xdr:row>54</xdr:row>
      <xdr:rowOff>183265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241140</xdr:colOff>
      <xdr:row>27</xdr:row>
      <xdr:rowOff>110924</xdr:rowOff>
    </xdr:from>
    <xdr:to>
      <xdr:col>12</xdr:col>
      <xdr:colOff>36171</xdr:colOff>
      <xdr:row>39</xdr:row>
      <xdr:rowOff>106102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1990166</xdr:colOff>
      <xdr:row>48</xdr:row>
      <xdr:rowOff>26893</xdr:rowOff>
    </xdr:from>
    <xdr:to>
      <xdr:col>4</xdr:col>
      <xdr:colOff>645459</xdr:colOff>
      <xdr:row>60</xdr:row>
      <xdr:rowOff>107575</xdr:rowOff>
    </xdr:to>
    <xdr:graphicFrame macro="">
      <xdr:nvGraphicFramePr>
        <xdr:cNvPr id="4" name="Revenue by Scenario ($M)">
          <a:extLst>
            <a:ext uri="{FF2B5EF4-FFF2-40B4-BE49-F238E27FC236}">
              <a16:creationId xmlns:a16="http://schemas.microsoft.com/office/drawing/2014/main" id="{77192DB6-C9AF-E694-C8EF-754640A5B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708211</xdr:colOff>
      <xdr:row>48</xdr:row>
      <xdr:rowOff>26895</xdr:rowOff>
    </xdr:from>
    <xdr:to>
      <xdr:col>9</xdr:col>
      <xdr:colOff>26893</xdr:colOff>
      <xdr:row>60</xdr:row>
      <xdr:rowOff>8965</xdr:rowOff>
    </xdr:to>
    <xdr:graphicFrame macro="">
      <xdr:nvGraphicFramePr>
        <xdr:cNvPr id="5" name="EBITDA by Scenario ($M)">
          <a:extLst>
            <a:ext uri="{FF2B5EF4-FFF2-40B4-BE49-F238E27FC236}">
              <a16:creationId xmlns:a16="http://schemas.microsoft.com/office/drawing/2014/main" id="{F359FEA9-4BAE-A6EC-4228-752D04350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11105</xdr:colOff>
      <xdr:row>6</xdr:row>
      <xdr:rowOff>89514</xdr:rowOff>
    </xdr:from>
    <xdr:to>
      <xdr:col>12</xdr:col>
      <xdr:colOff>721178</xdr:colOff>
      <xdr:row>21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646559</xdr:colOff>
      <xdr:row>23</xdr:row>
      <xdr:rowOff>79694</xdr:rowOff>
    </xdr:from>
    <xdr:to>
      <xdr:col>12</xdr:col>
      <xdr:colOff>748393</xdr:colOff>
      <xdr:row>38</xdr:row>
      <xdr:rowOff>122465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602796</xdr:colOff>
      <xdr:row>6</xdr:row>
      <xdr:rowOff>141736</xdr:rowOff>
    </xdr:from>
    <xdr:to>
      <xdr:col>5</xdr:col>
      <xdr:colOff>1578429</xdr:colOff>
      <xdr:row>21</xdr:row>
      <xdr:rowOff>163286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642711</xdr:colOff>
      <xdr:row>23</xdr:row>
      <xdr:rowOff>102682</xdr:rowOff>
    </xdr:from>
    <xdr:to>
      <xdr:col>5</xdr:col>
      <xdr:colOff>1578429</xdr:colOff>
      <xdr:row>38</xdr:row>
      <xdr:rowOff>163286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20</xdr:row>
      <xdr:rowOff>11204</xdr:rowOff>
    </xdr:from>
    <xdr:to>
      <xdr:col>15</xdr:col>
      <xdr:colOff>0</xdr:colOff>
      <xdr:row>36</xdr:row>
      <xdr:rowOff>56028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28576</xdr:colOff>
      <xdr:row>39</xdr:row>
      <xdr:rowOff>171449</xdr:rowOff>
    </xdr:from>
    <xdr:to>
      <xdr:col>7</xdr:col>
      <xdr:colOff>56030</xdr:colOff>
      <xdr:row>56</xdr:row>
      <xdr:rowOff>56028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11205</xdr:colOff>
      <xdr:row>19</xdr:row>
      <xdr:rowOff>100853</xdr:rowOff>
    </xdr:from>
    <xdr:to>
      <xdr:col>6</xdr:col>
      <xdr:colOff>818029</xdr:colOff>
      <xdr:row>36</xdr:row>
      <xdr:rowOff>30629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37</xdr:row>
      <xdr:rowOff>190499</xdr:rowOff>
    </xdr:from>
    <xdr:to>
      <xdr:col>15</xdr:col>
      <xdr:colOff>0</xdr:colOff>
      <xdr:row>54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DF5F4D-8038-4B8D-A8CD-7D964FB2595D}">
  <we:reference id="wa200009404" version="1.0.0.8" store="fr-FR" storeType="OMEX"/>
  <we:alternateReferences>
    <we:reference id="wa200009404" version="1.0.0.8" store="" storeType="OMEX"/>
  </we:alternateReferences>
  <we:properties>
    <we:property name="claude.fileId" value="&quot;5fd8d9c8-b3c8-40ec-a2ea-70c8051eb92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5"/>
  <sheetViews>
    <sheetView showGridLines="0" topLeftCell="A66" zoomScale="87" zoomScaleNormal="100" workbookViewId="0">
      <selection activeCell="H92" sqref="H92"/>
    </sheetView>
  </sheetViews>
  <sheetFormatPr baseColWidth="10" defaultRowHeight="14.4" x14ac:dyDescent="0.3"/>
  <cols>
    <col min="1" max="1" width="1.77734375" customWidth="1"/>
    <col min="2" max="2" width="50" style="18" customWidth="1"/>
    <col min="3" max="3" width="15.6640625" customWidth="1"/>
    <col min="4" max="8" width="13.33203125" style="20" customWidth="1"/>
  </cols>
  <sheetData>
    <row r="1" spans="1:8" ht="54.9" customHeight="1" x14ac:dyDescent="0.6">
      <c r="A1" s="5"/>
      <c r="B1" s="96" t="s">
        <v>97</v>
      </c>
      <c r="C1" s="5"/>
      <c r="D1" s="5"/>
      <c r="E1" s="5"/>
      <c r="F1" s="95"/>
      <c r="G1" s="5"/>
      <c r="H1" s="5"/>
    </row>
    <row r="2" spans="1:8" ht="15" customHeight="1" x14ac:dyDescent="0.35">
      <c r="A2" s="3"/>
      <c r="B2" s="13"/>
      <c r="C2" s="3"/>
      <c r="D2" s="21"/>
      <c r="E2" s="21"/>
      <c r="F2" s="21"/>
      <c r="G2" s="21"/>
      <c r="H2" s="21"/>
    </row>
    <row r="3" spans="1:8" ht="18" customHeight="1" x14ac:dyDescent="0.5">
      <c r="A3" s="7"/>
      <c r="B3" s="14" t="s">
        <v>0</v>
      </c>
      <c r="C3" s="7"/>
      <c r="D3" s="7"/>
      <c r="E3" s="22"/>
      <c r="F3" s="22"/>
      <c r="G3" s="22"/>
      <c r="H3" s="22"/>
    </row>
    <row r="4" spans="1:8" ht="15" customHeight="1" x14ac:dyDescent="0.35">
      <c r="A4" s="3"/>
      <c r="B4" s="11" t="s">
        <v>1</v>
      </c>
      <c r="C4" s="3"/>
      <c r="D4" s="21"/>
      <c r="E4" s="21"/>
      <c r="F4" s="21"/>
      <c r="G4" s="21"/>
      <c r="H4" s="21"/>
    </row>
    <row r="5" spans="1:8" ht="15" customHeight="1" x14ac:dyDescent="0.35">
      <c r="A5" s="1"/>
      <c r="B5" s="15" t="s">
        <v>2</v>
      </c>
      <c r="C5" s="1" t="s">
        <v>3</v>
      </c>
      <c r="D5" s="1"/>
      <c r="E5" s="23">
        <v>2022</v>
      </c>
      <c r="F5" s="23">
        <v>2023</v>
      </c>
      <c r="G5" s="23">
        <v>2024</v>
      </c>
      <c r="H5" s="23" t="s">
        <v>4</v>
      </c>
    </row>
    <row r="6" spans="1:8" ht="15" customHeight="1" x14ac:dyDescent="0.35">
      <c r="A6" s="3"/>
      <c r="B6" s="13"/>
      <c r="C6" s="3"/>
      <c r="D6" s="21"/>
      <c r="E6" s="21"/>
      <c r="F6" s="21"/>
      <c r="G6" s="21"/>
      <c r="H6" s="21"/>
    </row>
    <row r="7" spans="1:8" ht="18" customHeight="1" x14ac:dyDescent="0.5">
      <c r="A7" s="7"/>
      <c r="B7" s="14" t="s">
        <v>6</v>
      </c>
      <c r="C7" s="7"/>
      <c r="D7" s="22"/>
      <c r="E7" s="22"/>
      <c r="F7" s="22"/>
      <c r="G7" s="22"/>
      <c r="H7" s="22"/>
    </row>
    <row r="8" spans="1:8" ht="18" customHeight="1" x14ac:dyDescent="0.5">
      <c r="A8" s="103"/>
      <c r="B8" s="102"/>
      <c r="C8" s="103"/>
      <c r="D8" s="101"/>
      <c r="E8" s="101"/>
      <c r="F8" s="101"/>
      <c r="G8" s="101"/>
      <c r="H8" s="101"/>
    </row>
    <row r="9" spans="1:8" ht="15" customHeight="1" x14ac:dyDescent="0.35">
      <c r="A9" s="3"/>
      <c r="B9" s="16" t="s">
        <v>7</v>
      </c>
      <c r="C9" s="38" t="s">
        <v>8</v>
      </c>
      <c r="D9" s="205"/>
      <c r="E9" s="205">
        <v>1200</v>
      </c>
      <c r="F9" s="205">
        <v>1500</v>
      </c>
      <c r="G9" s="205">
        <v>1800</v>
      </c>
      <c r="H9" s="205">
        <v>2100</v>
      </c>
    </row>
    <row r="10" spans="1:8" ht="15" customHeight="1" x14ac:dyDescent="0.35">
      <c r="A10" s="3"/>
      <c r="B10" s="16" t="s">
        <v>9</v>
      </c>
      <c r="C10" s="38" t="s">
        <v>8</v>
      </c>
      <c r="D10" s="206"/>
      <c r="E10" s="206">
        <v>-60609</v>
      </c>
      <c r="F10" s="206">
        <v>-79113</v>
      </c>
      <c r="G10" s="206">
        <v>-80240</v>
      </c>
      <c r="H10" s="206">
        <v>-77733</v>
      </c>
    </row>
    <row r="11" spans="1:8" ht="15" customHeight="1" x14ac:dyDescent="0.35">
      <c r="A11" s="3"/>
      <c r="B11" s="48" t="s">
        <v>10</v>
      </c>
      <c r="C11" s="49" t="s">
        <v>8</v>
      </c>
      <c r="D11" s="213">
        <f>D9+D10</f>
        <v>0</v>
      </c>
      <c r="E11" s="213">
        <f>E9+E10</f>
        <v>-59409</v>
      </c>
      <c r="F11" s="213">
        <f>F9+F10</f>
        <v>-77613</v>
      </c>
      <c r="G11" s="213">
        <f>G9+G10</f>
        <v>-78440</v>
      </c>
      <c r="H11" s="213">
        <f>H9+H10</f>
        <v>-75633</v>
      </c>
    </row>
    <row r="12" spans="1:8" ht="15" customHeight="1" x14ac:dyDescent="0.35">
      <c r="A12" s="3"/>
      <c r="B12" s="48"/>
      <c r="C12" s="49"/>
      <c r="D12" s="50"/>
      <c r="E12" s="50"/>
      <c r="F12" s="50"/>
      <c r="G12" s="50"/>
      <c r="H12" s="50"/>
    </row>
    <row r="13" spans="1:8" ht="15" customHeight="1" x14ac:dyDescent="0.35">
      <c r="A13" s="3"/>
      <c r="B13" s="48"/>
      <c r="C13" s="49"/>
      <c r="D13" s="213">
        <f>SUM(D14:D16)</f>
        <v>0</v>
      </c>
      <c r="E13" s="213">
        <f>SUM(E14:E16)</f>
        <v>-6822.09</v>
      </c>
      <c r="F13" s="213">
        <f>SUM(F14:F16)</f>
        <v>-8636.0300000000007</v>
      </c>
      <c r="G13" s="213">
        <f>SUM(G14:G16)</f>
        <v>-9908.0299999999988</v>
      </c>
      <c r="H13" s="213">
        <f>SUM(H14:H16)</f>
        <v>-12559.04</v>
      </c>
    </row>
    <row r="14" spans="1:8" ht="15" customHeight="1" x14ac:dyDescent="0.35">
      <c r="A14" s="3"/>
      <c r="B14" s="16" t="s">
        <v>11</v>
      </c>
      <c r="C14" s="38" t="s">
        <v>8</v>
      </c>
      <c r="D14" s="205"/>
      <c r="E14" s="205">
        <v>-0.09</v>
      </c>
      <c r="F14" s="205">
        <v>-0.03</v>
      </c>
      <c r="G14" s="205">
        <v>-0.03</v>
      </c>
      <c r="H14" s="205">
        <v>-0.04</v>
      </c>
    </row>
    <row r="15" spans="1:8" ht="15" customHeight="1" x14ac:dyDescent="0.35">
      <c r="A15" s="3"/>
      <c r="B15" s="16" t="s">
        <v>12</v>
      </c>
      <c r="C15" s="38" t="s">
        <v>8</v>
      </c>
      <c r="D15" s="205"/>
      <c r="E15" s="205">
        <v>-3075</v>
      </c>
      <c r="F15" s="205">
        <v>-3969</v>
      </c>
      <c r="G15" s="205">
        <v>-4540</v>
      </c>
      <c r="H15" s="205">
        <v>-6411</v>
      </c>
    </row>
    <row r="16" spans="1:8" ht="15" customHeight="1" x14ac:dyDescent="0.35">
      <c r="A16" s="3"/>
      <c r="B16" s="16" t="s">
        <v>13</v>
      </c>
      <c r="C16" s="38" t="s">
        <v>8</v>
      </c>
      <c r="D16" s="207"/>
      <c r="E16" s="207">
        <v>-3747</v>
      </c>
      <c r="F16" s="207">
        <v>-4667</v>
      </c>
      <c r="G16" s="207">
        <v>-5368</v>
      </c>
      <c r="H16" s="207">
        <v>-6148</v>
      </c>
    </row>
    <row r="17" spans="1:8" ht="15" customHeight="1" x14ac:dyDescent="0.35">
      <c r="A17" s="3"/>
      <c r="B17" s="48" t="s">
        <v>14</v>
      </c>
      <c r="C17" s="49" t="s">
        <v>8</v>
      </c>
      <c r="D17" s="213">
        <f>D11+D13</f>
        <v>0</v>
      </c>
      <c r="E17" s="213">
        <f>E11+E13</f>
        <v>-66231.09</v>
      </c>
      <c r="F17" s="213">
        <f>F11+F13</f>
        <v>-86249.03</v>
      </c>
      <c r="G17" s="213">
        <f>G11+G13</f>
        <v>-88348.03</v>
      </c>
      <c r="H17" s="213">
        <f>H11+H13</f>
        <v>-88192.040000000008</v>
      </c>
    </row>
    <row r="18" spans="1:8" ht="15" customHeight="1" x14ac:dyDescent="0.35">
      <c r="A18" s="3"/>
      <c r="B18" s="48"/>
      <c r="C18" s="49"/>
      <c r="D18" s="50"/>
      <c r="E18" s="50"/>
      <c r="F18" s="50"/>
      <c r="G18" s="50"/>
      <c r="H18" s="50"/>
    </row>
    <row r="19" spans="1:8" ht="15" customHeight="1" x14ac:dyDescent="0.35">
      <c r="A19" s="3"/>
      <c r="B19" s="48"/>
      <c r="C19" s="49"/>
      <c r="D19" s="213">
        <f>D17+D20+D21</f>
        <v>0</v>
      </c>
      <c r="E19" s="213">
        <f>E17+E20+E21</f>
        <v>-66231.89</v>
      </c>
      <c r="F19" s="213">
        <f>F17+F20+F21</f>
        <v>-86249.819999999992</v>
      </c>
      <c r="G19" s="213">
        <f>G17+G20+G21</f>
        <v>-88348.83</v>
      </c>
      <c r="H19" s="213">
        <f>H17+H20+H21</f>
        <v>-88192.83</v>
      </c>
    </row>
    <row r="20" spans="1:8" ht="15" customHeight="1" x14ac:dyDescent="0.35">
      <c r="A20" s="3"/>
      <c r="B20" s="16" t="s">
        <v>15</v>
      </c>
      <c r="C20" s="38" t="s">
        <v>8</v>
      </c>
      <c r="D20" s="205"/>
      <c r="E20" s="205">
        <v>-0.8</v>
      </c>
      <c r="F20" s="205">
        <v>-0.79</v>
      </c>
      <c r="G20" s="205">
        <v>-0.8</v>
      </c>
      <c r="H20" s="205">
        <v>-0.79</v>
      </c>
    </row>
    <row r="21" spans="1:8" ht="15" customHeight="1" x14ac:dyDescent="0.35">
      <c r="A21" s="3"/>
      <c r="B21" s="16" t="s">
        <v>16</v>
      </c>
      <c r="C21" s="38" t="s">
        <v>8</v>
      </c>
      <c r="D21" s="207"/>
      <c r="E21" s="207">
        <v>0</v>
      </c>
      <c r="F21" s="207">
        <v>0</v>
      </c>
      <c r="G21" s="207">
        <v>0</v>
      </c>
      <c r="H21" s="207">
        <v>0</v>
      </c>
    </row>
    <row r="22" spans="1:8" ht="15" customHeight="1" x14ac:dyDescent="0.35">
      <c r="A22" s="3"/>
      <c r="B22" s="48" t="s">
        <v>17</v>
      </c>
      <c r="C22" s="49" t="s">
        <v>8</v>
      </c>
      <c r="D22" s="213">
        <f>D19</f>
        <v>0</v>
      </c>
      <c r="E22" s="213">
        <f>E19</f>
        <v>-66231.89</v>
      </c>
      <c r="F22" s="213">
        <f>F19</f>
        <v>-86249.819999999992</v>
      </c>
      <c r="G22" s="213">
        <f>G19</f>
        <v>-88348.83</v>
      </c>
      <c r="H22" s="213">
        <f>H19</f>
        <v>-88192.83</v>
      </c>
    </row>
    <row r="23" spans="1:8" ht="15" customHeight="1" x14ac:dyDescent="0.35">
      <c r="A23" s="3"/>
      <c r="B23" s="48"/>
      <c r="C23" s="49"/>
      <c r="D23" s="50"/>
      <c r="E23" s="50"/>
      <c r="F23" s="50"/>
      <c r="G23" s="50"/>
      <c r="H23" s="50"/>
    </row>
    <row r="24" spans="1:8" ht="15" customHeight="1" x14ac:dyDescent="0.35">
      <c r="A24" s="3"/>
      <c r="B24" s="48"/>
      <c r="C24" s="49"/>
      <c r="D24" s="213">
        <f>-ROUND(D22*0.21,0)</f>
        <v>0</v>
      </c>
      <c r="E24" s="213">
        <f>-ROUND(E22*E118,0)</f>
        <v>0</v>
      </c>
      <c r="F24" s="213">
        <f>-ROUND(F22*F118,0)</f>
        <v>0</v>
      </c>
      <c r="G24" s="213">
        <f>-ROUND(G22*G118,0)</f>
        <v>0</v>
      </c>
      <c r="H24" s="213">
        <f>IF(H22&lt;0, 0, -ROUND(H22*H118,0))</f>
        <v>0</v>
      </c>
    </row>
    <row r="25" spans="1:8" ht="15" customHeight="1" x14ac:dyDescent="0.35">
      <c r="A25" s="3"/>
      <c r="B25" s="16" t="s">
        <v>18</v>
      </c>
      <c r="C25" s="38" t="s">
        <v>8</v>
      </c>
      <c r="D25" s="205"/>
      <c r="E25" s="205">
        <v>-1132</v>
      </c>
      <c r="F25" s="205">
        <v>-5001</v>
      </c>
      <c r="G25" s="205">
        <v>-1837</v>
      </c>
      <c r="H25" s="205">
        <v>-1423</v>
      </c>
    </row>
    <row r="26" spans="1:8" ht="15" customHeight="1" thickBot="1" x14ac:dyDescent="0.4">
      <c r="A26" s="3"/>
      <c r="B26" s="51" t="s">
        <v>19</v>
      </c>
      <c r="C26" s="49" t="s">
        <v>8</v>
      </c>
      <c r="D26" s="214">
        <f>D22+D24</f>
        <v>0</v>
      </c>
      <c r="E26" s="214">
        <f>E22+E24</f>
        <v>-66231.89</v>
      </c>
      <c r="F26" s="214">
        <f>F22+F24</f>
        <v>-86249.819999999992</v>
      </c>
      <c r="G26" s="214">
        <f>G22+G24</f>
        <v>-88348.83</v>
      </c>
      <c r="H26" s="214">
        <f>H22+H24</f>
        <v>-88192.83</v>
      </c>
    </row>
    <row r="27" spans="1:8" ht="15" customHeight="1" x14ac:dyDescent="0.35">
      <c r="A27" s="3"/>
      <c r="B27" s="51"/>
      <c r="C27" s="49"/>
      <c r="D27" s="50"/>
      <c r="E27" s="50"/>
      <c r="F27" s="50"/>
      <c r="G27" s="50"/>
      <c r="H27" s="50"/>
    </row>
    <row r="28" spans="1:8" ht="15" customHeight="1" x14ac:dyDescent="0.35">
      <c r="A28" s="3"/>
      <c r="B28" s="51"/>
      <c r="C28" s="49"/>
    </row>
    <row r="29" spans="1:8" ht="15" customHeight="1" x14ac:dyDescent="0.35">
      <c r="A29" s="3"/>
      <c r="B29" s="16" t="s">
        <v>20</v>
      </c>
      <c r="C29" s="38" t="s">
        <v>8</v>
      </c>
      <c r="D29" s="205"/>
      <c r="E29" s="205">
        <v>-89402</v>
      </c>
      <c r="F29" s="205">
        <v>-77550</v>
      </c>
      <c r="G29" s="205">
        <v>-94949</v>
      </c>
      <c r="H29" s="205">
        <v>-90711</v>
      </c>
    </row>
    <row r="30" spans="1:8" ht="15" customHeight="1" x14ac:dyDescent="0.35">
      <c r="A30" s="3"/>
      <c r="B30" s="48" t="s">
        <v>21</v>
      </c>
      <c r="C30" s="49" t="s">
        <v>8</v>
      </c>
      <c r="D30" s="213">
        <f>D17-D16</f>
        <v>0</v>
      </c>
      <c r="E30" s="213">
        <f>E17-E16</f>
        <v>-62484.09</v>
      </c>
      <c r="F30" s="213">
        <f>F17-F16</f>
        <v>-81582.03</v>
      </c>
      <c r="G30" s="213">
        <f>G17-G16</f>
        <v>-82980.03</v>
      </c>
      <c r="H30" s="213">
        <f>H17-H16</f>
        <v>-82044.040000000008</v>
      </c>
    </row>
    <row r="31" spans="1:8" ht="15" customHeight="1" x14ac:dyDescent="0.35">
      <c r="A31" s="3"/>
      <c r="B31" s="13"/>
      <c r="C31" s="8"/>
      <c r="D31" s="39"/>
      <c r="E31" s="39"/>
      <c r="F31" s="39"/>
      <c r="G31" s="39"/>
      <c r="H31" s="39"/>
    </row>
    <row r="32" spans="1:8" ht="18" customHeight="1" x14ac:dyDescent="0.5">
      <c r="A32" s="41"/>
      <c r="B32" s="46" t="s">
        <v>22</v>
      </c>
      <c r="C32" s="41"/>
      <c r="D32" s="7"/>
      <c r="E32" s="42"/>
      <c r="F32" s="42"/>
      <c r="G32" s="42"/>
      <c r="H32" s="42"/>
    </row>
    <row r="33" spans="1:8" ht="18" customHeight="1" x14ac:dyDescent="0.5">
      <c r="A33" s="103"/>
      <c r="B33" s="105"/>
      <c r="C33" s="104"/>
      <c r="D33" s="106"/>
      <c r="E33" s="106"/>
      <c r="F33" s="106"/>
      <c r="G33" s="106"/>
      <c r="H33" s="106"/>
    </row>
    <row r="34" spans="1:8" ht="15" customHeight="1" x14ac:dyDescent="0.35">
      <c r="A34" s="3"/>
      <c r="B34" s="16" t="s">
        <v>23</v>
      </c>
      <c r="C34" s="38" t="s">
        <v>8</v>
      </c>
      <c r="D34" s="208"/>
      <c r="E34" s="208">
        <v>0</v>
      </c>
      <c r="F34" s="208">
        <v>0</v>
      </c>
      <c r="G34" s="208">
        <v>0</v>
      </c>
      <c r="H34" s="208">
        <v>0.01</v>
      </c>
    </row>
    <row r="35" spans="1:8" ht="15" customHeight="1" x14ac:dyDescent="0.35">
      <c r="A35" s="3"/>
      <c r="B35" s="16" t="s">
        <v>24</v>
      </c>
      <c r="C35" s="38" t="s">
        <v>8</v>
      </c>
      <c r="D35" s="205"/>
      <c r="E35" s="205">
        <v>0</v>
      </c>
      <c r="F35" s="205">
        <v>0</v>
      </c>
      <c r="G35" s="205">
        <v>0.02</v>
      </c>
      <c r="H35" s="205">
        <v>0</v>
      </c>
    </row>
    <row r="36" spans="1:8" ht="15" customHeight="1" x14ac:dyDescent="0.35">
      <c r="A36" s="3"/>
      <c r="B36" s="16" t="s">
        <v>25</v>
      </c>
      <c r="C36" s="38" t="s">
        <v>8</v>
      </c>
      <c r="D36" s="205"/>
      <c r="E36" s="205">
        <v>12839</v>
      </c>
      <c r="F36" s="205">
        <v>13626</v>
      </c>
      <c r="G36" s="205">
        <v>12017</v>
      </c>
      <c r="H36" s="205">
        <v>12392</v>
      </c>
    </row>
    <row r="37" spans="1:8" ht="15" customHeight="1" x14ac:dyDescent="0.35">
      <c r="A37" s="3"/>
      <c r="B37" s="16" t="s">
        <v>26</v>
      </c>
      <c r="C37" s="38" t="s">
        <v>8</v>
      </c>
      <c r="D37" s="207"/>
      <c r="E37" s="207">
        <v>2941</v>
      </c>
      <c r="F37" s="207">
        <v>3388</v>
      </c>
      <c r="G37" s="207">
        <v>5362</v>
      </c>
      <c r="H37" s="207">
        <v>7615</v>
      </c>
    </row>
    <row r="38" spans="1:8" ht="15" customHeight="1" x14ac:dyDescent="0.35">
      <c r="A38" s="3"/>
      <c r="B38" s="48" t="s">
        <v>27</v>
      </c>
      <c r="C38" s="49" t="s">
        <v>8</v>
      </c>
      <c r="D38" s="213">
        <f>SUM(D34:D37)</f>
        <v>0</v>
      </c>
      <c r="E38" s="213">
        <f>SUM(E34:E37)</f>
        <v>15780</v>
      </c>
      <c r="F38" s="213">
        <f>SUM(F34:F37)</f>
        <v>17014</v>
      </c>
      <c r="G38" s="213">
        <f>SUM(G34:G37)</f>
        <v>17379.02</v>
      </c>
      <c r="H38" s="213">
        <f>SUM(H34:H37)</f>
        <v>20007.010000000002</v>
      </c>
    </row>
    <row r="39" spans="1:8" ht="15" customHeight="1" x14ac:dyDescent="0.35">
      <c r="A39" s="3"/>
      <c r="B39" s="48"/>
      <c r="C39" s="49"/>
      <c r="D39" s="50"/>
      <c r="E39" s="50"/>
      <c r="F39" s="50"/>
      <c r="G39" s="50"/>
      <c r="H39" s="50"/>
    </row>
    <row r="40" spans="1:8" ht="15" customHeight="1" x14ac:dyDescent="0.35">
      <c r="A40" s="3"/>
      <c r="B40" s="48"/>
      <c r="C40" s="49"/>
      <c r="D40" s="50"/>
      <c r="E40" s="50"/>
      <c r="F40" s="50"/>
      <c r="G40" s="50"/>
      <c r="H40" s="50"/>
    </row>
    <row r="41" spans="1:8" ht="15" customHeight="1" x14ac:dyDescent="0.35">
      <c r="A41" s="3"/>
      <c r="B41" s="16" t="s">
        <v>28</v>
      </c>
      <c r="C41" s="38" t="s">
        <v>8</v>
      </c>
      <c r="D41" s="205"/>
      <c r="E41" s="205">
        <v>36635</v>
      </c>
      <c r="F41" s="205">
        <v>45124</v>
      </c>
      <c r="G41" s="205">
        <v>51506</v>
      </c>
      <c r="H41" s="205">
        <v>56180</v>
      </c>
    </row>
    <row r="42" spans="1:8" ht="15" customHeight="1" x14ac:dyDescent="0.35">
      <c r="A42" s="3"/>
      <c r="B42" s="16" t="s">
        <v>29</v>
      </c>
      <c r="C42" s="38" t="s">
        <v>8</v>
      </c>
      <c r="D42" s="205"/>
      <c r="E42" s="205">
        <v>593</v>
      </c>
      <c r="F42" s="205">
        <v>615</v>
      </c>
      <c r="G42" s="205">
        <v>1470</v>
      </c>
      <c r="H42" s="205">
        <v>1389</v>
      </c>
    </row>
    <row r="43" spans="1:8" ht="15" customHeight="1" x14ac:dyDescent="0.35">
      <c r="A43" s="3"/>
      <c r="B43" s="16" t="s">
        <v>30</v>
      </c>
      <c r="C43" s="38" t="s">
        <v>8</v>
      </c>
      <c r="D43" s="205"/>
      <c r="E43" s="205">
        <v>3865</v>
      </c>
      <c r="F43" s="205">
        <v>4531</v>
      </c>
      <c r="G43" s="205">
        <v>4215</v>
      </c>
      <c r="H43" s="205">
        <v>4664</v>
      </c>
    </row>
    <row r="44" spans="1:8" ht="15" customHeight="1" thickBot="1" x14ac:dyDescent="0.4">
      <c r="A44" s="3"/>
      <c r="B44" s="48" t="s">
        <v>31</v>
      </c>
      <c r="C44" s="49" t="s">
        <v>8</v>
      </c>
      <c r="D44" s="214">
        <f>D38+SUM(D41:D43)</f>
        <v>0</v>
      </c>
      <c r="E44" s="214">
        <f>E38+SUM(E41:E43)</f>
        <v>56873</v>
      </c>
      <c r="F44" s="214">
        <f>F38+SUM(F41:F43)</f>
        <v>67284</v>
      </c>
      <c r="G44" s="214">
        <f>G38+SUM(G41:G43)</f>
        <v>74570.02</v>
      </c>
      <c r="H44" s="214">
        <f>H38+SUM(H41:H43)</f>
        <v>82240.010000000009</v>
      </c>
    </row>
    <row r="45" spans="1:8" ht="15" customHeight="1" x14ac:dyDescent="0.35">
      <c r="A45" s="3"/>
      <c r="B45" s="48"/>
      <c r="C45" s="49"/>
      <c r="D45" s="50"/>
      <c r="E45" s="50"/>
      <c r="F45" s="50"/>
      <c r="G45" s="50"/>
      <c r="H45" s="50"/>
    </row>
    <row r="46" spans="1:8" ht="15" customHeight="1" x14ac:dyDescent="0.35">
      <c r="A46" s="3"/>
      <c r="B46" s="48"/>
      <c r="C46" s="49"/>
      <c r="D46" s="50"/>
      <c r="E46" s="50"/>
      <c r="F46" s="50"/>
      <c r="G46" s="50"/>
      <c r="H46" s="50"/>
    </row>
    <row r="47" spans="1:8" ht="15" customHeight="1" x14ac:dyDescent="0.35">
      <c r="A47" s="3"/>
      <c r="B47" s="16" t="s">
        <v>32</v>
      </c>
      <c r="C47" s="38" t="s">
        <v>8</v>
      </c>
      <c r="D47" s="205"/>
      <c r="E47" s="205">
        <v>0.36</v>
      </c>
      <c r="F47" s="205">
        <v>0.37</v>
      </c>
      <c r="G47" s="205">
        <v>0.36</v>
      </c>
      <c r="H47" s="205">
        <v>0.37</v>
      </c>
    </row>
    <row r="48" spans="1:8" ht="15" customHeight="1" x14ac:dyDescent="0.35">
      <c r="A48" s="3"/>
      <c r="B48" s="16" t="s">
        <v>33</v>
      </c>
      <c r="C48" s="38" t="s">
        <v>8</v>
      </c>
      <c r="D48" s="205"/>
      <c r="E48" s="205">
        <v>6.51</v>
      </c>
      <c r="F48" s="205">
        <v>6.52</v>
      </c>
      <c r="G48" s="205">
        <v>6.54</v>
      </c>
      <c r="H48" s="205">
        <v>6.54</v>
      </c>
    </row>
    <row r="49" spans="1:8" ht="15" customHeight="1" x14ac:dyDescent="0.35">
      <c r="A49" s="3"/>
      <c r="B49" s="16" t="s">
        <v>34</v>
      </c>
      <c r="C49" s="38" t="s">
        <v>8</v>
      </c>
      <c r="D49" s="205"/>
      <c r="E49" s="205">
        <v>1235</v>
      </c>
      <c r="F49" s="205">
        <v>1204</v>
      </c>
      <c r="G49" s="205">
        <v>1367</v>
      </c>
      <c r="H49" s="205">
        <v>1594</v>
      </c>
    </row>
    <row r="50" spans="1:8" ht="15" customHeight="1" x14ac:dyDescent="0.35">
      <c r="A50" s="3"/>
      <c r="B50" s="16" t="s">
        <v>35</v>
      </c>
      <c r="C50" s="38" t="s">
        <v>8</v>
      </c>
      <c r="D50" s="207"/>
      <c r="E50" s="207">
        <v>354</v>
      </c>
      <c r="F50" s="207">
        <v>517</v>
      </c>
      <c r="G50" s="207">
        <v>1549</v>
      </c>
      <c r="H50" s="207">
        <v>1932</v>
      </c>
    </row>
    <row r="51" spans="1:8" ht="15" customHeight="1" x14ac:dyDescent="0.35">
      <c r="A51" s="3"/>
      <c r="B51" s="48" t="s">
        <v>36</v>
      </c>
      <c r="C51" s="49" t="s">
        <v>8</v>
      </c>
      <c r="D51" s="213">
        <f>SUM(D47:D50)</f>
        <v>0</v>
      </c>
      <c r="E51" s="213">
        <f>SUM(E47:E50)</f>
        <v>1595.87</v>
      </c>
      <c r="F51" s="213">
        <f>SUM(F47:F50)</f>
        <v>1727.89</v>
      </c>
      <c r="G51" s="213">
        <f>SUM(G47:G50)</f>
        <v>2922.9</v>
      </c>
      <c r="H51" s="213">
        <f>SUM(H47:H50)</f>
        <v>3532.91</v>
      </c>
    </row>
    <row r="52" spans="1:8" ht="15" customHeight="1" x14ac:dyDescent="0.35">
      <c r="A52" s="3"/>
      <c r="B52" s="48"/>
      <c r="C52" s="49"/>
      <c r="D52" s="50"/>
      <c r="E52" s="50"/>
      <c r="F52" s="50"/>
      <c r="G52" s="50"/>
      <c r="H52" s="50"/>
    </row>
    <row r="53" spans="1:8" ht="15" customHeight="1" x14ac:dyDescent="0.35">
      <c r="A53" s="3"/>
      <c r="B53" s="48"/>
      <c r="C53" s="49"/>
      <c r="D53" s="50"/>
      <c r="E53" s="50"/>
      <c r="F53" s="50"/>
      <c r="G53" s="50"/>
      <c r="H53" s="50"/>
    </row>
    <row r="54" spans="1:8" ht="15" customHeight="1" x14ac:dyDescent="0.35">
      <c r="A54" s="3"/>
      <c r="B54" s="16" t="s">
        <v>37</v>
      </c>
      <c r="C54" s="38" t="s">
        <v>8</v>
      </c>
      <c r="D54" s="207"/>
      <c r="E54" s="207">
        <v>1029</v>
      </c>
      <c r="F54" s="207">
        <v>2682</v>
      </c>
      <c r="G54" s="207">
        <v>5535</v>
      </c>
      <c r="H54" s="207">
        <v>6584</v>
      </c>
    </row>
    <row r="55" spans="1:8" ht="15" customHeight="1" x14ac:dyDescent="0.35">
      <c r="A55" s="3"/>
      <c r="B55" s="51" t="s">
        <v>38</v>
      </c>
      <c r="C55" s="49" t="s">
        <v>8</v>
      </c>
      <c r="D55" s="213">
        <f>D51+D54</f>
        <v>0</v>
      </c>
      <c r="E55" s="213">
        <f>E51+E54</f>
        <v>2624.87</v>
      </c>
      <c r="F55" s="213">
        <f>F51+F54</f>
        <v>4409.8900000000003</v>
      </c>
      <c r="G55" s="213">
        <f>G51+G54</f>
        <v>8457.9</v>
      </c>
      <c r="H55" s="213">
        <f>H51+H54</f>
        <v>10116.91</v>
      </c>
    </row>
    <row r="56" spans="1:8" ht="15" customHeight="1" x14ac:dyDescent="0.35">
      <c r="A56" s="3"/>
      <c r="B56" s="51"/>
      <c r="C56" s="49"/>
      <c r="D56" s="50"/>
      <c r="E56" s="50"/>
      <c r="F56" s="50"/>
      <c r="G56" s="50"/>
      <c r="H56" s="50"/>
    </row>
    <row r="57" spans="1:8" ht="15" customHeight="1" x14ac:dyDescent="0.35">
      <c r="A57" s="3"/>
      <c r="B57" s="51"/>
      <c r="C57" s="49"/>
      <c r="D57" s="50"/>
      <c r="E57" s="50"/>
      <c r="F57" s="50"/>
      <c r="G57" s="50"/>
      <c r="H57" s="50"/>
    </row>
    <row r="58" spans="1:8" ht="15" customHeight="1" x14ac:dyDescent="0.35">
      <c r="A58" s="3"/>
      <c r="B58" s="16" t="s">
        <v>39</v>
      </c>
      <c r="C58" s="38" t="s">
        <v>8</v>
      </c>
      <c r="D58" s="205"/>
      <c r="E58" s="205">
        <v>24.05</v>
      </c>
      <c r="F58" s="205">
        <v>24.05</v>
      </c>
      <c r="G58" s="205">
        <v>24.05</v>
      </c>
      <c r="H58" s="205">
        <v>24.05</v>
      </c>
    </row>
    <row r="59" spans="1:8" ht="15" customHeight="1" x14ac:dyDescent="0.35">
      <c r="A59" s="3"/>
      <c r="B59" s="16" t="s">
        <v>40</v>
      </c>
      <c r="C59" s="38" t="s">
        <v>8</v>
      </c>
      <c r="D59" s="215"/>
      <c r="E59" s="215">
        <v>-36.369999999999997</v>
      </c>
      <c r="F59" s="215">
        <v>-36.39</v>
      </c>
      <c r="G59" s="215">
        <v>-36.380000000000003</v>
      </c>
      <c r="H59" s="215">
        <v>-36.4</v>
      </c>
    </row>
    <row r="60" spans="1:8" ht="15" customHeight="1" x14ac:dyDescent="0.35">
      <c r="A60" s="3"/>
      <c r="B60" s="51" t="s">
        <v>41</v>
      </c>
      <c r="C60" s="49" t="s">
        <v>8</v>
      </c>
      <c r="D60" s="213">
        <f>D58+D59</f>
        <v>0</v>
      </c>
      <c r="E60" s="213">
        <f>E58+E59</f>
        <v>-12.319999999999997</v>
      </c>
      <c r="F60" s="213">
        <f>F58+F59</f>
        <v>-12.34</v>
      </c>
      <c r="G60" s="213">
        <f>G58+G59</f>
        <v>-12.330000000000002</v>
      </c>
      <c r="H60" s="213">
        <f>H58+H59</f>
        <v>-12.349999999999998</v>
      </c>
    </row>
    <row r="61" spans="1:8" ht="15" customHeight="1" x14ac:dyDescent="0.35">
      <c r="A61" s="3"/>
      <c r="B61" s="51"/>
      <c r="C61" s="49"/>
      <c r="D61" s="50"/>
      <c r="E61" s="50"/>
      <c r="F61" s="50"/>
      <c r="G61" s="50"/>
      <c r="H61" s="50"/>
    </row>
    <row r="62" spans="1:8" ht="15" customHeight="1" x14ac:dyDescent="0.35">
      <c r="A62" s="3"/>
      <c r="B62" s="51"/>
      <c r="C62" s="49"/>
      <c r="D62" s="50"/>
      <c r="E62" s="50"/>
      <c r="F62" s="50"/>
      <c r="G62" s="50"/>
      <c r="H62" s="50"/>
    </row>
    <row r="63" spans="1:8" ht="15" customHeight="1" thickBot="1" x14ac:dyDescent="0.4">
      <c r="A63" s="3"/>
      <c r="B63" s="51" t="s">
        <v>42</v>
      </c>
      <c r="C63" s="49" t="s">
        <v>8</v>
      </c>
      <c r="D63" s="214">
        <f>D55+D60</f>
        <v>0</v>
      </c>
      <c r="E63" s="214">
        <f>E55+E60</f>
        <v>2612.5499999999997</v>
      </c>
      <c r="F63" s="214">
        <f>F55+F60</f>
        <v>4397.55</v>
      </c>
      <c r="G63" s="214">
        <f>G55+G60</f>
        <v>8445.57</v>
      </c>
      <c r="H63" s="214">
        <f>H55+H60</f>
        <v>10104.56</v>
      </c>
    </row>
    <row r="64" spans="1:8" ht="15" customHeight="1" x14ac:dyDescent="0.35">
      <c r="A64" s="3"/>
      <c r="B64" s="51"/>
      <c r="C64" s="49"/>
      <c r="D64" s="50"/>
      <c r="E64" s="50"/>
      <c r="F64" s="50"/>
      <c r="G64" s="50"/>
      <c r="H64" s="50"/>
    </row>
    <row r="65" spans="1:8" ht="15" customHeight="1" x14ac:dyDescent="0.35">
      <c r="A65" s="3"/>
      <c r="B65" s="51"/>
      <c r="C65" s="49"/>
      <c r="D65" s="50"/>
      <c r="E65" s="50"/>
      <c r="F65" s="50"/>
      <c r="G65" s="50"/>
      <c r="H65" s="50"/>
    </row>
    <row r="66" spans="1:8" ht="15" customHeight="1" x14ac:dyDescent="0.35">
      <c r="A66" s="3"/>
      <c r="B66" s="13"/>
      <c r="C66" s="8"/>
      <c r="D66" s="39"/>
      <c r="E66" s="39"/>
      <c r="F66" s="39"/>
      <c r="G66" s="39"/>
      <c r="H66" s="39"/>
    </row>
    <row r="67" spans="1:8" ht="18" customHeight="1" x14ac:dyDescent="0.5">
      <c r="A67" s="41"/>
      <c r="B67" s="46" t="s">
        <v>43</v>
      </c>
      <c r="C67" s="41"/>
      <c r="D67" s="7"/>
      <c r="E67" s="42"/>
      <c r="F67" s="42"/>
      <c r="G67" s="42"/>
      <c r="H67" s="42"/>
    </row>
    <row r="68" spans="1:8" ht="18" customHeight="1" x14ac:dyDescent="0.5">
      <c r="A68" s="103"/>
      <c r="B68" s="105"/>
      <c r="C68" s="104"/>
      <c r="D68" s="106"/>
      <c r="E68" s="106"/>
      <c r="F68" s="106"/>
      <c r="G68" s="106"/>
      <c r="H68" s="106"/>
    </row>
    <row r="69" spans="1:8" ht="15" customHeight="1" x14ac:dyDescent="0.35">
      <c r="A69" s="3"/>
      <c r="B69" s="16" t="s">
        <v>19</v>
      </c>
      <c r="C69" s="38" t="s">
        <v>8</v>
      </c>
      <c r="D69" s="208">
        <f>D26</f>
        <v>0</v>
      </c>
      <c r="E69" s="208">
        <f>E26</f>
        <v>-66231.89</v>
      </c>
      <c r="F69" s="208">
        <f>F26</f>
        <v>-86249.819999999992</v>
      </c>
      <c r="G69" s="208">
        <f>G26</f>
        <v>-88348.83</v>
      </c>
      <c r="H69" s="208">
        <f>H26</f>
        <v>-88192.83</v>
      </c>
    </row>
    <row r="70" spans="1:8" ht="15" customHeight="1" x14ac:dyDescent="0.35">
      <c r="A70" s="3"/>
      <c r="B70" s="16" t="s">
        <v>13</v>
      </c>
      <c r="C70" s="38" t="s">
        <v>8</v>
      </c>
      <c r="D70" s="208">
        <f>-D16</f>
        <v>0</v>
      </c>
      <c r="E70" s="208">
        <f>-E16</f>
        <v>3747</v>
      </c>
      <c r="F70" s="208">
        <f>-F16</f>
        <v>4667</v>
      </c>
      <c r="G70" s="208">
        <f>-G16</f>
        <v>5368</v>
      </c>
      <c r="H70" s="208">
        <f>-H16</f>
        <v>6148</v>
      </c>
    </row>
    <row r="71" spans="1:8" ht="15" customHeight="1" x14ac:dyDescent="0.35">
      <c r="A71" s="3"/>
      <c r="B71" s="16" t="s">
        <v>44</v>
      </c>
      <c r="C71" s="38" t="s">
        <v>8</v>
      </c>
      <c r="D71" s="205"/>
      <c r="E71" s="205">
        <v>0</v>
      </c>
      <c r="F71" s="205">
        <v>0</v>
      </c>
      <c r="G71" s="205">
        <v>-0.02</v>
      </c>
      <c r="H71" s="205">
        <v>0.02</v>
      </c>
    </row>
    <row r="72" spans="1:8" ht="15" customHeight="1" x14ac:dyDescent="0.35">
      <c r="A72" s="3"/>
      <c r="B72" s="16" t="s">
        <v>45</v>
      </c>
      <c r="C72" s="38" t="s">
        <v>8</v>
      </c>
      <c r="D72" s="205"/>
      <c r="E72" s="205">
        <v>-6465</v>
      </c>
      <c r="F72" s="205">
        <v>-1195</v>
      </c>
      <c r="G72" s="205">
        <v>937</v>
      </c>
      <c r="H72" s="205">
        <v>-630</v>
      </c>
    </row>
    <row r="73" spans="1:8" ht="15" customHeight="1" x14ac:dyDescent="0.35">
      <c r="A73" s="3"/>
      <c r="B73" s="16" t="s">
        <v>46</v>
      </c>
      <c r="C73" s="38" t="s">
        <v>8</v>
      </c>
      <c r="D73" s="205"/>
      <c r="E73" s="205">
        <v>8029</v>
      </c>
      <c r="F73" s="205">
        <v>2605</v>
      </c>
      <c r="G73" s="205">
        <v>0</v>
      </c>
      <c r="H73" s="205">
        <v>0</v>
      </c>
    </row>
    <row r="74" spans="1:8" ht="15" customHeight="1" x14ac:dyDescent="0.35">
      <c r="A74" s="3"/>
      <c r="B74" s="16" t="s">
        <v>47</v>
      </c>
      <c r="C74" s="38" t="s">
        <v>8</v>
      </c>
      <c r="D74" s="205"/>
      <c r="E74" s="205">
        <v>0.01</v>
      </c>
      <c r="F74" s="205">
        <v>-0.01</v>
      </c>
      <c r="G74" s="205">
        <v>172</v>
      </c>
      <c r="H74" s="205">
        <v>272</v>
      </c>
    </row>
    <row r="75" spans="1:8" ht="15" customHeight="1" thickBot="1" x14ac:dyDescent="0.4">
      <c r="A75" s="3"/>
      <c r="B75" s="48" t="s">
        <v>48</v>
      </c>
      <c r="C75" s="49" t="s">
        <v>8</v>
      </c>
      <c r="D75" s="214">
        <f>SUM(D69:D74)</f>
        <v>0</v>
      </c>
      <c r="E75" s="214">
        <f>SUM(E69:E74)</f>
        <v>-60920.88</v>
      </c>
      <c r="F75" s="214">
        <f>SUM(F69:F74)</f>
        <v>-80172.829999999987</v>
      </c>
      <c r="G75" s="214">
        <f>SUM(G69:G74)</f>
        <v>-81871.850000000006</v>
      </c>
      <c r="H75" s="214">
        <f>SUM(H69:H74)</f>
        <v>-82402.81</v>
      </c>
    </row>
    <row r="76" spans="1:8" ht="15" customHeight="1" x14ac:dyDescent="0.35">
      <c r="A76" s="3"/>
      <c r="B76" s="48"/>
      <c r="C76" s="49"/>
      <c r="D76" s="50"/>
      <c r="E76" s="50"/>
      <c r="F76" s="50"/>
      <c r="G76" s="50"/>
      <c r="H76" s="50"/>
    </row>
    <row r="77" spans="1:8" ht="15" customHeight="1" x14ac:dyDescent="0.35">
      <c r="A77" s="3"/>
      <c r="B77" s="48"/>
      <c r="C77" s="49"/>
      <c r="D77" s="50"/>
      <c r="E77" s="50"/>
      <c r="F77" s="50"/>
      <c r="G77" s="50"/>
      <c r="H77" s="50"/>
    </row>
    <row r="78" spans="1:8" ht="15" customHeight="1" x14ac:dyDescent="0.35">
      <c r="A78" s="3"/>
      <c r="B78" s="16" t="s">
        <v>49</v>
      </c>
      <c r="C78" s="38" t="s">
        <v>8</v>
      </c>
      <c r="D78" s="205"/>
      <c r="E78" s="205">
        <v>-7172</v>
      </c>
      <c r="F78" s="205">
        <v>-8899</v>
      </c>
      <c r="G78" s="205">
        <v>-11342</v>
      </c>
      <c r="H78" s="205">
        <v>-8527</v>
      </c>
    </row>
    <row r="79" spans="1:8" ht="15" customHeight="1" x14ac:dyDescent="0.35">
      <c r="A79" s="3"/>
      <c r="B79" s="16" t="s">
        <v>50</v>
      </c>
      <c r="C79" s="38" t="s">
        <v>8</v>
      </c>
      <c r="D79" s="205"/>
      <c r="E79" s="205">
        <v>0</v>
      </c>
      <c r="F79" s="205">
        <v>0</v>
      </c>
      <c r="G79" s="205">
        <v>0</v>
      </c>
      <c r="H79" s="205">
        <v>-37109</v>
      </c>
    </row>
    <row r="80" spans="1:8" ht="15" customHeight="1" thickBot="1" x14ac:dyDescent="0.4">
      <c r="A80" s="3"/>
      <c r="B80" s="51" t="s">
        <v>51</v>
      </c>
      <c r="C80" s="49" t="s">
        <v>8</v>
      </c>
      <c r="D80" s="214">
        <f>SUM(D78:D79)</f>
        <v>0</v>
      </c>
      <c r="E80" s="214">
        <f>SUM(E78:E79)</f>
        <v>-7172</v>
      </c>
      <c r="F80" s="214">
        <f>SUM(F78:F79)</f>
        <v>-8899</v>
      </c>
      <c r="G80" s="214">
        <f>SUM(G78:G79)</f>
        <v>-11342</v>
      </c>
      <c r="H80" s="214">
        <f>SUM(H78:H79)</f>
        <v>-45636</v>
      </c>
    </row>
    <row r="81" spans="1:8" ht="15" customHeight="1" x14ac:dyDescent="0.35">
      <c r="A81" s="3"/>
      <c r="B81" s="51"/>
      <c r="C81" s="49"/>
      <c r="D81" s="50"/>
      <c r="E81" s="50"/>
      <c r="F81" s="50"/>
      <c r="G81" s="50"/>
      <c r="H81" s="50"/>
    </row>
    <row r="82" spans="1:8" ht="15" customHeight="1" x14ac:dyDescent="0.35">
      <c r="A82" s="3"/>
      <c r="B82" s="51"/>
      <c r="C82" s="49"/>
      <c r="D82" s="50"/>
      <c r="E82" s="50"/>
      <c r="F82" s="50"/>
      <c r="G82" s="50"/>
      <c r="H82" s="50"/>
    </row>
    <row r="83" spans="1:8" ht="15" customHeight="1" x14ac:dyDescent="0.35">
      <c r="A83" s="3"/>
      <c r="B83" s="16" t="s">
        <v>52</v>
      </c>
      <c r="C83" s="38" t="s">
        <v>8</v>
      </c>
      <c r="D83" s="205"/>
      <c r="E83" s="205">
        <v>0.06</v>
      </c>
      <c r="F83" s="205">
        <v>0.02</v>
      </c>
      <c r="G83" s="205">
        <v>0.02</v>
      </c>
      <c r="H83" s="205">
        <v>0</v>
      </c>
    </row>
    <row r="84" spans="1:8" ht="15" customHeight="1" x14ac:dyDescent="0.35">
      <c r="A84" s="3"/>
      <c r="B84" s="16" t="s">
        <v>53</v>
      </c>
      <c r="C84" s="38" t="s">
        <v>8</v>
      </c>
      <c r="D84" s="205"/>
      <c r="E84" s="205">
        <v>0</v>
      </c>
      <c r="F84" s="205">
        <v>0</v>
      </c>
      <c r="G84" s="205">
        <v>0</v>
      </c>
      <c r="H84" s="205">
        <v>0</v>
      </c>
    </row>
    <row r="85" spans="1:8" ht="15" customHeight="1" x14ac:dyDescent="0.35">
      <c r="A85" s="3"/>
      <c r="B85" s="16" t="s">
        <v>54</v>
      </c>
      <c r="C85" s="38" t="s">
        <v>8</v>
      </c>
      <c r="D85" s="205"/>
      <c r="E85" s="205">
        <v>-89402</v>
      </c>
      <c r="F85" s="205">
        <v>-77550</v>
      </c>
      <c r="G85" s="205">
        <v>-94949</v>
      </c>
      <c r="H85" s="205">
        <v>-90711</v>
      </c>
    </row>
    <row r="86" spans="1:8" ht="15" customHeight="1" thickBot="1" x14ac:dyDescent="0.4">
      <c r="A86" s="3"/>
      <c r="B86" s="48" t="s">
        <v>55</v>
      </c>
      <c r="C86" s="49" t="s">
        <v>8</v>
      </c>
      <c r="D86" s="214">
        <f>SUM(D83:D85)</f>
        <v>0</v>
      </c>
      <c r="E86" s="214">
        <f>SUM(E83:E85)</f>
        <v>-89401.94</v>
      </c>
      <c r="F86" s="214">
        <f>SUM(F83:F85)</f>
        <v>-77549.98</v>
      </c>
      <c r="G86" s="214">
        <f>SUM(G83:G85)</f>
        <v>-94948.98</v>
      </c>
      <c r="H86" s="214">
        <f>SUM(H83:H85)</f>
        <v>-90711</v>
      </c>
    </row>
    <row r="87" spans="1:8" ht="15" customHeight="1" x14ac:dyDescent="0.35">
      <c r="A87" s="3"/>
      <c r="B87" s="48"/>
      <c r="C87" s="49"/>
      <c r="D87" s="50"/>
      <c r="E87" s="50"/>
      <c r="F87" s="50"/>
      <c r="G87" s="50"/>
      <c r="H87" s="50"/>
    </row>
    <row r="88" spans="1:8" ht="15" customHeight="1" x14ac:dyDescent="0.35">
      <c r="A88" s="3"/>
      <c r="B88" s="48"/>
      <c r="C88" s="49"/>
      <c r="D88" s="50"/>
      <c r="E88" s="50"/>
      <c r="F88" s="50"/>
      <c r="G88" s="50"/>
      <c r="H88" s="50"/>
    </row>
    <row r="89" spans="1:8" ht="15" customHeight="1" x14ac:dyDescent="0.35">
      <c r="A89" s="3"/>
      <c r="B89" s="51" t="s">
        <v>56</v>
      </c>
      <c r="C89" s="49" t="s">
        <v>8</v>
      </c>
      <c r="D89" s="213">
        <f>D75+D80+D86</f>
        <v>0</v>
      </c>
      <c r="E89" s="213">
        <f>E75+E80+E86</f>
        <v>-157494.82</v>
      </c>
      <c r="F89" s="213">
        <f>F75+F80+F86</f>
        <v>-166621.81</v>
      </c>
      <c r="G89" s="213">
        <f>G75+G80+G86</f>
        <v>-188162.83000000002</v>
      </c>
      <c r="H89" s="213">
        <f>H75+H80+H86</f>
        <v>-218749.81</v>
      </c>
    </row>
    <row r="90" spans="1:8" ht="15" customHeight="1" x14ac:dyDescent="0.35">
      <c r="A90" s="3"/>
      <c r="B90" s="16" t="s">
        <v>57</v>
      </c>
      <c r="C90" s="38" t="s">
        <v>8</v>
      </c>
      <c r="D90" s="205"/>
      <c r="E90" s="205">
        <v>0.01</v>
      </c>
      <c r="F90" s="205">
        <v>0</v>
      </c>
      <c r="G90" s="205">
        <v>0</v>
      </c>
      <c r="H90" s="205">
        <v>0</v>
      </c>
    </row>
    <row r="91" spans="1:8" ht="15" customHeight="1" thickBot="1" x14ac:dyDescent="0.4">
      <c r="A91" s="3"/>
      <c r="B91" s="51" t="s">
        <v>58</v>
      </c>
      <c r="C91" s="49" t="s">
        <v>8</v>
      </c>
      <c r="D91" s="214">
        <f>D90+D89</f>
        <v>0</v>
      </c>
      <c r="E91" s="214">
        <f>E90+E89</f>
        <v>-157494.81</v>
      </c>
      <c r="F91" s="214">
        <f>F90+F89</f>
        <v>-166621.81</v>
      </c>
      <c r="G91" s="214">
        <f>G90+G89</f>
        <v>-188162.83000000002</v>
      </c>
      <c r="H91" s="214">
        <f>H90+H89</f>
        <v>-218749.81</v>
      </c>
    </row>
    <row r="92" spans="1:8" ht="15" customHeight="1" x14ac:dyDescent="0.35">
      <c r="A92" s="3"/>
      <c r="B92" s="13"/>
      <c r="C92" s="8"/>
      <c r="D92" s="39"/>
      <c r="E92" s="39"/>
      <c r="F92" s="39"/>
      <c r="G92" s="39"/>
      <c r="H92" s="39"/>
    </row>
    <row r="93" spans="1:8" ht="18" customHeight="1" x14ac:dyDescent="0.5">
      <c r="A93" s="7"/>
      <c r="B93" s="46" t="s">
        <v>369</v>
      </c>
      <c r="C93" s="7"/>
      <c r="D93" s="7"/>
      <c r="E93" s="7"/>
      <c r="F93" s="7"/>
      <c r="G93" s="7"/>
      <c r="H93" s="7"/>
    </row>
    <row r="94" spans="1:8" ht="18" customHeight="1" x14ac:dyDescent="0.35">
      <c r="A94" s="3"/>
      <c r="B94" s="13"/>
      <c r="C94" s="8"/>
      <c r="D94" s="39"/>
      <c r="E94" s="39"/>
      <c r="F94" s="39"/>
      <c r="G94" s="39"/>
      <c r="H94" s="39"/>
    </row>
    <row r="95" spans="1:8" ht="15" customHeight="1" x14ac:dyDescent="0.35">
      <c r="A95" s="3"/>
      <c r="B95" s="390" t="s">
        <v>370</v>
      </c>
      <c r="C95" s="8" t="s">
        <v>8</v>
      </c>
      <c r="D95" s="39"/>
      <c r="E95" s="430">
        <v>0</v>
      </c>
      <c r="F95" s="430">
        <v>0</v>
      </c>
      <c r="G95" s="430">
        <v>0</v>
      </c>
      <c r="H95" s="430">
        <v>0</v>
      </c>
    </row>
    <row r="96" spans="1:8" ht="15" customHeight="1" x14ac:dyDescent="0.35">
      <c r="A96" s="3"/>
      <c r="B96" s="26" t="s">
        <v>371</v>
      </c>
      <c r="C96" s="8" t="s">
        <v>69</v>
      </c>
      <c r="D96" s="39"/>
      <c r="E96" s="39"/>
      <c r="F96" s="39"/>
      <c r="G96" s="39"/>
      <c r="H96" s="39"/>
    </row>
    <row r="97" spans="1:8" ht="15" customHeight="1" x14ac:dyDescent="0.35">
      <c r="A97" s="3"/>
      <c r="B97" s="390" t="s">
        <v>372</v>
      </c>
      <c r="C97" s="8" t="s">
        <v>69</v>
      </c>
      <c r="D97" s="39"/>
      <c r="E97" s="430">
        <v>9.5000000000000001E-2</v>
      </c>
      <c r="F97" s="430">
        <v>9.5000000000000001E-2</v>
      </c>
      <c r="G97" s="430">
        <v>9.5000000000000001E-2</v>
      </c>
      <c r="H97" s="430">
        <v>9.5000000000000001E-2</v>
      </c>
    </row>
    <row r="98" spans="1:8" ht="15" customHeight="1" x14ac:dyDescent="0.35">
      <c r="A98" s="3"/>
      <c r="B98" s="26" t="s">
        <v>373</v>
      </c>
      <c r="C98" s="8" t="s">
        <v>69</v>
      </c>
      <c r="D98" s="39"/>
      <c r="E98" s="39"/>
      <c r="F98" s="39"/>
      <c r="G98" s="39"/>
      <c r="H98" s="39"/>
    </row>
    <row r="99" spans="1:8" ht="15" customHeight="1" x14ac:dyDescent="0.35">
      <c r="A99" s="3"/>
      <c r="B99" s="390" t="s">
        <v>376</v>
      </c>
      <c r="C99" s="8" t="s">
        <v>8</v>
      </c>
      <c r="D99" s="39"/>
      <c r="E99" s="39"/>
      <c r="F99" s="39"/>
      <c r="G99" s="39"/>
      <c r="H99" s="39"/>
    </row>
    <row r="100" spans="1:8" ht="15" customHeight="1" x14ac:dyDescent="0.35">
      <c r="A100" s="3"/>
      <c r="B100" s="390" t="s">
        <v>377</v>
      </c>
      <c r="C100" s="8" t="s">
        <v>8</v>
      </c>
      <c r="D100" s="39"/>
      <c r="E100" s="39"/>
      <c r="F100" s="39"/>
      <c r="G100" s="39"/>
      <c r="H100" s="39"/>
    </row>
    <row r="101" spans="1:8" ht="15" customHeight="1" x14ac:dyDescent="0.35">
      <c r="A101" s="3"/>
      <c r="B101" s="390" t="s">
        <v>378</v>
      </c>
      <c r="C101" s="8" t="s">
        <v>8</v>
      </c>
      <c r="D101" s="39"/>
      <c r="E101" s="39"/>
      <c r="F101" s="39"/>
      <c r="G101" s="39"/>
      <c r="H101" s="39"/>
    </row>
    <row r="102" spans="1:8" ht="15" customHeight="1" x14ac:dyDescent="0.35">
      <c r="A102" s="3"/>
      <c r="B102" s="390" t="s">
        <v>380</v>
      </c>
      <c r="C102" s="8" t="s">
        <v>83</v>
      </c>
      <c r="D102" s="39"/>
      <c r="E102" s="430" t="s">
        <v>381</v>
      </c>
      <c r="F102" s="430" t="s">
        <v>381</v>
      </c>
      <c r="G102" s="430" t="s">
        <v>381</v>
      </c>
      <c r="H102" s="430" t="s">
        <v>381</v>
      </c>
    </row>
    <row r="103" spans="1:8" ht="15" customHeight="1" x14ac:dyDescent="0.35">
      <c r="A103" s="3"/>
      <c r="B103" s="390" t="s">
        <v>382</v>
      </c>
      <c r="C103" s="8" t="s">
        <v>383</v>
      </c>
      <c r="D103" s="39"/>
      <c r="E103" s="430">
        <v>0</v>
      </c>
      <c r="F103" s="430">
        <v>0</v>
      </c>
      <c r="G103" s="430">
        <v>0</v>
      </c>
      <c r="H103" s="430">
        <v>0</v>
      </c>
    </row>
    <row r="104" spans="1:8" ht="15" customHeight="1" x14ac:dyDescent="0.35">
      <c r="A104" s="3"/>
      <c r="B104" s="13"/>
      <c r="C104" s="8"/>
      <c r="D104" s="39"/>
      <c r="E104" s="39"/>
      <c r="F104" s="39"/>
      <c r="G104" s="39"/>
      <c r="H104" s="39"/>
    </row>
    <row r="105" spans="1:8" ht="15" customHeight="1" x14ac:dyDescent="0.35">
      <c r="A105" s="3"/>
      <c r="B105" s="391" t="s">
        <v>384</v>
      </c>
      <c r="C105" s="8"/>
      <c r="D105" s="39"/>
      <c r="E105" s="39"/>
      <c r="F105" s="39"/>
      <c r="G105" s="39"/>
      <c r="H105" s="39"/>
    </row>
    <row r="106" spans="1:8" ht="15" customHeight="1" x14ac:dyDescent="0.35">
      <c r="A106" s="3"/>
      <c r="B106" s="13"/>
      <c r="C106" s="8"/>
      <c r="D106" s="39"/>
      <c r="E106" s="39"/>
      <c r="F106" s="39"/>
      <c r="G106" s="39"/>
      <c r="H106" s="39"/>
    </row>
    <row r="107" spans="1:8" ht="15" customHeight="1" x14ac:dyDescent="0.5">
      <c r="A107" s="41"/>
      <c r="B107" s="46" t="s">
        <v>59</v>
      </c>
      <c r="C107" s="41"/>
      <c r="D107" s="7"/>
      <c r="E107" s="42"/>
      <c r="F107" s="42"/>
      <c r="G107" s="42"/>
      <c r="H107" s="42"/>
    </row>
    <row r="108" spans="1:8" ht="15" customHeight="1" x14ac:dyDescent="0.5">
      <c r="A108" s="103"/>
      <c r="B108" s="105"/>
      <c r="C108" s="104"/>
      <c r="D108" s="106"/>
      <c r="E108" s="106"/>
      <c r="F108" s="106"/>
      <c r="G108" s="106"/>
      <c r="H108" s="106"/>
    </row>
    <row r="109" spans="1:8" ht="15" customHeight="1" x14ac:dyDescent="0.35">
      <c r="A109" s="3"/>
      <c r="B109" s="16" t="s">
        <v>60</v>
      </c>
      <c r="C109" s="38" t="s">
        <v>61</v>
      </c>
      <c r="D109" s="205"/>
      <c r="E109" s="205" t="s">
        <v>381</v>
      </c>
      <c r="F109" s="205" t="s">
        <v>381</v>
      </c>
      <c r="G109" s="205" t="s">
        <v>381</v>
      </c>
      <c r="H109" s="205">
        <v>0.08</v>
      </c>
    </row>
    <row r="110" spans="1:8" ht="15" customHeight="1" x14ac:dyDescent="0.35">
      <c r="A110" s="3"/>
      <c r="B110" s="16" t="s">
        <v>62</v>
      </c>
      <c r="C110" s="38" t="s">
        <v>63</v>
      </c>
      <c r="D110" s="209"/>
      <c r="E110" s="209" t="s">
        <v>381</v>
      </c>
      <c r="F110" s="209" t="s">
        <v>381</v>
      </c>
      <c r="G110" s="209" t="s">
        <v>381</v>
      </c>
      <c r="H110" s="209">
        <v>42.46</v>
      </c>
    </row>
    <row r="111" spans="1:8" ht="15" customHeight="1" x14ac:dyDescent="0.35">
      <c r="A111" s="3"/>
      <c r="B111" s="16" t="s">
        <v>64</v>
      </c>
      <c r="C111" s="38" t="s">
        <v>8</v>
      </c>
      <c r="D111" s="213">
        <f>D109*D110</f>
        <v>0</v>
      </c>
      <c r="E111" s="213" t="e">
        <f>E109*E110</f>
        <v>#VALUE!</v>
      </c>
      <c r="F111" s="213" t="e">
        <f>F109*F110</f>
        <v>#VALUE!</v>
      </c>
      <c r="G111" s="213" t="e">
        <f>G109*G110</f>
        <v>#VALUE!</v>
      </c>
      <c r="H111" s="213">
        <f>H109*H110</f>
        <v>3.3968000000000003</v>
      </c>
    </row>
    <row r="112" spans="1:8" ht="18" customHeight="1" x14ac:dyDescent="0.35">
      <c r="A112" s="3"/>
      <c r="B112" s="13" t="s">
        <v>65</v>
      </c>
      <c r="C112" s="38" t="s">
        <v>8</v>
      </c>
      <c r="D112" s="213">
        <f>D111+D54+D48-D34</f>
        <v>0</v>
      </c>
      <c r="E112" s="213" t="e">
        <f>E111+E54+E48-E34</f>
        <v>#VALUE!</v>
      </c>
      <c r="F112" s="213" t="e">
        <f>F111+F54+F48-F34</f>
        <v>#VALUE!</v>
      </c>
      <c r="G112" s="213" t="e">
        <f>G111+G54+G48-G34</f>
        <v>#VALUE!</v>
      </c>
      <c r="H112" s="213">
        <f>H111+H54+H48-H34</f>
        <v>6593.9268000000002</v>
      </c>
    </row>
    <row r="113" spans="1:11" ht="18" customHeight="1" x14ac:dyDescent="0.35">
      <c r="A113" s="3"/>
      <c r="B113" s="16" t="s">
        <v>66</v>
      </c>
      <c r="C113" s="38" t="s">
        <v>67</v>
      </c>
      <c r="D113" s="205"/>
      <c r="E113" s="347"/>
      <c r="F113" s="347"/>
      <c r="G113" s="347"/>
      <c r="H113" s="348">
        <v>1.8</v>
      </c>
    </row>
    <row r="114" spans="1:11" ht="15" customHeight="1" x14ac:dyDescent="0.35">
      <c r="A114" s="3"/>
      <c r="B114" s="16" t="s">
        <v>68</v>
      </c>
      <c r="C114" s="38" t="s">
        <v>69</v>
      </c>
      <c r="D114" s="205"/>
      <c r="E114" s="349"/>
      <c r="F114" s="349"/>
      <c r="G114" s="349"/>
      <c r="H114" s="350">
        <v>4.2799999999999998E-2</v>
      </c>
    </row>
    <row r="115" spans="1:11" ht="15" customHeight="1" x14ac:dyDescent="0.35">
      <c r="A115" s="3"/>
      <c r="B115" s="16" t="s">
        <v>70</v>
      </c>
      <c r="C115" s="38" t="s">
        <v>69</v>
      </c>
      <c r="D115" s="205"/>
      <c r="E115" s="349"/>
      <c r="F115" s="349"/>
      <c r="G115" s="349"/>
      <c r="H115" s="350">
        <v>5.5E-2</v>
      </c>
    </row>
    <row r="116" spans="1:11" ht="15" customHeight="1" x14ac:dyDescent="0.35">
      <c r="A116" s="3"/>
      <c r="B116" s="16" t="s">
        <v>71</v>
      </c>
      <c r="C116" s="38" t="s">
        <v>69</v>
      </c>
      <c r="D116" s="208">
        <v>0.10829999999999999</v>
      </c>
      <c r="E116" s="351">
        <v>0.10829999999999999</v>
      </c>
      <c r="F116" s="351">
        <v>0.10630000000000001</v>
      </c>
      <c r="G116" s="351">
        <v>0.10630000000000001</v>
      </c>
      <c r="H116" s="351">
        <v>0.10630000000000001</v>
      </c>
    </row>
    <row r="117" spans="1:11" ht="15" customHeight="1" x14ac:dyDescent="0.35">
      <c r="A117" s="3"/>
      <c r="B117" s="16" t="s">
        <v>72</v>
      </c>
      <c r="C117" s="38" t="s">
        <v>69</v>
      </c>
      <c r="D117" s="205"/>
      <c r="E117" s="350"/>
      <c r="F117" s="350"/>
      <c r="G117" s="350"/>
      <c r="H117" s="350">
        <v>0.08</v>
      </c>
    </row>
    <row r="118" spans="1:11" ht="15" customHeight="1" x14ac:dyDescent="0.35">
      <c r="A118" s="3"/>
      <c r="B118" s="16" t="s">
        <v>73</v>
      </c>
      <c r="C118" s="38" t="s">
        <v>69</v>
      </c>
      <c r="D118" s="205"/>
      <c r="E118" s="349"/>
      <c r="F118" s="349"/>
      <c r="G118" s="349"/>
      <c r="H118" s="350">
        <v>0.21</v>
      </c>
    </row>
    <row r="119" spans="1:11" ht="15" customHeight="1" x14ac:dyDescent="0.35">
      <c r="A119" s="3"/>
      <c r="B119" s="16" t="s">
        <v>74</v>
      </c>
      <c r="C119" s="38" t="s">
        <v>69</v>
      </c>
      <c r="D119" s="208">
        <v>3.7900000000000003E-2</v>
      </c>
      <c r="E119" s="351">
        <v>3.7900000000000003E-2</v>
      </c>
      <c r="F119" s="351">
        <v>3.6299999999999999E-2</v>
      </c>
      <c r="G119" s="351">
        <v>3.6299999999999999E-2</v>
      </c>
      <c r="H119" s="351">
        <v>3.6299999999999999E-2</v>
      </c>
    </row>
    <row r="120" spans="1:11" ht="15" customHeight="1" x14ac:dyDescent="0.35">
      <c r="A120" s="3"/>
      <c r="B120" s="16" t="s">
        <v>75</v>
      </c>
      <c r="C120" s="38" t="s">
        <v>69</v>
      </c>
      <c r="D120" s="205"/>
      <c r="E120" s="349"/>
      <c r="F120" s="349"/>
      <c r="G120" s="349"/>
      <c r="H120" s="350">
        <v>0.85</v>
      </c>
    </row>
    <row r="121" spans="1:11" ht="15" customHeight="1" x14ac:dyDescent="0.35">
      <c r="A121" s="3"/>
      <c r="B121" s="16" t="s">
        <v>76</v>
      </c>
      <c r="C121" s="38" t="s">
        <v>69</v>
      </c>
      <c r="D121" s="205"/>
      <c r="E121" s="349"/>
      <c r="F121" s="349"/>
      <c r="G121" s="349"/>
      <c r="H121" s="350">
        <v>0.15</v>
      </c>
    </row>
    <row r="122" spans="1:11" ht="15" customHeight="1" x14ac:dyDescent="0.35">
      <c r="A122" s="3"/>
      <c r="B122" s="13" t="s">
        <v>77</v>
      </c>
      <c r="C122" s="38" t="s">
        <v>69</v>
      </c>
      <c r="D122" s="205">
        <f>D120*(D114+D113*D115)+D121*D117*(1-D118)</f>
        <v>0</v>
      </c>
      <c r="E122" s="350">
        <f>E120*(E114+E113*E115)+E121*E117*(1-E118)</f>
        <v>0</v>
      </c>
      <c r="F122" s="350">
        <f>F120*(F114+F113*F115)+F121*F117*(1-F118)</f>
        <v>0</v>
      </c>
      <c r="G122" s="350">
        <f>G120*(G114+G113*G115)+G121*G117*(1-G118)</f>
        <v>0</v>
      </c>
      <c r="H122" s="350">
        <f>H120*(H114+H113*H115)+H121*H117*(1-H118)</f>
        <v>0.13000999999999999</v>
      </c>
    </row>
    <row r="123" spans="1:11" ht="15" customHeight="1" x14ac:dyDescent="0.35">
      <c r="A123" s="3"/>
      <c r="B123" s="16" t="s">
        <v>78</v>
      </c>
      <c r="C123" s="38" t="s">
        <v>69</v>
      </c>
      <c r="D123" s="205"/>
      <c r="E123" s="431"/>
      <c r="F123" s="431"/>
      <c r="G123" s="431"/>
      <c r="H123" s="350">
        <v>2.5000000000000001E-2</v>
      </c>
    </row>
    <row r="124" spans="1:11" ht="15" customHeight="1" x14ac:dyDescent="0.35">
      <c r="A124" s="3"/>
      <c r="B124" s="16" t="s">
        <v>79</v>
      </c>
      <c r="C124" s="38" t="s">
        <v>80</v>
      </c>
      <c r="D124" s="205"/>
      <c r="E124" s="346"/>
      <c r="F124" s="346"/>
      <c r="G124" s="346"/>
      <c r="H124" s="205">
        <v>365</v>
      </c>
    </row>
    <row r="125" spans="1:11" ht="15" customHeight="1" x14ac:dyDescent="0.35">
      <c r="A125" s="3"/>
      <c r="B125" s="13"/>
      <c r="C125" s="8"/>
      <c r="D125" s="39"/>
      <c r="E125" s="39"/>
      <c r="F125" s="39"/>
      <c r="G125" s="39"/>
      <c r="H125" s="39"/>
    </row>
    <row r="126" spans="1:11" ht="15" customHeight="1" x14ac:dyDescent="0.5">
      <c r="A126" s="41"/>
      <c r="B126" s="46" t="s">
        <v>81</v>
      </c>
      <c r="C126" s="41"/>
      <c r="D126" s="7"/>
      <c r="E126" s="42"/>
      <c r="F126" s="42"/>
      <c r="G126" s="42"/>
      <c r="H126" s="42"/>
    </row>
    <row r="127" spans="1:11" ht="15" customHeight="1" x14ac:dyDescent="0.5">
      <c r="A127" s="103"/>
      <c r="B127" s="105"/>
      <c r="C127" s="104"/>
      <c r="D127" s="106"/>
      <c r="E127" s="106"/>
      <c r="F127" s="106"/>
      <c r="G127" s="106"/>
      <c r="H127" s="106"/>
    </row>
    <row r="128" spans="1:11" ht="3" customHeight="1" x14ac:dyDescent="0.35">
      <c r="A128" s="3"/>
      <c r="B128" s="13" t="s">
        <v>82</v>
      </c>
      <c r="C128" s="38" t="s">
        <v>83</v>
      </c>
      <c r="D128" s="205" t="s">
        <v>84</v>
      </c>
      <c r="E128" s="39"/>
      <c r="F128" s="39"/>
      <c r="G128" s="39"/>
      <c r="H128" s="39"/>
      <c r="I128" s="276"/>
      <c r="J128" s="276"/>
      <c r="K128" s="276"/>
    </row>
    <row r="129" spans="1:8" ht="15" customHeight="1" x14ac:dyDescent="0.35">
      <c r="A129" s="3"/>
      <c r="B129" s="13" t="s">
        <v>85</v>
      </c>
      <c r="C129" s="38" t="s">
        <v>83</v>
      </c>
      <c r="D129" s="205" t="s">
        <v>86</v>
      </c>
      <c r="E129" s="39"/>
      <c r="F129" s="39"/>
      <c r="G129" s="39"/>
      <c r="H129" s="39"/>
    </row>
    <row r="130" spans="1:8" ht="15" customHeight="1" x14ac:dyDescent="0.35">
      <c r="A130" s="3"/>
      <c r="B130" s="13" t="s">
        <v>87</v>
      </c>
      <c r="C130" s="38" t="s">
        <v>83</v>
      </c>
      <c r="D130" s="210" t="s">
        <v>368</v>
      </c>
      <c r="E130" s="39"/>
      <c r="F130" s="39"/>
      <c r="G130" s="39"/>
      <c r="H130" s="39"/>
    </row>
    <row r="131" spans="1:8" ht="15" customHeight="1" x14ac:dyDescent="0.35">
      <c r="A131" s="3"/>
      <c r="B131" s="71" t="s">
        <v>88</v>
      </c>
      <c r="C131" s="38" t="s">
        <v>83</v>
      </c>
      <c r="D131" s="77">
        <v>2025</v>
      </c>
      <c r="E131" s="39"/>
      <c r="F131" s="39"/>
      <c r="G131" s="39"/>
      <c r="H131" s="39"/>
    </row>
    <row r="132" spans="1:8" ht="15" customHeight="1" x14ac:dyDescent="0.35">
      <c r="A132" s="3"/>
      <c r="B132" s="13" t="s">
        <v>89</v>
      </c>
      <c r="C132" s="38" t="s">
        <v>83</v>
      </c>
      <c r="D132" s="205" t="s">
        <v>90</v>
      </c>
      <c r="E132" s="39"/>
      <c r="F132" s="39"/>
      <c r="G132" s="39"/>
      <c r="H132" s="39"/>
    </row>
    <row r="133" spans="1:8" ht="15" customHeight="1" x14ac:dyDescent="0.35">
      <c r="A133" s="3"/>
      <c r="B133" s="13" t="s">
        <v>91</v>
      </c>
      <c r="C133" s="38" t="s">
        <v>83</v>
      </c>
      <c r="D133" s="205" t="s">
        <v>367</v>
      </c>
      <c r="E133" s="39"/>
      <c r="F133" s="39"/>
      <c r="G133" s="39"/>
      <c r="H133" s="39"/>
    </row>
    <row r="134" spans="1:8" ht="15" customHeight="1" x14ac:dyDescent="0.35">
      <c r="A134" s="3"/>
      <c r="B134" s="13" t="s">
        <v>92</v>
      </c>
      <c r="C134" s="38" t="s">
        <v>83</v>
      </c>
      <c r="D134" s="211">
        <v>45835</v>
      </c>
      <c r="E134" s="212"/>
      <c r="F134" s="212"/>
      <c r="G134" s="212"/>
      <c r="H134" s="212"/>
    </row>
    <row r="135" spans="1:8" ht="15" customHeight="1" x14ac:dyDescent="0.35">
      <c r="A135" s="3"/>
      <c r="B135" s="13"/>
      <c r="C135" s="8"/>
      <c r="D135" s="39" t="s">
        <v>368</v>
      </c>
      <c r="E135" s="39"/>
      <c r="F135" s="39"/>
      <c r="G135" s="39"/>
      <c r="H135" s="39"/>
    </row>
    <row r="136" spans="1:8" ht="15" customHeight="1" x14ac:dyDescent="0.35">
      <c r="A136" s="3"/>
      <c r="B136" s="47" t="s">
        <v>93</v>
      </c>
      <c r="C136" s="3"/>
      <c r="D136" s="21"/>
      <c r="E136" s="21"/>
      <c r="F136" s="21"/>
      <c r="G136" s="21"/>
      <c r="H136" s="21"/>
    </row>
    <row r="137" spans="1:8" ht="15" customHeight="1" x14ac:dyDescent="0.35">
      <c r="A137" s="3"/>
      <c r="B137" s="13"/>
      <c r="C137" s="3"/>
      <c r="D137" s="21"/>
      <c r="E137" s="21"/>
      <c r="F137" s="21"/>
      <c r="G137" s="21"/>
      <c r="H137" s="21"/>
    </row>
    <row r="138" spans="1:8" ht="15" customHeight="1" x14ac:dyDescent="0.35">
      <c r="A138" s="2"/>
      <c r="B138" s="30" t="s">
        <v>94</v>
      </c>
      <c r="C138" s="2"/>
      <c r="D138" s="24"/>
      <c r="E138" s="24"/>
      <c r="F138" s="24"/>
      <c r="G138" s="24"/>
      <c r="H138" s="24"/>
    </row>
    <row r="139" spans="1:8" ht="15" customHeight="1" x14ac:dyDescent="0.35">
      <c r="A139" s="2"/>
      <c r="B139" s="30" t="s">
        <v>95</v>
      </c>
      <c r="C139" s="2"/>
      <c r="D139" s="24"/>
      <c r="E139" s="24"/>
      <c r="F139" s="24"/>
      <c r="G139" s="24"/>
      <c r="H139" s="24"/>
    </row>
    <row r="140" spans="1:8" ht="15" customHeight="1" x14ac:dyDescent="0.35">
      <c r="A140" s="2"/>
      <c r="B140" s="30" t="s">
        <v>96</v>
      </c>
      <c r="C140" s="2"/>
      <c r="D140" s="24"/>
      <c r="E140" s="24"/>
      <c r="F140" s="24"/>
      <c r="G140" s="24"/>
      <c r="H140" s="24"/>
    </row>
    <row r="141" spans="1:8" ht="15" customHeight="1" x14ac:dyDescent="0.3">
      <c r="B141" s="44"/>
    </row>
    <row r="142" spans="1:8" ht="15" customHeight="1" x14ac:dyDescent="0.3">
      <c r="A142" s="276"/>
      <c r="B142" s="277"/>
      <c r="C142" s="276"/>
      <c r="D142" s="278">
        <f>IF(COUNTA(D9,D10,D14,D15,D16,D20,D21,D25)=8,1,0)+IF(COUNTA(E9,E10,E14,E15,E16,E20,E21,E25)=8,1,0)+IF(COUNTA(F9,F10,F14,F15,F16,F20,F21,F25)=8,1,0)+IF(COUNTA(G9,G10,G14,G15,G16,G20,G21,G25)=8,1,0)</f>
        <v>3</v>
      </c>
      <c r="E142" s="278"/>
      <c r="F142" s="278">
        <f>IF(D9&lt;&gt;"",1,0)+IF(E9&lt;&gt;"",1,0)+IF(F9&lt;&gt;"",1,0)+IF(G9&lt;&gt;"",1,0)+IF(H9&lt;&gt;"",1,0)</f>
        <v>4</v>
      </c>
      <c r="G142" s="278">
        <f>IF(NOT(ISBLANK(H9)),F142,IF(NOT(ISBLANK(G9)),F142,IF(NOT(ISBLANK(F9)),F142,IF(NOT(ISBLANK(E9)),F142,IF(NOT(ISBLANK(D9)),F142,0)))))</f>
        <v>4</v>
      </c>
      <c r="H142" s="278"/>
    </row>
    <row r="143" spans="1:8" ht="15" customHeight="1" x14ac:dyDescent="0.3">
      <c r="B143" s="44"/>
    </row>
    <row r="144" spans="1:8" ht="15" customHeight="1" x14ac:dyDescent="0.3">
      <c r="B144" s="44"/>
    </row>
    <row r="145" spans="2:8" ht="15" customHeight="1" x14ac:dyDescent="0.3">
      <c r="B145" s="44"/>
    </row>
    <row r="146" spans="2:8" ht="15" customHeight="1" x14ac:dyDescent="0.3">
      <c r="B146" s="44"/>
      <c r="E146">
        <v>2022</v>
      </c>
      <c r="F146">
        <v>2023</v>
      </c>
      <c r="G146">
        <v>2024</v>
      </c>
      <c r="H146" t="s">
        <v>4</v>
      </c>
    </row>
    <row r="147" spans="2:8" ht="15" customHeight="1" x14ac:dyDescent="0.3">
      <c r="B147" s="44"/>
    </row>
    <row r="148" spans="2:8" ht="15" customHeight="1" x14ac:dyDescent="0.3">
      <c r="B148" s="44"/>
    </row>
    <row r="149" spans="2:8" ht="15" customHeight="1" x14ac:dyDescent="0.3">
      <c r="B149" s="44"/>
    </row>
    <row r="150" spans="2:8" ht="15" customHeight="1" x14ac:dyDescent="0.3">
      <c r="B150" s="44"/>
    </row>
    <row r="151" spans="2:8" ht="15" customHeight="1" x14ac:dyDescent="0.3">
      <c r="B151" s="44"/>
    </row>
    <row r="152" spans="2:8" x14ac:dyDescent="0.3">
      <c r="B152" s="44"/>
    </row>
    <row r="153" spans="2:8" x14ac:dyDescent="0.3">
      <c r="B153" s="44"/>
    </row>
    <row r="154" spans="2:8" x14ac:dyDescent="0.3">
      <c r="B154" s="44"/>
    </row>
    <row r="155" spans="2:8" x14ac:dyDescent="0.3">
      <c r="B155" s="44"/>
    </row>
    <row r="156" spans="2:8" x14ac:dyDescent="0.3">
      <c r="B156" s="44"/>
    </row>
    <row r="157" spans="2:8" x14ac:dyDescent="0.3">
      <c r="B157" s="44"/>
    </row>
    <row r="158" spans="2:8" x14ac:dyDescent="0.3">
      <c r="B158" s="44"/>
    </row>
    <row r="159" spans="2:8" x14ac:dyDescent="0.3">
      <c r="B159" s="44"/>
    </row>
    <row r="160" spans="2:8" x14ac:dyDescent="0.3">
      <c r="B160" s="44"/>
    </row>
    <row r="161" spans="2:2" x14ac:dyDescent="0.3">
      <c r="B161" s="44"/>
    </row>
    <row r="162" spans="2:2" x14ac:dyDescent="0.3">
      <c r="B162" s="44"/>
    </row>
    <row r="163" spans="2:2" x14ac:dyDescent="0.3">
      <c r="B163" s="44"/>
    </row>
    <row r="164" spans="2:2" x14ac:dyDescent="0.3">
      <c r="B164" s="44"/>
    </row>
    <row r="165" spans="2:2" x14ac:dyDescent="0.3">
      <c r="B165" s="44"/>
    </row>
  </sheetData>
  <conditionalFormatting sqref="D1 E1:E92 E94:E136">
    <cfRule type="expression" dxfId="5" priority="2">
      <formula>$F$142&lt;4</formula>
    </cfRule>
  </conditionalFormatting>
  <conditionalFormatting sqref="D2 D4 D6 D8:D31 D33:D66 D68:D92 D108:D125 D127:D136 D94:D106">
    <cfRule type="expression" dxfId="4" priority="8">
      <formula>$F$142&lt;5</formula>
    </cfRule>
  </conditionalFormatting>
  <conditionalFormatting sqref="D7">
    <cfRule type="expression" dxfId="3" priority="1">
      <formula>$F$142&lt;4</formula>
    </cfRule>
  </conditionalFormatting>
  <conditionalFormatting sqref="F1:F92 F94:F136">
    <cfRule type="expression" dxfId="2" priority="67">
      <formula>$F$142&lt;3</formula>
    </cfRule>
  </conditionalFormatting>
  <conditionalFormatting sqref="G1:G92 G94:G136">
    <cfRule type="expression" dxfId="1" priority="69">
      <formula>$F$142&lt;2</formula>
    </cfRule>
  </conditionalFormatting>
  <conditionalFormatting sqref="H1:H92 H94:H136">
    <cfRule type="expression" dxfId="0" priority="71">
      <formula>$F$142&lt;1</formula>
    </cfRule>
  </conditionalFormatting>
  <dataValidations disablePrompts="1" count="1">
    <dataValidation type="list" allowBlank="1" showInputMessage="1" showErrorMessage="1" sqref="D130" xr:uid="{00000000-0002-0000-0000-000000000000}">
      <formula1>"Technologie / SaaS,Industrie / Manufacturing,Consommation / Retail,Luxe / Premium,Energie / Utilities,Sante / Pharma"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5"/>
  <sheetViews>
    <sheetView showGridLines="0" tabSelected="1" topLeftCell="A2" zoomScaleNormal="100" workbookViewId="0">
      <selection activeCell="B17" sqref="B17"/>
    </sheetView>
  </sheetViews>
  <sheetFormatPr baseColWidth="10" defaultRowHeight="14.4" x14ac:dyDescent="0.3"/>
  <cols>
    <col min="1" max="1" width="1.77734375" style="185" customWidth="1"/>
    <col min="2" max="2" width="49.5546875" style="18" customWidth="1"/>
    <col min="3" max="3" width="12.33203125" customWidth="1"/>
    <col min="4" max="8" width="13.33203125" style="20" customWidth="1"/>
  </cols>
  <sheetData>
    <row r="1" spans="1:8" ht="54.9" customHeight="1" x14ac:dyDescent="0.6">
      <c r="A1" s="5"/>
      <c r="B1" s="96" t="s">
        <v>97</v>
      </c>
      <c r="C1" s="5"/>
      <c r="D1" s="5"/>
      <c r="E1" s="27"/>
      <c r="F1" s="95" t="s">
        <v>98</v>
      </c>
      <c r="G1" s="27"/>
      <c r="H1" s="27"/>
    </row>
    <row r="2" spans="1:8" ht="15" customHeight="1" x14ac:dyDescent="0.35">
      <c r="A2" s="183"/>
      <c r="B2" s="13"/>
      <c r="C2" s="3"/>
      <c r="D2" s="377"/>
      <c r="E2" s="21"/>
      <c r="F2" s="21"/>
      <c r="G2" s="21"/>
      <c r="H2" s="21"/>
    </row>
    <row r="3" spans="1:8" ht="18" customHeight="1" x14ac:dyDescent="0.5">
      <c r="A3" s="7"/>
      <c r="B3" s="14" t="s">
        <v>99</v>
      </c>
      <c r="C3" s="7"/>
      <c r="D3" s="378"/>
      <c r="E3" s="22"/>
      <c r="F3" s="22"/>
      <c r="G3" s="22"/>
      <c r="H3" s="22"/>
    </row>
    <row r="4" spans="1:8" ht="15" customHeight="1" x14ac:dyDescent="0.35">
      <c r="A4" s="183"/>
      <c r="B4" s="12"/>
      <c r="C4" s="3"/>
      <c r="D4" s="377"/>
      <c r="E4" s="21"/>
      <c r="F4" s="21"/>
      <c r="G4" s="21"/>
      <c r="H4" s="21"/>
    </row>
    <row r="5" spans="1:8" ht="15" customHeight="1" x14ac:dyDescent="0.35">
      <c r="A5" s="15"/>
      <c r="B5" s="15" t="s">
        <v>100</v>
      </c>
      <c r="C5" s="15"/>
      <c r="D5" s="379"/>
      <c r="E5" s="1">
        <f>IF(INPUT!E5="","",INPUT!E5)</f>
        <v>2022</v>
      </c>
      <c r="F5" s="1">
        <f>IF(INPUT!F5="","",INPUT!F5)</f>
        <v>2023</v>
      </c>
      <c r="G5" s="1">
        <f>IF(INPUT!G5="","",INPUT!G5)</f>
        <v>2024</v>
      </c>
      <c r="H5" s="1" t="str">
        <f>IF(INPUT!H5="","",INPUT!H5)</f>
        <v>2025 (LTM)</v>
      </c>
    </row>
    <row r="6" spans="1:8" ht="15" customHeight="1" x14ac:dyDescent="0.35">
      <c r="A6" s="183"/>
      <c r="B6" s="13"/>
      <c r="C6" s="3"/>
      <c r="D6" s="377"/>
      <c r="E6" s="21"/>
      <c r="F6" s="21"/>
      <c r="G6" s="21"/>
      <c r="H6" s="21"/>
    </row>
    <row r="7" spans="1:8" ht="18" customHeight="1" x14ac:dyDescent="0.5">
      <c r="A7" s="7"/>
      <c r="B7" s="14" t="s">
        <v>101</v>
      </c>
      <c r="C7" s="7"/>
      <c r="D7" s="378"/>
      <c r="E7" s="22"/>
      <c r="F7" s="22"/>
      <c r="G7" s="22"/>
      <c r="H7" s="22"/>
    </row>
    <row r="8" spans="1:8" ht="18" customHeight="1" x14ac:dyDescent="0.5">
      <c r="A8" s="184"/>
      <c r="B8" s="102"/>
      <c r="C8" s="103"/>
      <c r="D8" s="380"/>
      <c r="E8" s="101"/>
      <c r="F8" s="101"/>
      <c r="G8" s="101"/>
      <c r="H8" s="101"/>
    </row>
    <row r="9" spans="1:8" ht="15" customHeight="1" x14ac:dyDescent="0.35">
      <c r="A9" s="183"/>
      <c r="B9" s="25" t="s">
        <v>102</v>
      </c>
      <c r="C9" s="8"/>
      <c r="D9" s="427" t="str">
        <f>IFERROR(INPUT!D109/( INPUT!D26/INPUT!D110),"–")</f>
        <v>–</v>
      </c>
      <c r="E9" s="216" t="str">
        <f>IFERROR(IF(INPUT!E109=0,"–",INPUT!E109/(INPUT!E26/INPUT!E110)),"–")</f>
        <v>–</v>
      </c>
      <c r="F9" s="216" t="str">
        <f>IFERROR(IF(INPUT!F109=0,"–",INPUT!F109/(INPUT!F26/INPUT!F110)),"–")</f>
        <v>–</v>
      </c>
      <c r="G9" s="216" t="str">
        <f>IFERROR(IF(INPUT!G109=0,"–",INPUT!G109/(INPUT!G26/INPUT!G110)),"–")</f>
        <v>–</v>
      </c>
      <c r="H9" s="216">
        <f>IFERROR(IF(INPUT!H109=0,"–",INPUT!H109/(INPUT!H26/INPUT!H110)),"–")</f>
        <v>-3.8515602685615145E-5</v>
      </c>
    </row>
    <row r="10" spans="1:8" ht="15" customHeight="1" x14ac:dyDescent="0.35">
      <c r="A10" s="183"/>
      <c r="B10" s="25" t="s">
        <v>103</v>
      </c>
      <c r="C10" s="8"/>
      <c r="D10" s="427" t="str">
        <f>IFERROR(INPUT!D112/INPUT!D30,"–")</f>
        <v>–</v>
      </c>
      <c r="E10" s="216" t="str">
        <f>IFERROR(IF(INPUT!E112=0,"–",INPUT!E112/INPUT!E30),"–")</f>
        <v>–</v>
      </c>
      <c r="F10" s="216" t="str">
        <f>IFERROR(IF(INPUT!F112=0,"–",INPUT!F112/INPUT!F30),"–")</f>
        <v>–</v>
      </c>
      <c r="G10" s="216" t="str">
        <f>IFERROR(IF(INPUT!G112=0,"–",INPUT!G112/INPUT!G30),"–")</f>
        <v>–</v>
      </c>
      <c r="H10" s="216">
        <f>IFERROR(IF(INPUT!H112=0,"–",INPUT!H112/INPUT!H30),"–")</f>
        <v>-8.0370576583015649E-2</v>
      </c>
    </row>
    <row r="11" spans="1:8" ht="15" customHeight="1" x14ac:dyDescent="0.35">
      <c r="A11" s="183"/>
      <c r="B11" s="25" t="s">
        <v>442</v>
      </c>
      <c r="C11" s="8"/>
      <c r="D11" s="427" t="str">
        <f>IFERROR(INPUT!D112/INPUT!D9,"–")</f>
        <v>–</v>
      </c>
      <c r="E11" s="216" t="str">
        <f>IFERROR(IF(OR(INPUT!E112=0,INPUT!E95=0),"–",INPUT!E112/INPUT!E95),"–")</f>
        <v>–</v>
      </c>
      <c r="F11" s="216" t="str">
        <f>IFERROR(IF(OR(INPUT!F112=0,INPUT!F95=0),"–",INPUT!F112/INPUT!F95),"–")</f>
        <v>–</v>
      </c>
      <c r="G11" s="216" t="str">
        <f>IFERROR(IF(OR(INPUT!G112=0,INPUT!G95=0),"–",INPUT!G112/INPUT!G95),"–")</f>
        <v>–</v>
      </c>
      <c r="H11" s="216" t="str">
        <f>IFERROR(IF(OR(INPUT!H112=0,INPUT!H95=0),"–",INPUT!H112/INPUT!H95),"–")</f>
        <v>–</v>
      </c>
    </row>
    <row r="12" spans="1:8" ht="15" customHeight="1" x14ac:dyDescent="0.35">
      <c r="A12" s="183"/>
      <c r="B12" s="25" t="s">
        <v>104</v>
      </c>
      <c r="C12" s="8"/>
      <c r="D12" s="427" t="str">
        <f>IFERROR(INPUT!D112/INPUT!D17,"–")</f>
        <v>–</v>
      </c>
      <c r="E12" s="216" t="str">
        <f>IFERROR(INPUT!E112/INPUT!E17,"–")</f>
        <v>–</v>
      </c>
      <c r="F12" s="216" t="str">
        <f>IFERROR(INPUT!F112/INPUT!F17,"–")</f>
        <v>–</v>
      </c>
      <c r="G12" s="216" t="str">
        <f>IFERROR(INPUT!G112/INPUT!G17,"–")</f>
        <v>–</v>
      </c>
      <c r="H12" s="216">
        <f>IFERROR(INPUT!H112/INPUT!H17,"–")</f>
        <v>-7.4767822583534746E-2</v>
      </c>
    </row>
    <row r="13" spans="1:8" ht="15" customHeight="1" x14ac:dyDescent="0.35">
      <c r="A13" s="183"/>
      <c r="B13" s="25" t="s">
        <v>105</v>
      </c>
      <c r="C13" s="8"/>
      <c r="D13" s="427" t="str">
        <f>IFERROR(INPUT!D111/INPUT!D60,"–")</f>
        <v>–</v>
      </c>
      <c r="E13" s="216" t="str">
        <f>IFERROR(IF(INPUT!E109=0,"–",INPUT!E111/INPUT!E60),"–")</f>
        <v>–</v>
      </c>
      <c r="F13" s="216" t="str">
        <f>IFERROR(IF(INPUT!F109=0,"–",INPUT!F111/INPUT!F60),"–")</f>
        <v>–</v>
      </c>
      <c r="G13" s="216" t="str">
        <f>IFERROR(IF(INPUT!G109=0,"–",INPUT!G111/INPUT!G60),"–")</f>
        <v>–</v>
      </c>
      <c r="H13" s="216">
        <f>IFERROR(IF(INPUT!H109=0,"–",INPUT!H111/INPUT!H60),"–")</f>
        <v>-0.27504453441295551</v>
      </c>
    </row>
    <row r="14" spans="1:8" ht="15" customHeight="1" x14ac:dyDescent="0.35">
      <c r="A14" s="183"/>
      <c r="B14" s="25" t="s">
        <v>443</v>
      </c>
      <c r="C14" s="8"/>
      <c r="D14" s="427" t="str">
        <f>IFERROR(INPUT!D111/INPUT!D9,"–")</f>
        <v>–</v>
      </c>
      <c r="E14" s="216" t="str">
        <f>IFERROR(IF(OR(INPUT!E95=0,INPUT!E109=0,INPUT!E110=0),"–",INPUT!E109/(INPUT!E95/INPUT!E110)),"–")</f>
        <v>–</v>
      </c>
      <c r="F14" s="216" t="str">
        <f>IFERROR(IF(OR(INPUT!F95=0,INPUT!F109=0,INPUT!F110=0),"–",INPUT!F109/(INPUT!F95/INPUT!F110)),"–")</f>
        <v>–</v>
      </c>
      <c r="G14" s="216" t="str">
        <f>IFERROR(IF(OR(INPUT!G95=0,INPUT!G109=0,INPUT!G110=0),"–",INPUT!G109/(INPUT!G95/INPUT!G110)),"–")</f>
        <v>–</v>
      </c>
      <c r="H14" s="216" t="str">
        <f>IFERROR(IF(OR(INPUT!H95=0,INPUT!H109=0,INPUT!H110=0),"–",INPUT!H109/(INPUT!H95/INPUT!H110)),"–")</f>
        <v>–</v>
      </c>
    </row>
    <row r="15" spans="1:8" ht="15" customHeight="1" x14ac:dyDescent="0.35">
      <c r="A15" s="183"/>
      <c r="B15" s="25" t="s">
        <v>106</v>
      </c>
      <c r="C15" s="8"/>
      <c r="D15" s="429" t="str">
        <f>IFERROR(INPUT!D26/INPUT!D110,"–")</f>
        <v>–</v>
      </c>
      <c r="E15" s="217" t="str">
        <f>IFERROR(INPUT!E26/INPUT!E110,"–")</f>
        <v>–</v>
      </c>
      <c r="F15" s="217" t="str">
        <f>IFERROR(INPUT!F26/INPUT!F110,"–")</f>
        <v>–</v>
      </c>
      <c r="G15" s="217" t="str">
        <f>IFERROR(INPUT!G26/INPUT!G110,"–")</f>
        <v>–</v>
      </c>
      <c r="H15" s="217">
        <f>IFERROR(INPUT!H26/INPUT!H110,"–")</f>
        <v>-2077.0803108808291</v>
      </c>
    </row>
    <row r="16" spans="1:8" ht="15" customHeight="1" x14ac:dyDescent="0.35">
      <c r="A16" s="183"/>
      <c r="B16" s="26"/>
      <c r="C16" s="8"/>
      <c r="D16" s="377"/>
      <c r="E16" s="29"/>
      <c r="F16" s="29"/>
      <c r="G16" s="29"/>
      <c r="H16" s="29"/>
    </row>
    <row r="17" spans="1:8" ht="18" customHeight="1" x14ac:dyDescent="0.5">
      <c r="A17" s="41"/>
      <c r="B17" s="46" t="s">
        <v>107</v>
      </c>
      <c r="C17" s="41"/>
      <c r="D17" s="378"/>
      <c r="E17" s="22"/>
      <c r="F17" s="22"/>
      <c r="G17" s="22"/>
      <c r="H17" s="22"/>
    </row>
    <row r="18" spans="1:8" ht="18" customHeight="1" x14ac:dyDescent="0.5">
      <c r="A18" s="184"/>
      <c r="B18" s="105"/>
      <c r="C18" s="104"/>
      <c r="D18" s="380"/>
      <c r="E18" s="101"/>
      <c r="F18" s="101"/>
      <c r="G18" s="101"/>
      <c r="H18" s="101"/>
    </row>
    <row r="19" spans="1:8" ht="15" customHeight="1" x14ac:dyDescent="0.35">
      <c r="A19" s="183"/>
      <c r="B19" s="25" t="s">
        <v>444</v>
      </c>
      <c r="C19" s="8"/>
      <c r="D19" s="425" t="str">
        <f>IFERROR(INPUT!D11/INPUT!D9,"–")</f>
        <v>–</v>
      </c>
      <c r="E19" s="218">
        <f>IFERROR(INPUT!E11/INPUT!E9,"–")</f>
        <v>-49.5075</v>
      </c>
      <c r="F19" s="218">
        <f>IFERROR(INPUT!F11/INPUT!F9,"–")</f>
        <v>-51.741999999999997</v>
      </c>
      <c r="G19" s="218">
        <f>IFERROR(INPUT!G11/INPUT!G9,"–")</f>
        <v>-43.577777777777776</v>
      </c>
      <c r="H19" s="218">
        <f>IFERROR(INPUT!H11/INPUT!H9,"–")</f>
        <v>-36.015714285714289</v>
      </c>
    </row>
    <row r="20" spans="1:8" ht="15" customHeight="1" x14ac:dyDescent="0.35">
      <c r="A20" s="183"/>
      <c r="B20" s="25" t="s">
        <v>109</v>
      </c>
      <c r="C20" s="8"/>
      <c r="D20" s="425" t="str">
        <f>IFERROR(INPUT!D30/INPUT!D9,"–")</f>
        <v>–</v>
      </c>
      <c r="E20" s="218">
        <f>IFERROR(INPUT!E30/INPUT!E9,"–")</f>
        <v>-52.070074999999996</v>
      </c>
      <c r="F20" s="218">
        <f>IFERROR(INPUT!F30/INPUT!F9,"–")</f>
        <v>-54.388019999999997</v>
      </c>
      <c r="G20" s="218">
        <f>IFERROR(INPUT!G30/INPUT!G9,"–")</f>
        <v>-46.100016666666669</v>
      </c>
      <c r="H20" s="218">
        <f>IFERROR(INPUT!H30/INPUT!H9,"–")</f>
        <v>-39.068590476190479</v>
      </c>
    </row>
    <row r="21" spans="1:8" ht="15" customHeight="1" x14ac:dyDescent="0.35">
      <c r="A21" s="183"/>
      <c r="B21" s="25" t="s">
        <v>110</v>
      </c>
      <c r="C21" s="8"/>
      <c r="D21" s="425" t="str">
        <f>IFERROR(INPUT!D17/INPUT!D9,"–")</f>
        <v>–</v>
      </c>
      <c r="E21" s="218">
        <f>IFERROR(INPUT!E17/INPUT!E9,"–")</f>
        <v>-55.192574999999998</v>
      </c>
      <c r="F21" s="218">
        <f>IFERROR(INPUT!F17/INPUT!F9,"–")</f>
        <v>-57.499353333333332</v>
      </c>
      <c r="G21" s="218">
        <f>IFERROR(INPUT!G17/INPUT!G9,"–")</f>
        <v>-49.082238888888888</v>
      </c>
      <c r="H21" s="218">
        <f>IFERROR(INPUT!H17/INPUT!H9,"–")</f>
        <v>-41.996209523809526</v>
      </c>
    </row>
    <row r="22" spans="1:8" ht="15" customHeight="1" x14ac:dyDescent="0.35">
      <c r="A22" s="183"/>
      <c r="B22" s="25" t="s">
        <v>111</v>
      </c>
      <c r="C22" s="8"/>
      <c r="D22" s="425" t="str">
        <f>IFERROR(INPUT!D26/INPUT!D9,"–")</f>
        <v>–</v>
      </c>
      <c r="E22" s="218">
        <f>IFERROR(INPUT!E26/INPUT!E9,"–")</f>
        <v>-55.193241666666665</v>
      </c>
      <c r="F22" s="218">
        <f>IFERROR(INPUT!F26/INPUT!F9,"–")</f>
        <v>-57.499879999999997</v>
      </c>
      <c r="G22" s="218">
        <f>IFERROR(INPUT!G26/INPUT!G9,"–")</f>
        <v>-49.082683333333335</v>
      </c>
      <c r="H22" s="218">
        <f>IFERROR(INPUT!H26/INPUT!H9,"–")</f>
        <v>-41.996585714285715</v>
      </c>
    </row>
    <row r="23" spans="1:8" ht="15" customHeight="1" x14ac:dyDescent="0.35">
      <c r="A23" s="183"/>
      <c r="B23" s="25" t="s">
        <v>112</v>
      </c>
      <c r="C23" s="8"/>
      <c r="D23" s="425" t="str">
        <f>IFERROR(INPUT!D26/INPUT!D60,"–")</f>
        <v>–</v>
      </c>
      <c r="E23" s="218">
        <f>IFERROR(INPUT!E26/INPUT!E60,"–")</f>
        <v>5375.965097402599</v>
      </c>
      <c r="F23" s="218">
        <f>IFERROR(INPUT!F26/INPUT!F60,"–")</f>
        <v>6989.4505672609394</v>
      </c>
      <c r="G23" s="218">
        <f>IFERROR(INPUT!G26/INPUT!G60,"–")</f>
        <v>7165.3552311435515</v>
      </c>
      <c r="H23" s="218">
        <f>IFERROR(INPUT!H26/INPUT!H60,"–")</f>
        <v>7141.1198380566811</v>
      </c>
    </row>
    <row r="24" spans="1:8" ht="15" customHeight="1" x14ac:dyDescent="0.35">
      <c r="A24" s="183"/>
      <c r="B24" s="25" t="s">
        <v>113</v>
      </c>
      <c r="C24" s="8"/>
      <c r="D24" s="425" t="str">
        <f>IFERROR(INPUT!D26/INPUT!D44,"–")</f>
        <v>–</v>
      </c>
      <c r="E24" s="218">
        <f>IFERROR(INPUT!E26/INPUT!E44,"–")</f>
        <v>-1.164557698732263</v>
      </c>
      <c r="F24" s="218">
        <f>IFERROR(INPUT!F26/INPUT!F44,"–")</f>
        <v>-1.2818771178883537</v>
      </c>
      <c r="G24" s="218">
        <f>IFERROR(INPUT!G26/INPUT!G44,"–")</f>
        <v>-1.1847768044047728</v>
      </c>
      <c r="H24" s="218">
        <f>IFERROR(INPUT!H26/INPUT!H44,"–")</f>
        <v>-1.0723835028716557</v>
      </c>
    </row>
    <row r="25" spans="1:8" ht="15" customHeight="1" x14ac:dyDescent="0.35">
      <c r="A25" s="183"/>
      <c r="B25" s="25" t="s">
        <v>445</v>
      </c>
      <c r="C25" s="8"/>
      <c r="D25" s="425" t="str">
        <f>IFERROR(INPUT!D17*(1-INPUT!D118)/(INPUT!D58+INPUT!D59),"–")</f>
        <v>–</v>
      </c>
      <c r="E25" s="219" t="str">
        <f>IFERROR(IF(OR(INPUT!E97=0,INPUT!E98=""),"–",INPUT!E98-INPUT!E97),"–")</f>
        <v>–</v>
      </c>
      <c r="F25" s="219" t="str">
        <f>IFERROR(IF(OR(INPUT!F97=0,INPUT!F98=""),"–",INPUT!F98-INPUT!F97),"–")</f>
        <v>–</v>
      </c>
      <c r="G25" s="219" t="str">
        <f>IFERROR(IF(OR(INPUT!G97=0,INPUT!G98=""),"–",INPUT!G98-INPUT!G97),"–")</f>
        <v>–</v>
      </c>
      <c r="H25" s="219" t="str">
        <f>IFERROR(IF(OR(INPUT!H97=0,INPUT!H98=""),"–",INPUT!H98-INPUT!H97),"–")</f>
        <v>–</v>
      </c>
    </row>
    <row r="26" spans="1:8" ht="15" customHeight="1" x14ac:dyDescent="0.35">
      <c r="A26" s="183"/>
      <c r="B26" s="26"/>
      <c r="C26" s="8"/>
      <c r="D26" s="377"/>
      <c r="E26" s="29"/>
      <c r="F26" s="29"/>
      <c r="G26" s="29"/>
      <c r="H26" s="29"/>
    </row>
    <row r="27" spans="1:8" ht="18" customHeight="1" x14ac:dyDescent="0.5">
      <c r="A27" s="41"/>
      <c r="B27" s="46" t="s">
        <v>115</v>
      </c>
      <c r="C27" s="41"/>
      <c r="D27" s="378"/>
      <c r="E27" s="22"/>
      <c r="F27" s="22"/>
      <c r="G27" s="22"/>
      <c r="H27" s="22"/>
    </row>
    <row r="28" spans="1:8" ht="18" customHeight="1" x14ac:dyDescent="0.5">
      <c r="A28" s="184"/>
      <c r="B28" s="105"/>
      <c r="C28" s="104"/>
      <c r="D28" s="380"/>
      <c r="E28" s="101"/>
      <c r="F28" s="101"/>
      <c r="G28" s="101"/>
      <c r="H28" s="101"/>
    </row>
    <row r="29" spans="1:8" ht="15" customHeight="1" x14ac:dyDescent="0.35">
      <c r="A29" s="183"/>
      <c r="B29" s="25" t="s">
        <v>116</v>
      </c>
      <c r="C29" s="8"/>
      <c r="D29" s="427" t="str">
        <f>IFERROR(INPUT!D38/INPUT!D51,"–")</f>
        <v>–</v>
      </c>
      <c r="E29" s="216">
        <f>IFERROR(INPUT!E38/INPUT!E51,"–")</f>
        <v>9.8880234605575641</v>
      </c>
      <c r="F29" s="216">
        <f>IFERROR(INPUT!F38/INPUT!F51,"–")</f>
        <v>9.8466916296754992</v>
      </c>
      <c r="G29" s="216">
        <f>IFERROR(INPUT!G38/INPUT!G51,"–")</f>
        <v>5.9458140887474764</v>
      </c>
      <c r="H29" s="216">
        <f>IFERROR(INPUT!H38/INPUT!H51,"–")</f>
        <v>5.663039817034683</v>
      </c>
    </row>
    <row r="30" spans="1:8" ht="15" customHeight="1" x14ac:dyDescent="0.35">
      <c r="A30" s="183"/>
      <c r="B30" s="25" t="s">
        <v>117</v>
      </c>
      <c r="C30" s="8"/>
      <c r="D30" s="427" t="str">
        <f>IFERROR((INPUT!D38-INPUT!D36)/INPUT!D51,"–")</f>
        <v>–</v>
      </c>
      <c r="E30" s="216">
        <f>IFERROR((INPUT!E38-INPUT!E36)/INPUT!E51,"–")</f>
        <v>1.842881939005057</v>
      </c>
      <c r="F30" s="216">
        <f>IFERROR((INPUT!F38-INPUT!F36)/INPUT!F51,"–")</f>
        <v>1.9607729658716699</v>
      </c>
      <c r="G30" s="216">
        <f>IFERROR((INPUT!G38-INPUT!G36)/INPUT!G51,"–")</f>
        <v>1.8344862978548702</v>
      </c>
      <c r="H30" s="216">
        <f>IFERROR((INPUT!H38-INPUT!H36)/INPUT!H51,"–")</f>
        <v>2.1554497567161355</v>
      </c>
    </row>
    <row r="31" spans="1:8" ht="15" customHeight="1" x14ac:dyDescent="0.35">
      <c r="A31" s="183"/>
      <c r="B31" s="25" t="s">
        <v>118</v>
      </c>
      <c r="C31" s="8"/>
      <c r="D31" s="427" t="str">
        <f>IFERROR(INPUT!D34/INPUT!D51,"–")</f>
        <v>–</v>
      </c>
      <c r="E31" s="216">
        <f>IFERROR(INPUT!E34/INPUT!E51,"–")</f>
        <v>0</v>
      </c>
      <c r="F31" s="216">
        <f>IFERROR(INPUT!F34/INPUT!F51,"–")</f>
        <v>0</v>
      </c>
      <c r="G31" s="216">
        <f>IFERROR(INPUT!G34/INPUT!G51,"–")</f>
        <v>0</v>
      </c>
      <c r="H31" s="216">
        <f>IFERROR(INPUT!H34/INPUT!H51,"–")</f>
        <v>2.8305278085204551E-6</v>
      </c>
    </row>
    <row r="32" spans="1:8" ht="15" customHeight="1" x14ac:dyDescent="0.35">
      <c r="A32" s="183"/>
      <c r="B32" s="25" t="s">
        <v>119</v>
      </c>
      <c r="C32" s="8"/>
      <c r="D32" s="427" t="str">
        <f>IFERROR((INPUT!D49+INPUT!D55)/INPUT!D60,"–")</f>
        <v>–</v>
      </c>
      <c r="E32" s="216">
        <f>IFERROR((INPUT!E49+INPUT!E55)/INPUT!E60,"–")</f>
        <v>-313.30113636363643</v>
      </c>
      <c r="F32" s="216">
        <f>IFERROR((INPUT!F49+INPUT!F55)/INPUT!F60,"–")</f>
        <v>-454.93435980551055</v>
      </c>
      <c r="G32" s="216">
        <f>IFERROR((INPUT!G49+INPUT!G55)/INPUT!G60,"–")</f>
        <v>-796.82887266828857</v>
      </c>
      <c r="H32" s="216">
        <f>IFERROR((INPUT!H49+INPUT!H55)/INPUT!H60,"–")</f>
        <v>-948.25182186234838</v>
      </c>
    </row>
    <row r="33" spans="1:8" ht="15" customHeight="1" x14ac:dyDescent="0.35">
      <c r="A33" s="183"/>
      <c r="B33" s="25" t="s">
        <v>120</v>
      </c>
      <c r="C33" s="8"/>
      <c r="D33" s="427" t="str">
        <f>IFERROR((INPUT!D49+INPUT!D55-INPUT!D34)/INPUT!D30,"–")</f>
        <v>–</v>
      </c>
      <c r="E33" s="216">
        <f>IFERROR((INPUT!E49+INPUT!E55-INPUT!E34)/INPUT!E30,"–")</f>
        <v>-6.1773645099096428E-2</v>
      </c>
      <c r="F33" s="216">
        <f>IFERROR((INPUT!F49+INPUT!F55-INPUT!F34)/INPUT!F30,"–")</f>
        <v>-6.881282556955251E-2</v>
      </c>
      <c r="G33" s="216">
        <f>IFERROR((INPUT!G49+INPUT!G55-INPUT!G34)/INPUT!G30,"–")</f>
        <v>-0.11840077666879609</v>
      </c>
      <c r="H33" s="216">
        <f>IFERROR((INPUT!H49+INPUT!H55-INPUT!H34)/INPUT!H30,"–")</f>
        <v>-0.14273919226795753</v>
      </c>
    </row>
    <row r="34" spans="1:8" ht="15" customHeight="1" x14ac:dyDescent="0.35">
      <c r="A34" s="183"/>
      <c r="B34" s="25" t="s">
        <v>121</v>
      </c>
      <c r="C34" s="8"/>
      <c r="D34" s="427" t="str">
        <f>IFERROR(INPUT!D17/ABS(INPUT!D20),"–")</f>
        <v>–</v>
      </c>
      <c r="E34" s="216">
        <f>IFERROR(INPUT!E17/ABS(INPUT!E20),"–")</f>
        <v>-82788.862499999988</v>
      </c>
      <c r="F34" s="216">
        <f>IFERROR(INPUT!F17/ABS(INPUT!F20),"–")</f>
        <v>-109175.98734177214</v>
      </c>
      <c r="G34" s="216">
        <f>IFERROR(INPUT!G17/ABS(INPUT!G20),"–")</f>
        <v>-110435.03749999999</v>
      </c>
      <c r="H34" s="216">
        <f>IFERROR(INPUT!H17/ABS(INPUT!H20),"–")</f>
        <v>-111635.49367088608</v>
      </c>
    </row>
    <row r="35" spans="1:8" ht="15" customHeight="1" x14ac:dyDescent="0.35">
      <c r="A35" s="183"/>
      <c r="B35" s="25" t="s">
        <v>122</v>
      </c>
      <c r="C35" s="8"/>
      <c r="D35" s="427" t="str">
        <f>IFERROR((INPUT!D49+INPUT!D55)/INPUT!D44,"–")</f>
        <v>–</v>
      </c>
      <c r="E35" s="216">
        <f>IFERROR((INPUT!E49+INPUT!E55)/INPUT!E44,"–")</f>
        <v>6.7868232729063005E-2</v>
      </c>
      <c r="F35" s="216">
        <f>IFERROR((INPUT!F49+INPUT!F55)/INPUT!F44,"–")</f>
        <v>8.3435735093038463E-2</v>
      </c>
      <c r="G35" s="216">
        <f>IFERROR((INPUT!G49+INPUT!G55)/INPUT!G44,"–")</f>
        <v>0.13175402125411792</v>
      </c>
      <c r="H35" s="216">
        <f>IFERROR((INPUT!H49+INPUT!H55)/INPUT!H44,"–")</f>
        <v>0.14239918015574168</v>
      </c>
    </row>
    <row r="36" spans="1:8" ht="15" customHeight="1" x14ac:dyDescent="0.35">
      <c r="A36" s="183"/>
      <c r="B36" s="25" t="s">
        <v>123</v>
      </c>
      <c r="C36" s="8"/>
      <c r="D36" s="427" t="str">
        <f>IFERROR(INPUT!D60/INPUT!D44,"–")</f>
        <v>–</v>
      </c>
      <c r="E36" s="220">
        <f>IFERROR(INPUT!E60/INPUT!E44,"–")</f>
        <v>-2.1662300212754729E-4</v>
      </c>
      <c r="F36" s="220">
        <f>IFERROR(INPUT!F60/INPUT!F44,"–")</f>
        <v>-1.8340170025563283E-4</v>
      </c>
      <c r="G36" s="220">
        <f>IFERROR(INPUT!G60/INPUT!G44,"–")</f>
        <v>-1.6534795082527806E-4</v>
      </c>
      <c r="H36" s="220">
        <f>IFERROR(INPUT!H60/INPUT!H44,"–")</f>
        <v>-1.5017021520303799E-4</v>
      </c>
    </row>
    <row r="37" spans="1:8" ht="15" customHeight="1" x14ac:dyDescent="0.35">
      <c r="A37" s="183"/>
      <c r="B37" s="26"/>
      <c r="C37" s="8"/>
      <c r="D37" s="377"/>
      <c r="E37" s="29"/>
      <c r="F37" s="29"/>
      <c r="G37" s="29"/>
      <c r="H37" s="29"/>
    </row>
    <row r="38" spans="1:8" ht="18" customHeight="1" x14ac:dyDescent="0.5">
      <c r="A38" s="378"/>
      <c r="B38" s="14" t="s">
        <v>446</v>
      </c>
      <c r="C38" s="41"/>
      <c r="D38" s="378"/>
      <c r="E38" s="22"/>
      <c r="F38" s="22"/>
      <c r="G38" s="22"/>
      <c r="H38" s="22"/>
    </row>
    <row r="39" spans="1:8" ht="18" customHeight="1" x14ac:dyDescent="0.5">
      <c r="A39" s="184"/>
      <c r="B39" s="105"/>
      <c r="C39" s="104"/>
      <c r="D39" s="380"/>
      <c r="E39" s="101"/>
      <c r="F39" s="101"/>
      <c r="G39" s="101"/>
      <c r="H39" s="101"/>
    </row>
    <row r="40" spans="1:8" ht="15" customHeight="1" x14ac:dyDescent="0.35">
      <c r="A40" s="183"/>
      <c r="B40" s="25" t="s">
        <v>371</v>
      </c>
      <c r="C40" s="8"/>
      <c r="D40" s="427" t="str">
        <f>IFERROR(INPUT!D9/INPUT!D44,"–")</f>
        <v>–</v>
      </c>
      <c r="E40" s="218" t="str">
        <f>IFERROR((INPUT!F95-INPUT!E95)/INPUT!E95,"–")</f>
        <v>–</v>
      </c>
      <c r="F40" s="218" t="str">
        <f>IFERROR((INPUT!G95-INPUT!F95)/INPUT!F95,"–")</f>
        <v>–</v>
      </c>
      <c r="G40" s="218" t="str">
        <f>IFERROR((INPUT!H95-INPUT!G95)/INPUT!G95,"–")</f>
        <v>–</v>
      </c>
      <c r="H40" s="216" t="s">
        <v>126</v>
      </c>
    </row>
    <row r="41" spans="1:8" ht="15" customHeight="1" x14ac:dyDescent="0.35">
      <c r="A41" s="183"/>
      <c r="B41" s="25" t="s">
        <v>372</v>
      </c>
      <c r="C41" s="8"/>
      <c r="D41" s="427" t="str">
        <f>IFERROR(ABS(INPUT!D10)/INPUT!D36,"–")</f>
        <v>–</v>
      </c>
      <c r="E41" s="218">
        <f>IF(INPUT!E97=0,"–",INPUT!E97)</f>
        <v>9.5000000000000001E-2</v>
      </c>
      <c r="F41" s="218">
        <f>IF(INPUT!F97=0,"–",INPUT!F97)</f>
        <v>9.5000000000000001E-2</v>
      </c>
      <c r="G41" s="218">
        <f>IF(INPUT!G97=0,"–",INPUT!G97)</f>
        <v>9.5000000000000001E-2</v>
      </c>
      <c r="H41" s="218">
        <f>IF(INPUT!H97=0,"–",INPUT!H97)</f>
        <v>9.5000000000000001E-2</v>
      </c>
    </row>
    <row r="42" spans="1:8" ht="15" customHeight="1" x14ac:dyDescent="0.35">
      <c r="A42" s="183"/>
      <c r="B42" s="25" t="s">
        <v>374</v>
      </c>
      <c r="C42" s="8"/>
      <c r="D42" s="428" t="str">
        <f>IFERROR(INPUT!D36/ABS(INPUT!D10)*INPUT!D124,"–")</f>
        <v>–</v>
      </c>
      <c r="E42" s="218" t="str">
        <f>IFERROR((INPUT!E53+INPUT!E46)/INPUT!E95,"–")</f>
        <v>–</v>
      </c>
      <c r="F42" s="218" t="str">
        <f>IFERROR((INPUT!F53+INPUT!F46)/INPUT!F95,"–")</f>
        <v>–</v>
      </c>
      <c r="G42" s="218" t="str">
        <f>IFERROR((INPUT!G53+INPUT!G46)/INPUT!G95,"–")</f>
        <v>–</v>
      </c>
      <c r="H42" s="218" t="str">
        <f>IFERROR((INPUT!H53+INPUT!H46)/INPUT!H95,"–")</f>
        <v>–</v>
      </c>
    </row>
    <row r="43" spans="1:8" ht="15" customHeight="1" x14ac:dyDescent="0.35">
      <c r="A43" s="183"/>
      <c r="B43" s="25" t="s">
        <v>385</v>
      </c>
      <c r="C43" s="8"/>
      <c r="D43" s="427" t="str">
        <f>IFERROR(INPUT!D9/INPUT!D35,"–")</f>
        <v>–</v>
      </c>
      <c r="E43" s="218" t="str">
        <f>IFERROR(INPUT!E75/(INPUT!E53+INPUT!E46),"–")</f>
        <v>–</v>
      </c>
      <c r="F43" s="218" t="str">
        <f>IFERROR(INPUT!F75/(INPUT!F53+INPUT!F46),"–")</f>
        <v>–</v>
      </c>
      <c r="G43" s="218" t="str">
        <f>IFERROR(INPUT!G75/(INPUT!G53+INPUT!G46),"–")</f>
        <v>–</v>
      </c>
      <c r="H43" s="218" t="str">
        <f>IFERROR(INPUT!H75/(INPUT!H53+INPUT!H46),"–")</f>
        <v>–</v>
      </c>
    </row>
    <row r="44" spans="1:8" ht="15" customHeight="1" x14ac:dyDescent="0.35">
      <c r="A44" s="183"/>
      <c r="B44" s="25" t="s">
        <v>375</v>
      </c>
      <c r="C44" s="8"/>
      <c r="D44" s="428" t="str">
        <f>IFERROR(INPUT!D35/INPUT!D9*INPUT!D124,"–")</f>
        <v>–</v>
      </c>
      <c r="E44" s="216">
        <f>IFERROR(IF(OR(INPUT!E78=0,INPUT!E16=0),"–",ABS(INPUT!E78)/ABS(INPUT!E16)),"–")</f>
        <v>1.9140645850013345</v>
      </c>
      <c r="F44" s="216">
        <f>IFERROR(IF(OR(INPUT!F78=0,INPUT!F16=0),"–",ABS(INPUT!F78)/ABS(INPUT!F16)),"–")</f>
        <v>1.9067923719734305</v>
      </c>
      <c r="G44" s="216">
        <f>IFERROR(IF(OR(INPUT!G78=0,INPUT!G16=0),"–",ABS(INPUT!G78)/ABS(INPUT!G16)),"–")</f>
        <v>2.1128912071535022</v>
      </c>
      <c r="H44" s="216">
        <f>IFERROR(IF(OR(INPUT!H78=0,INPUT!H16=0),"–",ABS(INPUT!H78)/ABS(INPUT!H16)),"–")</f>
        <v>1.3869551073519844</v>
      </c>
    </row>
    <row r="45" spans="1:8" ht="15" customHeight="1" x14ac:dyDescent="0.35">
      <c r="A45" s="183"/>
      <c r="B45" s="25" t="s">
        <v>379</v>
      </c>
      <c r="C45" s="8"/>
      <c r="D45" s="428" t="str">
        <f>IFERROR(INPUT!D48/ABS(INPUT!D10)*INPUT!D124,"–")</f>
        <v>–</v>
      </c>
      <c r="E45" s="218" t="str">
        <f>IFERROR(ABS(INPUT!E29/INPUT!E110)/ABS(INPUT!E26/INPUT!E110),"–")</f>
        <v>–</v>
      </c>
      <c r="F45" s="218" t="str">
        <f>IFERROR(ABS(INPUT!F29/INPUT!F110)/ABS(INPUT!F26/INPUT!F110),"–")</f>
        <v>–</v>
      </c>
      <c r="G45" s="218" t="str">
        <f>IFERROR(ABS(INPUT!G29/INPUT!G110)/ABS(INPUT!G26/INPUT!G110),"–")</f>
        <v>–</v>
      </c>
      <c r="H45" s="218">
        <f>IFERROR(ABS(INPUT!H29/INPUT!H110)/ABS(INPUT!H26/INPUT!H110),"–")</f>
        <v>1.028553001417462</v>
      </c>
    </row>
    <row r="46" spans="1:8" ht="15" customHeight="1" x14ac:dyDescent="0.35">
      <c r="A46" s="183"/>
      <c r="B46" s="25" t="s">
        <v>386</v>
      </c>
      <c r="C46" s="8"/>
      <c r="D46" s="428" t="str">
        <f>IFERROR(D42+D44-D45,"–")</f>
        <v>–</v>
      </c>
      <c r="E46" s="218" t="str">
        <f>IFERROR(IF(OR(INPUT!E29=0,INPUT!E109=0,INPUT!E110=0),"–",ABS(INPUT!E29/INPUT!E110)/INPUT!E109),"–")</f>
        <v>–</v>
      </c>
      <c r="F46" s="218" t="str">
        <f>IFERROR(IF(OR(INPUT!F29=0,INPUT!F109=0,INPUT!F110=0),"–",ABS(INPUT!F29/INPUT!F110)/INPUT!F109),"–")</f>
        <v>–</v>
      </c>
      <c r="G46" s="218" t="str">
        <f>IFERROR(IF(OR(INPUT!G29=0,INPUT!G109=0,INPUT!G110=0),"–",ABS(INPUT!G29/INPUT!G110)/INPUT!G109),"–")</f>
        <v>–</v>
      </c>
      <c r="H46" s="218">
        <f>IFERROR(IF(OR(INPUT!H29=0,INPUT!H109=0,INPUT!H110=0),"–",ABS(INPUT!H29/INPUT!H110)/INPUT!H109),"–")</f>
        <v>26704.839849269898</v>
      </c>
    </row>
    <row r="47" spans="1:8" ht="15" customHeight="1" x14ac:dyDescent="0.35">
      <c r="A47" s="183"/>
      <c r="B47" s="421" t="s">
        <v>447</v>
      </c>
      <c r="C47" s="8"/>
      <c r="D47" s="427" t="str">
        <f>IFERROR(INPUT!D9/INPUT!D41,"–")</f>
        <v>–</v>
      </c>
      <c r="E47" s="220"/>
      <c r="F47" s="220"/>
      <c r="G47" s="220"/>
      <c r="H47" s="220"/>
    </row>
    <row r="48" spans="1:8" ht="15" customHeight="1" x14ac:dyDescent="0.35">
      <c r="A48" s="183"/>
      <c r="B48" s="26"/>
      <c r="C48" s="8"/>
      <c r="D48" s="377"/>
      <c r="E48" s="29"/>
      <c r="F48" s="29"/>
      <c r="G48" s="29"/>
      <c r="H48" s="29"/>
    </row>
    <row r="49" spans="1:8" ht="18" customHeight="1" x14ac:dyDescent="0.5">
      <c r="A49" s="41"/>
      <c r="B49" s="46" t="s">
        <v>124</v>
      </c>
      <c r="C49" s="41"/>
      <c r="D49" s="378"/>
      <c r="E49" s="22"/>
      <c r="F49" s="22"/>
      <c r="G49" s="22"/>
      <c r="H49" s="22"/>
    </row>
    <row r="50" spans="1:8" ht="18" customHeight="1" x14ac:dyDescent="0.5">
      <c r="A50" s="184"/>
      <c r="B50" s="105"/>
      <c r="C50" s="104"/>
      <c r="D50" s="380"/>
      <c r="E50" s="101"/>
      <c r="F50" s="101"/>
      <c r="G50" s="101"/>
      <c r="H50" s="101"/>
    </row>
    <row r="51" spans="1:8" ht="15" customHeight="1" x14ac:dyDescent="0.35">
      <c r="A51" s="183"/>
      <c r="B51" s="25" t="s">
        <v>125</v>
      </c>
      <c r="C51" s="8"/>
      <c r="D51" s="425" t="s">
        <v>126</v>
      </c>
      <c r="E51" s="432"/>
      <c r="F51" s="218">
        <f>IFERROR(INPUT!F9/INPUT!E9-1,"–")</f>
        <v>0.25</v>
      </c>
      <c r="G51" s="218">
        <f>IFERROR(INPUT!G9/INPUT!F9-1,"–")</f>
        <v>0.19999999999999996</v>
      </c>
      <c r="H51" s="218">
        <f>IFERROR(INPUT!H9/INPUT!G9-1,"–")</f>
        <v>0.16666666666666674</v>
      </c>
    </row>
    <row r="52" spans="1:8" ht="15" customHeight="1" x14ac:dyDescent="0.35">
      <c r="A52" s="183"/>
      <c r="B52" s="25" t="s">
        <v>127</v>
      </c>
      <c r="C52" s="8"/>
      <c r="D52" s="425" t="s">
        <v>126</v>
      </c>
      <c r="E52" s="432"/>
      <c r="F52" s="218">
        <f>IFERROR(INPUT!F11/INPUT!E11-1,"–")</f>
        <v>0.30641821946169778</v>
      </c>
      <c r="G52" s="218">
        <f>IFERROR(INPUT!G11/INPUT!F11-1,"–")</f>
        <v>1.0655431435455442E-2</v>
      </c>
      <c r="H52" s="218">
        <f>IFERROR(INPUT!H11/INPUT!G11-1,"–")</f>
        <v>-3.5785313615502301E-2</v>
      </c>
    </row>
    <row r="53" spans="1:8" ht="15" customHeight="1" x14ac:dyDescent="0.35">
      <c r="A53" s="183"/>
      <c r="B53" s="25" t="s">
        <v>128</v>
      </c>
      <c r="C53" s="8"/>
      <c r="D53" s="425" t="s">
        <v>126</v>
      </c>
      <c r="E53" s="432"/>
      <c r="F53" s="218">
        <f>IFERROR(INPUT!F30/INPUT!E30-1,"–")</f>
        <v>0.30564484495173105</v>
      </c>
      <c r="G53" s="218">
        <f>IFERROR(INPUT!G30/INPUT!F30-1,"–")</f>
        <v>1.7136126669071716E-2</v>
      </c>
      <c r="H53" s="218">
        <f>IFERROR(INPUT!H30/INPUT!G30-1,"–")</f>
        <v>-1.1279701875258286E-2</v>
      </c>
    </row>
    <row r="54" spans="1:8" ht="15" customHeight="1" x14ac:dyDescent="0.35">
      <c r="A54" s="183"/>
      <c r="B54" s="25" t="s">
        <v>129</v>
      </c>
      <c r="C54" s="8"/>
      <c r="D54" s="425" t="s">
        <v>126</v>
      </c>
      <c r="E54" s="432"/>
      <c r="F54" s="218">
        <f>IFERROR(INPUT!F26/INPUT!E26-1,"–")</f>
        <v>0.30224005384717234</v>
      </c>
      <c r="G54" s="218">
        <f>IFERROR(INPUT!G26/INPUT!F26-1,"–")</f>
        <v>2.4336398615092847E-2</v>
      </c>
      <c r="H54" s="218">
        <f>IFERROR(INPUT!H26/INPUT!G26-1,"–")</f>
        <v>-1.7657279671955406E-3</v>
      </c>
    </row>
    <row r="55" spans="1:8" ht="15" customHeight="1" x14ac:dyDescent="0.35">
      <c r="A55" s="183"/>
      <c r="B55" s="25" t="s">
        <v>130</v>
      </c>
      <c r="C55" s="8"/>
      <c r="D55" s="425" t="s">
        <v>126</v>
      </c>
      <c r="E55" s="432"/>
      <c r="F55" s="218" t="str">
        <f>IFERROR((INPUT!F26/INPUT!F110)/(INPUT!E26/INPUT!E110)-1,"–")</f>
        <v>–</v>
      </c>
      <c r="G55" s="218" t="str">
        <f>IFERROR((INPUT!G26/INPUT!G110)/(INPUT!F26/INPUT!F110)-1,"–")</f>
        <v>–</v>
      </c>
      <c r="H55" s="218" t="str">
        <f>IFERROR((INPUT!H26/INPUT!H110)/(INPUT!G26/INPUT!G110)-1,"–")</f>
        <v>–</v>
      </c>
    </row>
    <row r="56" spans="1:8" ht="15" customHeight="1" x14ac:dyDescent="0.35">
      <c r="A56" s="183"/>
      <c r="B56" s="25" t="s">
        <v>131</v>
      </c>
      <c r="C56" s="8"/>
      <c r="D56" s="425" t="s">
        <v>126</v>
      </c>
      <c r="E56" s="432"/>
      <c r="F56" s="219">
        <f>IFERROR(INPUT!F44/INPUT!E44-1,"–")</f>
        <v>0.18305698661930969</v>
      </c>
      <c r="G56" s="219">
        <f>IFERROR(INPUT!G44/INPUT!F44-1,"–")</f>
        <v>0.10828755722014161</v>
      </c>
      <c r="H56" s="219">
        <f>IFERROR(INPUT!H44/INPUT!G44-1,"–")</f>
        <v>0.10285621487026564</v>
      </c>
    </row>
    <row r="57" spans="1:8" ht="15" customHeight="1" x14ac:dyDescent="0.35">
      <c r="A57" s="183"/>
      <c r="B57" s="26"/>
      <c r="C57" s="8"/>
      <c r="D57" s="377"/>
      <c r="E57" s="29"/>
      <c r="F57" s="29"/>
      <c r="G57" s="29"/>
      <c r="H57" s="29"/>
    </row>
    <row r="58" spans="1:8" ht="18" customHeight="1" x14ac:dyDescent="0.5">
      <c r="A58" s="41"/>
      <c r="B58" s="46" t="s">
        <v>132</v>
      </c>
      <c r="C58" s="41"/>
      <c r="D58" s="378"/>
      <c r="E58" s="22"/>
      <c r="F58" s="22"/>
      <c r="G58" s="22"/>
      <c r="H58" s="22"/>
    </row>
    <row r="59" spans="1:8" ht="18" customHeight="1" x14ac:dyDescent="0.5">
      <c r="A59" s="184"/>
      <c r="B59" s="105"/>
      <c r="C59" s="104"/>
      <c r="D59" s="380"/>
      <c r="E59" s="101"/>
      <c r="F59" s="101"/>
      <c r="G59" s="101"/>
      <c r="H59" s="101"/>
    </row>
    <row r="60" spans="1:8" ht="15" customHeight="1" x14ac:dyDescent="0.35">
      <c r="A60" s="183"/>
      <c r="B60" s="25" t="s">
        <v>133</v>
      </c>
      <c r="C60" s="8"/>
      <c r="D60" s="425" t="str">
        <f>IFERROR(INPUT!D75/INPUT!D9,"–")</f>
        <v>–</v>
      </c>
      <c r="E60" s="218">
        <f>IFERROR(INPUT!E75/INPUT!E9,"–")</f>
        <v>-50.767399999999995</v>
      </c>
      <c r="F60" s="218">
        <f>IFERROR(INPUT!F75/INPUT!F9,"–")</f>
        <v>-53.448553333333322</v>
      </c>
      <c r="G60" s="218">
        <f>IFERROR(INPUT!G75/INPUT!G9,"–")</f>
        <v>-45.484361111111113</v>
      </c>
      <c r="H60" s="218">
        <f>IFERROR(INPUT!H75/INPUT!H9,"–")</f>
        <v>-39.239433333333331</v>
      </c>
    </row>
    <row r="61" spans="1:8" ht="15" customHeight="1" x14ac:dyDescent="0.35">
      <c r="A61" s="183"/>
      <c r="B61" s="59" t="s">
        <v>134</v>
      </c>
      <c r="C61" s="10"/>
      <c r="D61" s="426">
        <f>IFERROR(INPUT!D75+INPUT!D78,"–")</f>
        <v>0</v>
      </c>
      <c r="E61" s="221">
        <f>IFERROR(INPUT!E75+INPUT!E78,"–")</f>
        <v>-68092.88</v>
      </c>
      <c r="F61" s="221">
        <f>IFERROR(INPUT!F75+INPUT!F78,"–")</f>
        <v>-89071.829999999987</v>
      </c>
      <c r="G61" s="221">
        <f>IFERROR(INPUT!G75+INPUT!G78,"–")</f>
        <v>-93213.85</v>
      </c>
      <c r="H61" s="221">
        <f>IFERROR(INPUT!H75+INPUT!H78,"–")</f>
        <v>-90929.81</v>
      </c>
    </row>
    <row r="62" spans="1:8" ht="15" customHeight="1" x14ac:dyDescent="0.35">
      <c r="A62" s="183"/>
      <c r="B62" s="25" t="s">
        <v>135</v>
      </c>
      <c r="C62" s="8"/>
      <c r="D62" s="425" t="str">
        <f>IFERROR(D61/INPUT!D9,"–")</f>
        <v>–</v>
      </c>
      <c r="E62" s="218">
        <f>IFERROR(E61/INPUT!E9,"–")</f>
        <v>-56.744066666666669</v>
      </c>
      <c r="F62" s="218">
        <f>IFERROR(F61/INPUT!F9,"–")</f>
        <v>-59.381219999999992</v>
      </c>
      <c r="G62" s="218">
        <f>IFERROR(G61/INPUT!G9,"–")</f>
        <v>-51.785472222222225</v>
      </c>
      <c r="H62" s="218">
        <f>IFERROR(H61/INPUT!H9,"–")</f>
        <v>-43.299909523809525</v>
      </c>
    </row>
    <row r="63" spans="1:8" ht="15" customHeight="1" x14ac:dyDescent="0.35">
      <c r="A63" s="183"/>
      <c r="B63" s="25" t="s">
        <v>136</v>
      </c>
      <c r="C63" s="8"/>
      <c r="D63" s="427" t="str">
        <f>IFERROR(INPUT!D75/INPUT!D60,"–")</f>
        <v>–</v>
      </c>
      <c r="E63" s="216">
        <f>IFERROR(INPUT!E75/INPUT!E60,"–")</f>
        <v>4944.8766233766246</v>
      </c>
      <c r="F63" s="216">
        <f>IFERROR(INPUT!F75/INPUT!F60,"–")</f>
        <v>6496.987844408427</v>
      </c>
      <c r="G63" s="216">
        <f>IFERROR(INPUT!G75/INPUT!G60,"–")</f>
        <v>6640.0527169505267</v>
      </c>
      <c r="H63" s="216">
        <f>IFERROR(INPUT!H75/INPUT!H60,"–")</f>
        <v>6672.2923076923089</v>
      </c>
    </row>
    <row r="64" spans="1:8" ht="15" customHeight="1" x14ac:dyDescent="0.35">
      <c r="A64" s="183"/>
      <c r="B64" s="25" t="s">
        <v>137</v>
      </c>
      <c r="C64" s="8"/>
      <c r="D64" s="425" t="str">
        <f>IFERROR(ABS(INPUT!D78)/INPUT!D9,"–")</f>
        <v>–</v>
      </c>
      <c r="E64" s="218">
        <f>IFERROR(ABS(INPUT!E78)/INPUT!E9,"–")</f>
        <v>5.9766666666666666</v>
      </c>
      <c r="F64" s="218">
        <f>IFERROR(ABS(INPUT!F78)/INPUT!F9,"–")</f>
        <v>5.932666666666667</v>
      </c>
      <c r="G64" s="218">
        <f>IFERROR(ABS(INPUT!G78)/INPUT!G9,"–")</f>
        <v>6.3011111111111111</v>
      </c>
      <c r="H64" s="218">
        <f>IFERROR(ABS(INPUT!H78)/INPUT!H9,"–")</f>
        <v>4.0604761904761908</v>
      </c>
    </row>
    <row r="65" spans="1:8" ht="15" customHeight="1" x14ac:dyDescent="0.35">
      <c r="A65" s="183"/>
      <c r="B65" s="25" t="s">
        <v>138</v>
      </c>
      <c r="C65" s="8"/>
      <c r="D65" s="425" t="str">
        <f>IFERROR(ABS(INPUT!D85)/INPUT!D26,"–")</f>
        <v>–</v>
      </c>
      <c r="E65" s="218">
        <f>IFERROR(ABS(INPUT!E85)/INPUT!E26,"–")</f>
        <v>-1.3498331392928693</v>
      </c>
      <c r="F65" s="218">
        <f>IFERROR(ABS(INPUT!F85)/INPUT!F26,"–")</f>
        <v>-0.89913231123264958</v>
      </c>
      <c r="G65" s="218">
        <f>IFERROR(ABS(INPUT!G85)/INPUT!G26,"–")</f>
        <v>-1.0747057997259273</v>
      </c>
      <c r="H65" s="218">
        <f>IFERROR(ABS(INPUT!H85)/INPUT!H26,"–")</f>
        <v>-1.0285530014174622</v>
      </c>
    </row>
    <row r="66" spans="1:8" ht="15" customHeight="1" x14ac:dyDescent="0.35">
      <c r="A66" s="183"/>
      <c r="B66" s="25" t="s">
        <v>139</v>
      </c>
      <c r="C66" s="8"/>
      <c r="D66" s="427" t="str">
        <f>IFERROR(INPUT!D75/INPUT!D26,"–")</f>
        <v>–</v>
      </c>
      <c r="E66" s="220">
        <f>IFERROR(INPUT!E75/INPUT!E26,"–")</f>
        <v>0.91981189122037732</v>
      </c>
      <c r="F66" s="220">
        <f>IFERROR(INPUT!F75/INPUT!F26,"–")</f>
        <v>0.92954199788474912</v>
      </c>
      <c r="G66" s="220">
        <f>IFERROR(INPUT!G75/INPUT!G26,"–")</f>
        <v>0.92668855942970618</v>
      </c>
      <c r="H66" s="220">
        <f>IFERROR(INPUT!H75/INPUT!H26,"–")</f>
        <v>0.93434817773735113</v>
      </c>
    </row>
    <row r="67" spans="1:8" ht="15" customHeight="1" x14ac:dyDescent="0.35">
      <c r="A67" s="183"/>
      <c r="B67" s="13"/>
      <c r="C67" s="8"/>
      <c r="D67" s="377"/>
      <c r="E67" s="21"/>
      <c r="F67" s="21"/>
      <c r="G67" s="21"/>
      <c r="H67" s="21"/>
    </row>
    <row r="68" spans="1:8" ht="15" customHeight="1" x14ac:dyDescent="0.35">
      <c r="A68" s="182"/>
      <c r="B68" s="44"/>
      <c r="D68" s="203"/>
    </row>
    <row r="69" spans="1:8" ht="15" customHeight="1" x14ac:dyDescent="0.3">
      <c r="A69" s="99"/>
      <c r="B69" s="97" t="s">
        <v>140</v>
      </c>
      <c r="C69" s="99"/>
      <c r="D69" s="19"/>
      <c r="E69" s="100"/>
      <c r="F69" s="100"/>
      <c r="G69" s="100"/>
      <c r="H69" s="100" t="s">
        <v>441</v>
      </c>
    </row>
    <row r="70" spans="1:8" ht="15" customHeight="1" x14ac:dyDescent="0.3">
      <c r="A70" s="83"/>
      <c r="B70" s="83" t="s">
        <v>100</v>
      </c>
      <c r="C70" s="83"/>
      <c r="D70" s="381" t="str">
        <f>IF(INPUT!D9="","",D5)</f>
        <v/>
      </c>
      <c r="E70" s="83">
        <f>IF(INPUT!E5="",NA(),INPUT!E5)</f>
        <v>2022</v>
      </c>
      <c r="F70" s="83">
        <f>IF(INPUT!F5="",NA(),INPUT!F5)</f>
        <v>2023</v>
      </c>
      <c r="G70" s="83">
        <f>IF(INPUT!G5="",NA(),INPUT!G5)</f>
        <v>2024</v>
      </c>
      <c r="H70" s="83" t="str">
        <f>IF(INPUT!H5="",NA(),INPUT!H5)</f>
        <v>2025 (LTM)</v>
      </c>
    </row>
    <row r="71" spans="1:8" ht="15" customHeight="1" x14ac:dyDescent="0.3">
      <c r="B71" s="44" t="s">
        <v>141</v>
      </c>
      <c r="D71" s="422" t="str">
        <f>IF(INPUT!D9="","",INPUT!D9)</f>
        <v/>
      </c>
      <c r="E71" s="222">
        <f>IF(INPUT!E9="",NA(),INPUT!E9)</f>
        <v>1200</v>
      </c>
      <c r="F71" s="222">
        <f>IF(INPUT!F9="",NA(),INPUT!F9)</f>
        <v>1500</v>
      </c>
      <c r="G71" s="222">
        <f>IF(INPUT!G9="",NA(),INPUT!G9)</f>
        <v>1800</v>
      </c>
      <c r="H71" s="222">
        <f>IF(INPUT!H9="",NA(),INPUT!H9)</f>
        <v>2100</v>
      </c>
    </row>
    <row r="72" spans="1:8" ht="15" customHeight="1" x14ac:dyDescent="0.3">
      <c r="B72" s="44" t="s">
        <v>142</v>
      </c>
      <c r="D72" s="422">
        <f>IF(INPUT!E9="",NA(),INPUT!E30)</f>
        <v>-62484.09</v>
      </c>
      <c r="E72" s="222">
        <f>IF(INPUT!F9="",NA(),INPUT!F30)</f>
        <v>-81582.03</v>
      </c>
      <c r="F72" s="222">
        <f>IF(INPUT!G9="",NA(),INPUT!G30)</f>
        <v>-82980.03</v>
      </c>
      <c r="G72" s="222">
        <f>IF(INPUT!G9="",NA(),INPUT!G30)</f>
        <v>-82980.03</v>
      </c>
      <c r="H72" s="222">
        <f>IF(INPUT!H9="",NA(),INPUT!H30)</f>
        <v>-82044.040000000008</v>
      </c>
    </row>
    <row r="73" spans="1:8" ht="15" customHeight="1" x14ac:dyDescent="0.3">
      <c r="B73" s="44" t="s">
        <v>143</v>
      </c>
      <c r="D73" s="422">
        <f>IF(INPUT!E9="",NA(),INPUT!E26)</f>
        <v>-66231.89</v>
      </c>
      <c r="E73" s="222">
        <f>IF(INPUT!F9="",NA(),INPUT!F26)</f>
        <v>-86249.819999999992</v>
      </c>
      <c r="F73" s="222">
        <f>IF(INPUT!G9="",NA(),INPUT!G26)</f>
        <v>-88348.83</v>
      </c>
      <c r="G73" s="222">
        <f>IF(INPUT!G9="",NA(),INPUT!G26)</f>
        <v>-88348.83</v>
      </c>
      <c r="H73" s="222">
        <f>IF(INPUT!H9="",NA(),INPUT!H26)</f>
        <v>-88192.83</v>
      </c>
    </row>
    <row r="74" spans="1:8" ht="15" customHeight="1" x14ac:dyDescent="0.3">
      <c r="B74" s="44" t="s">
        <v>144</v>
      </c>
      <c r="D74" s="422">
        <f>IF(INPUT!E9="",NA(),INPUT!D9+INPUT!E9)</f>
        <v>1200</v>
      </c>
      <c r="E74" s="222">
        <f>IF(INPUT!E9="",NA(),INPUT!E9)</f>
        <v>1200</v>
      </c>
      <c r="F74" s="222">
        <f>IF(INPUT!F9="",NA(),E74+INPUT!F9)</f>
        <v>2700</v>
      </c>
      <c r="G74" s="222">
        <f>IF(INPUT!G9="",NA(),F74+INPUT!G9)</f>
        <v>4500</v>
      </c>
      <c r="H74" s="222">
        <f>IF(INPUT!H9="",NA(),G74+INPUT!H9)</f>
        <v>6600</v>
      </c>
    </row>
    <row r="75" spans="1:8" ht="15" customHeight="1" x14ac:dyDescent="0.3">
      <c r="B75" s="44"/>
      <c r="D75" s="203"/>
    </row>
    <row r="76" spans="1:8" ht="15" customHeight="1" x14ac:dyDescent="0.3">
      <c r="B76" s="44" t="s">
        <v>108</v>
      </c>
      <c r="D76" s="423" t="str">
        <f>IF(INPUT!D9="","",D19)</f>
        <v/>
      </c>
      <c r="E76" s="223">
        <f>IF(INPUT!E9="",NA(),E19/100)</f>
        <v>-0.49507499999999999</v>
      </c>
      <c r="F76" s="223">
        <f>IF(INPUT!F9="",NA(),F19/100)</f>
        <v>-0.51741999999999999</v>
      </c>
      <c r="G76" s="223">
        <f>IF(INPUT!G9="",NA(),G19/100)</f>
        <v>-0.43577777777777776</v>
      </c>
      <c r="H76" s="223">
        <f>IF(INPUT!H9="",NA(),H19/100)</f>
        <v>-0.3601571428571429</v>
      </c>
    </row>
    <row r="77" spans="1:8" ht="15" customHeight="1" x14ac:dyDescent="0.3">
      <c r="B77" s="44" t="s">
        <v>109</v>
      </c>
      <c r="D77" s="423" t="str">
        <f>IF(INPUT!D9="","",D20)</f>
        <v/>
      </c>
      <c r="E77" s="223">
        <f>IF(INPUT!E9="",NA(),E20/100)</f>
        <v>-0.52070074999999993</v>
      </c>
      <c r="F77" s="223">
        <f>IF(INPUT!F9="",NA(),F20/100)</f>
        <v>-0.54388019999999992</v>
      </c>
      <c r="G77" s="223">
        <f>IF(INPUT!G9="",NA(),G20/100)</f>
        <v>-0.46100016666666671</v>
      </c>
      <c r="H77" s="223">
        <f>IF(INPUT!H9="",NA(),H20/100)</f>
        <v>-0.39068590476190479</v>
      </c>
    </row>
    <row r="78" spans="1:8" ht="15" customHeight="1" x14ac:dyDescent="0.3">
      <c r="B78" s="44" t="s">
        <v>111</v>
      </c>
      <c r="D78" s="423" t="str">
        <f>IF(INPUT!D9="","",D22)</f>
        <v/>
      </c>
      <c r="E78" s="223">
        <f>IF(INPUT!E9="",NA(),E22/100)</f>
        <v>-0.5519324166666667</v>
      </c>
      <c r="F78" s="223">
        <f>IF(INPUT!F9="",NA(),F22/100)</f>
        <v>-0.57499879999999992</v>
      </c>
      <c r="G78" s="223">
        <f>IF(INPUT!G9="",NA(),G22/100)</f>
        <v>-0.49082683333333338</v>
      </c>
      <c r="H78" s="223">
        <f>IF(INPUT!H9="",NA(),H22/100)</f>
        <v>-0.41996585714285717</v>
      </c>
    </row>
    <row r="79" spans="1:8" ht="15" customHeight="1" x14ac:dyDescent="0.3">
      <c r="B79" s="44"/>
      <c r="D79" s="203"/>
    </row>
    <row r="80" spans="1:8" ht="15" customHeight="1" x14ac:dyDescent="0.3">
      <c r="D80" s="344" t="str">
        <f>IF(INPUT!D9="","",D5)</f>
        <v/>
      </c>
      <c r="E80" s="225">
        <f>E70</f>
        <v>2022</v>
      </c>
      <c r="F80" s="225">
        <f>F70</f>
        <v>2023</v>
      </c>
      <c r="G80" s="225">
        <f>G70</f>
        <v>2024</v>
      </c>
      <c r="H80" s="225" t="str">
        <f>H70</f>
        <v>2025 (LTM)</v>
      </c>
    </row>
    <row r="81" spans="1:8" ht="15" customHeight="1" x14ac:dyDescent="0.3">
      <c r="B81" s="44" t="s">
        <v>145</v>
      </c>
      <c r="D81" s="344" t="str">
        <f>IF(INPUT!D9="","",ABS(INPUT!D14))</f>
        <v/>
      </c>
      <c r="E81" s="225">
        <f>IF(INPUT!E9="",NA(),ABS(INPUT!E14))</f>
        <v>0.09</v>
      </c>
      <c r="F81" s="225">
        <f>IF(INPUT!F9="",NA(),ABS(INPUT!F14))</f>
        <v>0.03</v>
      </c>
      <c r="G81" s="225">
        <f>IF(INPUT!G9="",NA(),ABS(INPUT!G14))</f>
        <v>0.03</v>
      </c>
      <c r="H81" s="225">
        <f>IF(INPUT!H9="",NA(),ABS(INPUT!H14))</f>
        <v>0.04</v>
      </c>
    </row>
    <row r="82" spans="1:8" ht="15" customHeight="1" x14ac:dyDescent="0.3">
      <c r="B82" s="44" t="s">
        <v>146</v>
      </c>
      <c r="D82" s="344" t="str">
        <f>IF(INPUT!D9="","",ABS(INPUT!D15))</f>
        <v/>
      </c>
      <c r="E82" s="225">
        <f>IF(INPUT!E9="",NA(),ABS(INPUT!E15))</f>
        <v>3075</v>
      </c>
      <c r="F82" s="225">
        <f>IF(INPUT!F9="",NA(),ABS(INPUT!F15))</f>
        <v>3969</v>
      </c>
      <c r="G82" s="225">
        <f>IF(INPUT!G9="",NA(),ABS(INPUT!G15))</f>
        <v>4540</v>
      </c>
      <c r="H82" s="225">
        <f>IF(INPUT!H9="",NA(),ABS(INPUT!H15))</f>
        <v>6411</v>
      </c>
    </row>
    <row r="83" spans="1:8" ht="15" customHeight="1" x14ac:dyDescent="0.3">
      <c r="B83" s="44" t="s">
        <v>147</v>
      </c>
      <c r="D83" s="344" t="str">
        <f>IF(INPUT!D9="","",ABS(INPUT!D16))</f>
        <v/>
      </c>
      <c r="E83" s="225">
        <f>IF(INPUT!E9="",NA(),ABS(INPUT!E16))</f>
        <v>3747</v>
      </c>
      <c r="F83" s="225">
        <f>IF(INPUT!F9="",NA(),ABS(INPUT!F16))</f>
        <v>4667</v>
      </c>
      <c r="G83" s="225">
        <f>IF(INPUT!G9="",NA(),ABS(INPUT!G16))</f>
        <v>5368</v>
      </c>
      <c r="H83" s="225">
        <f>IF(INPUT!H9="",NA(),ABS(INPUT!H16))</f>
        <v>6148</v>
      </c>
    </row>
    <row r="84" spans="1:8" ht="15" customHeight="1" x14ac:dyDescent="0.3">
      <c r="B84" s="44" t="s">
        <v>148</v>
      </c>
      <c r="D84" s="344" t="str">
        <f>IF(INPUT!D9="","",ABS(INPUT!D20))</f>
        <v/>
      </c>
      <c r="E84" s="225">
        <f>IF(INPUT!E9="",NA(),ABS(INPUT!E20))</f>
        <v>0.8</v>
      </c>
      <c r="F84" s="225">
        <f>IF(INPUT!F9="",NA(),ABS(INPUT!F20))</f>
        <v>0.79</v>
      </c>
      <c r="G84" s="225">
        <f>IF(INPUT!G9="",NA(),ABS(INPUT!G20))</f>
        <v>0.8</v>
      </c>
      <c r="H84" s="225">
        <f>IF(INPUT!H9="",NA(),ABS(INPUT!H20))</f>
        <v>0.79</v>
      </c>
    </row>
    <row r="85" spans="1:8" ht="15" customHeight="1" x14ac:dyDescent="0.3">
      <c r="B85" s="44"/>
      <c r="D85" s="203"/>
    </row>
    <row r="86" spans="1:8" ht="15" customHeight="1" x14ac:dyDescent="0.35">
      <c r="D86" s="377" t="str">
        <f>IF(INPUT!D9="","",D5)</f>
        <v/>
      </c>
      <c r="E86" s="21">
        <f>E70</f>
        <v>2022</v>
      </c>
      <c r="F86" s="21">
        <f>F70</f>
        <v>2023</v>
      </c>
      <c r="G86" s="21">
        <f>G70</f>
        <v>2024</v>
      </c>
      <c r="H86" s="21" t="str">
        <f>H70</f>
        <v>2025 (LTM)</v>
      </c>
    </row>
    <row r="87" spans="1:8" ht="15" customHeight="1" x14ac:dyDescent="0.3">
      <c r="B87" s="44" t="s">
        <v>145</v>
      </c>
      <c r="D87" s="424" t="str">
        <f>IF(INPUT!D9="","",D81/1000)</f>
        <v/>
      </c>
      <c r="E87" s="226">
        <f t="shared" ref="E87:H90" si="0">E81/1000</f>
        <v>8.9999999999999992E-5</v>
      </c>
      <c r="F87" s="226">
        <f t="shared" si="0"/>
        <v>2.9999999999999997E-5</v>
      </c>
      <c r="G87" s="226">
        <f t="shared" si="0"/>
        <v>2.9999999999999997E-5</v>
      </c>
      <c r="H87" s="226">
        <f t="shared" si="0"/>
        <v>4.0000000000000003E-5</v>
      </c>
    </row>
    <row r="88" spans="1:8" ht="15" customHeight="1" x14ac:dyDescent="0.3">
      <c r="B88" s="44" t="s">
        <v>146</v>
      </c>
      <c r="D88" s="424" t="str">
        <f>IF(INPUT!D9="","",D82/1000)</f>
        <v/>
      </c>
      <c r="E88" s="226">
        <f t="shared" si="0"/>
        <v>3.0750000000000002</v>
      </c>
      <c r="F88" s="226">
        <f t="shared" si="0"/>
        <v>3.9689999999999999</v>
      </c>
      <c r="G88" s="226">
        <f t="shared" si="0"/>
        <v>4.54</v>
      </c>
      <c r="H88" s="226">
        <f t="shared" si="0"/>
        <v>6.4109999999999996</v>
      </c>
    </row>
    <row r="89" spans="1:8" ht="15" customHeight="1" x14ac:dyDescent="0.3">
      <c r="B89" s="44" t="s">
        <v>147</v>
      </c>
      <c r="D89" s="424" t="str">
        <f>IF(INPUT!D9="","",D83/1000)</f>
        <v/>
      </c>
      <c r="E89" s="226">
        <f t="shared" si="0"/>
        <v>3.7469999999999999</v>
      </c>
      <c r="F89" s="226">
        <f t="shared" si="0"/>
        <v>4.6669999999999998</v>
      </c>
      <c r="G89" s="226">
        <f t="shared" si="0"/>
        <v>5.3680000000000003</v>
      </c>
      <c r="H89" s="226">
        <f t="shared" si="0"/>
        <v>6.1479999999999997</v>
      </c>
    </row>
    <row r="90" spans="1:8" ht="15" customHeight="1" x14ac:dyDescent="0.3">
      <c r="B90" s="44" t="s">
        <v>148</v>
      </c>
      <c r="D90" s="424" t="str">
        <f>IF(INPUT!D9="","",D84/1000)</f>
        <v/>
      </c>
      <c r="E90" s="226">
        <f t="shared" si="0"/>
        <v>8.0000000000000004E-4</v>
      </c>
      <c r="F90" s="226">
        <f t="shared" si="0"/>
        <v>7.9000000000000001E-4</v>
      </c>
      <c r="G90" s="226">
        <f t="shared" si="0"/>
        <v>8.0000000000000004E-4</v>
      </c>
      <c r="H90" s="226">
        <f t="shared" si="0"/>
        <v>7.9000000000000001E-4</v>
      </c>
    </row>
    <row r="91" spans="1:8" ht="15" customHeight="1" x14ac:dyDescent="0.3">
      <c r="B91" s="44"/>
      <c r="D91" s="203"/>
      <c r="G91" s="225">
        <f>G84/1000</f>
        <v>8.0000000000000004E-4</v>
      </c>
      <c r="H91" s="225">
        <f>H84/1000</f>
        <v>7.9000000000000001E-4</v>
      </c>
    </row>
    <row r="92" spans="1:8" ht="15" customHeight="1" x14ac:dyDescent="0.3">
      <c r="B92" s="44"/>
      <c r="D92" s="203"/>
    </row>
    <row r="93" spans="1:8" ht="15" customHeight="1" x14ac:dyDescent="0.3">
      <c r="B93" s="44" t="s">
        <v>144</v>
      </c>
      <c r="D93" s="344">
        <v>0</v>
      </c>
      <c r="E93" s="225">
        <f>E74/1000</f>
        <v>1.2</v>
      </c>
      <c r="F93" s="225">
        <f>F74/1000</f>
        <v>2.7</v>
      </c>
      <c r="G93" s="225">
        <f>G74/1000</f>
        <v>4.5</v>
      </c>
      <c r="H93" s="225">
        <f>H74/1000</f>
        <v>6.6</v>
      </c>
    </row>
    <row r="94" spans="1:8" ht="15" customHeight="1" x14ac:dyDescent="0.3">
      <c r="B94" s="44"/>
      <c r="D94" s="203"/>
    </row>
    <row r="95" spans="1:8" ht="15" customHeight="1" x14ac:dyDescent="0.3">
      <c r="B95" s="44"/>
      <c r="D95" s="203"/>
      <c r="G95" s="225">
        <f>G74/1000</f>
        <v>4.5</v>
      </c>
      <c r="H95" s="225">
        <f>H74/1000</f>
        <v>6.6</v>
      </c>
    </row>
    <row r="96" spans="1:8" ht="15" customHeight="1" x14ac:dyDescent="0.3">
      <c r="A96" s="83"/>
      <c r="B96" s="83" t="s">
        <v>149</v>
      </c>
      <c r="C96" s="83"/>
      <c r="D96" s="381"/>
      <c r="E96" s="83"/>
      <c r="F96" s="83"/>
      <c r="G96" s="83"/>
      <c r="H96" s="83"/>
    </row>
    <row r="97" spans="1:8" ht="15" customHeight="1" x14ac:dyDescent="0.3">
      <c r="B97" s="279" t="s">
        <v>150</v>
      </c>
      <c r="D97" s="203"/>
      <c r="E97" s="20">
        <f>E70</f>
        <v>2022</v>
      </c>
      <c r="F97" s="20">
        <f>F70</f>
        <v>2023</v>
      </c>
      <c r="G97" s="20">
        <f>G70</f>
        <v>2024</v>
      </c>
      <c r="H97" s="20" t="str">
        <f>H70</f>
        <v>2025 (LTM)</v>
      </c>
    </row>
    <row r="98" spans="1:8" ht="15" customHeight="1" x14ac:dyDescent="0.3">
      <c r="B98" s="44" t="s">
        <v>151</v>
      </c>
      <c r="D98" s="203"/>
      <c r="E98" s="283">
        <f>E61</f>
        <v>-68092.88</v>
      </c>
      <c r="F98" s="283">
        <f>F61</f>
        <v>-89071.829999999987</v>
      </c>
      <c r="G98" s="283">
        <f>G61</f>
        <v>-93213.85</v>
      </c>
      <c r="H98" s="283">
        <f>H61</f>
        <v>-90929.81</v>
      </c>
    </row>
    <row r="99" spans="1:8" ht="15" customHeight="1" x14ac:dyDescent="0.3">
      <c r="B99" s="44" t="s">
        <v>152</v>
      </c>
      <c r="D99" s="203"/>
      <c r="E99" s="20">
        <f>ABS(INPUT!E78)</f>
        <v>7172</v>
      </c>
      <c r="F99" s="20">
        <f>ABS(INPUT!F78)</f>
        <v>8899</v>
      </c>
      <c r="G99" s="20">
        <f>ABS(INPUT!G78)</f>
        <v>11342</v>
      </c>
      <c r="H99" s="20">
        <f>ABS(INPUT!H78)</f>
        <v>8527</v>
      </c>
    </row>
    <row r="100" spans="1:8" ht="15" customHeight="1" x14ac:dyDescent="0.3">
      <c r="B100" s="44" t="s">
        <v>153</v>
      </c>
      <c r="D100" s="203"/>
      <c r="E100" s="281">
        <f>INPUT!E75</f>
        <v>-60920.88</v>
      </c>
      <c r="F100" s="281">
        <f>INPUT!F75</f>
        <v>-80172.829999999987</v>
      </c>
      <c r="G100" s="281">
        <f>INPUT!G75</f>
        <v>-81871.850000000006</v>
      </c>
      <c r="H100" s="281">
        <f>INPUT!H75</f>
        <v>-82402.81</v>
      </c>
    </row>
    <row r="101" spans="1:8" ht="15" customHeight="1" x14ac:dyDescent="0.3">
      <c r="B101" s="44"/>
      <c r="D101" s="203"/>
    </row>
    <row r="102" spans="1:8" ht="15" customHeight="1" x14ac:dyDescent="0.3">
      <c r="A102" s="83"/>
      <c r="B102" s="83" t="s">
        <v>154</v>
      </c>
      <c r="C102" s="83"/>
      <c r="D102" s="381"/>
      <c r="E102" s="83"/>
      <c r="F102" s="83"/>
      <c r="G102" s="83"/>
      <c r="H102" s="83"/>
    </row>
    <row r="103" spans="1:8" ht="15" customHeight="1" x14ac:dyDescent="0.3">
      <c r="B103" s="279" t="s">
        <v>150</v>
      </c>
      <c r="D103" s="203"/>
      <c r="E103" s="20">
        <f>E70</f>
        <v>2022</v>
      </c>
      <c r="F103" s="20">
        <f>F70</f>
        <v>2023</v>
      </c>
      <c r="G103" s="20">
        <f>G70</f>
        <v>2024</v>
      </c>
      <c r="H103" s="20" t="str">
        <f>H70</f>
        <v>2025 (LTM)</v>
      </c>
    </row>
    <row r="104" spans="1:8" ht="15" customHeight="1" x14ac:dyDescent="0.3">
      <c r="B104" s="44" t="s">
        <v>112</v>
      </c>
      <c r="D104" s="203"/>
      <c r="E104" s="284">
        <f t="shared" ref="E104:H106" si="1">E23</f>
        <v>5375.965097402599</v>
      </c>
      <c r="F104" s="284">
        <f t="shared" si="1"/>
        <v>6989.4505672609394</v>
      </c>
      <c r="G104" s="284">
        <f t="shared" si="1"/>
        <v>7165.3552311435515</v>
      </c>
      <c r="H104" s="284">
        <f t="shared" si="1"/>
        <v>7141.1198380566811</v>
      </c>
    </row>
    <row r="105" spans="1:8" ht="15" customHeight="1" x14ac:dyDescent="0.3">
      <c r="B105" s="44" t="s">
        <v>113</v>
      </c>
      <c r="D105" s="203"/>
      <c r="E105" s="284">
        <f t="shared" si="1"/>
        <v>-1.164557698732263</v>
      </c>
      <c r="F105" s="284">
        <f t="shared" si="1"/>
        <v>-1.2818771178883537</v>
      </c>
      <c r="G105" s="284">
        <f t="shared" si="1"/>
        <v>-1.1847768044047728</v>
      </c>
      <c r="H105" s="284">
        <f t="shared" si="1"/>
        <v>-1.0723835028716557</v>
      </c>
    </row>
    <row r="106" spans="1:8" ht="15" customHeight="1" x14ac:dyDescent="0.3">
      <c r="B106" s="44" t="s">
        <v>114</v>
      </c>
      <c r="D106" s="203"/>
      <c r="E106" s="284" t="str">
        <f t="shared" si="1"/>
        <v>–</v>
      </c>
      <c r="F106" s="284" t="str">
        <f t="shared" si="1"/>
        <v>–</v>
      </c>
      <c r="G106" s="284" t="str">
        <f t="shared" si="1"/>
        <v>–</v>
      </c>
      <c r="H106" s="284" t="str">
        <f t="shared" si="1"/>
        <v>–</v>
      </c>
    </row>
    <row r="107" spans="1:8" ht="15" customHeight="1" x14ac:dyDescent="0.3">
      <c r="B107" s="44"/>
    </row>
    <row r="108" spans="1:8" ht="15" customHeight="1" x14ac:dyDescent="0.3">
      <c r="B108" s="44"/>
    </row>
    <row r="109" spans="1:8" ht="15" customHeight="1" x14ac:dyDescent="0.3">
      <c r="B109" s="44"/>
    </row>
    <row r="110" spans="1:8" ht="15" customHeight="1" x14ac:dyDescent="0.3">
      <c r="B110" s="44"/>
    </row>
    <row r="111" spans="1:8" ht="15" customHeight="1" x14ac:dyDescent="0.3">
      <c r="B111" s="44"/>
    </row>
    <row r="112" spans="1:8" ht="15" customHeight="1" x14ac:dyDescent="0.3">
      <c r="B112" s="44"/>
    </row>
    <row r="113" spans="2:8" ht="15" customHeight="1" x14ac:dyDescent="0.3">
      <c r="B113" s="44"/>
    </row>
    <row r="114" spans="2:8" ht="15" customHeight="1" x14ac:dyDescent="0.3">
      <c r="B114" s="44"/>
    </row>
    <row r="115" spans="2:8" ht="15" customHeight="1" x14ac:dyDescent="0.3">
      <c r="B115" s="44"/>
    </row>
    <row r="116" spans="2:8" ht="15" customHeight="1" x14ac:dyDescent="0.3">
      <c r="B116" s="44"/>
    </row>
    <row r="117" spans="2:8" ht="15" customHeight="1" x14ac:dyDescent="0.3">
      <c r="B117" s="44"/>
    </row>
    <row r="118" spans="2:8" ht="15" customHeight="1" x14ac:dyDescent="0.3">
      <c r="B118" s="44"/>
    </row>
    <row r="119" spans="2:8" ht="15" customHeight="1" x14ac:dyDescent="0.3">
      <c r="B119" s="44"/>
    </row>
    <row r="120" spans="2:8" ht="15" customHeight="1" x14ac:dyDescent="0.3"/>
    <row r="121" spans="2:8" ht="15" customHeight="1" x14ac:dyDescent="0.3"/>
    <row r="122" spans="2:8" ht="15" customHeight="1" x14ac:dyDescent="0.3"/>
    <row r="123" spans="2:8" ht="15" customHeight="1" x14ac:dyDescent="0.35">
      <c r="B123" s="30" t="s">
        <v>94</v>
      </c>
      <c r="C123" s="2"/>
      <c r="D123" s="2"/>
      <c r="E123" s="78"/>
      <c r="F123" s="78"/>
      <c r="G123" s="78"/>
      <c r="H123" s="78"/>
    </row>
    <row r="124" spans="2:8" ht="15" x14ac:dyDescent="0.35">
      <c r="B124" s="30" t="s">
        <v>95</v>
      </c>
      <c r="C124" s="2"/>
      <c r="D124" s="2"/>
      <c r="E124" s="78"/>
      <c r="F124" s="78"/>
      <c r="G124" s="78"/>
      <c r="H124" s="78"/>
    </row>
    <row r="125" spans="2:8" ht="15" x14ac:dyDescent="0.35">
      <c r="B125" s="30" t="s">
        <v>96</v>
      </c>
      <c r="C125" s="2"/>
      <c r="D125" s="2"/>
      <c r="E125" s="78"/>
      <c r="F125" s="78"/>
      <c r="G125" s="78"/>
      <c r="H125" s="78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120"/>
  <sheetViews>
    <sheetView showGridLines="0" zoomScale="80" workbookViewId="0">
      <selection activeCell="D27" sqref="D27"/>
    </sheetView>
  </sheetViews>
  <sheetFormatPr baseColWidth="10" defaultRowHeight="14.4" x14ac:dyDescent="0.3"/>
  <cols>
    <col min="1" max="1" width="1.77734375" customWidth="1"/>
    <col min="2" max="2" width="53" style="18" customWidth="1"/>
    <col min="3" max="3" width="7.44140625" customWidth="1"/>
    <col min="4" max="4" width="15.109375" style="20" customWidth="1"/>
    <col min="5" max="8" width="13.33203125" style="20" customWidth="1"/>
    <col min="9" max="9" width="1" style="20" customWidth="1"/>
    <col min="10" max="14" width="11.5546875" style="20" customWidth="1"/>
  </cols>
  <sheetData>
    <row r="1" spans="1:14" ht="54.9" customHeight="1" x14ac:dyDescent="0.6">
      <c r="A1" s="99"/>
      <c r="B1" s="96" t="s">
        <v>97</v>
      </c>
      <c r="C1" s="99"/>
      <c r="D1" s="99"/>
      <c r="E1" s="27"/>
      <c r="F1" s="27" t="s">
        <v>448</v>
      </c>
      <c r="G1" s="27"/>
      <c r="H1" s="27"/>
      <c r="I1" s="27"/>
      <c r="J1" s="19"/>
      <c r="K1" s="27"/>
      <c r="L1" s="27"/>
      <c r="M1" s="27"/>
      <c r="N1" s="27"/>
    </row>
    <row r="2" spans="1:14" ht="15" customHeight="1" x14ac:dyDescent="0.35">
      <c r="A2" s="82"/>
      <c r="B2" s="82"/>
      <c r="D2"/>
      <c r="E2"/>
      <c r="F2"/>
      <c r="G2"/>
      <c r="H2"/>
      <c r="I2" s="21"/>
    </row>
    <row r="3" spans="1:14" ht="18" customHeight="1" x14ac:dyDescent="0.5">
      <c r="A3" s="433"/>
      <c r="B3" s="14" t="s">
        <v>449</v>
      </c>
      <c r="C3" s="433"/>
      <c r="D3" s="433"/>
      <c r="E3" s="40"/>
      <c r="F3" s="40"/>
      <c r="G3" s="40"/>
      <c r="H3" s="40"/>
      <c r="I3" s="22"/>
      <c r="J3" s="40"/>
      <c r="K3" s="40"/>
      <c r="L3" s="40"/>
      <c r="M3" s="40"/>
      <c r="N3" s="40"/>
    </row>
    <row r="4" spans="1:14" ht="15" customHeight="1" x14ac:dyDescent="0.35">
      <c r="B4" s="434" t="s">
        <v>450</v>
      </c>
      <c r="D4"/>
      <c r="E4"/>
      <c r="F4"/>
      <c r="G4"/>
      <c r="H4"/>
      <c r="I4" s="21"/>
    </row>
    <row r="5" spans="1:14" ht="15" customHeight="1" x14ac:dyDescent="0.35">
      <c r="A5" s="435"/>
      <c r="B5" s="15" t="s">
        <v>155</v>
      </c>
      <c r="C5" s="435"/>
      <c r="D5" s="435"/>
      <c r="E5" s="15">
        <f>IF(INPUT!E5="","",INPUT!E5)</f>
        <v>2022</v>
      </c>
      <c r="F5" s="15">
        <f>IF(INPUT!F5="","",INPUT!F5)</f>
        <v>2023</v>
      </c>
      <c r="G5" s="15">
        <f>IF(INPUT!G5="","",INPUT!G5)</f>
        <v>2024</v>
      </c>
      <c r="H5" s="15" t="str">
        <f>IF(INPUT!H5="","",INPUT!H5)</f>
        <v>2025 (LTM)</v>
      </c>
      <c r="I5" s="23"/>
      <c r="J5" s="1"/>
      <c r="K5" s="1"/>
      <c r="L5" s="1"/>
      <c r="M5" s="1"/>
      <c r="N5" s="1"/>
    </row>
    <row r="6" spans="1:14" ht="15" customHeight="1" x14ac:dyDescent="0.35">
      <c r="A6" s="82"/>
      <c r="B6"/>
      <c r="D6"/>
      <c r="E6"/>
      <c r="F6"/>
      <c r="G6"/>
      <c r="H6"/>
      <c r="I6" s="21"/>
    </row>
    <row r="7" spans="1:14" ht="18" customHeight="1" x14ac:dyDescent="0.5">
      <c r="A7" s="433" t="s">
        <v>5</v>
      </c>
      <c r="B7" s="46" t="s">
        <v>159</v>
      </c>
      <c r="C7" s="436"/>
      <c r="D7" s="433"/>
      <c r="E7" s="437"/>
      <c r="F7" s="437"/>
      <c r="G7" s="437"/>
      <c r="H7" s="437"/>
      <c r="I7" s="22"/>
      <c r="J7" s="40"/>
      <c r="K7" s="40"/>
      <c r="L7" s="40"/>
      <c r="M7" s="40"/>
      <c r="N7" s="40"/>
    </row>
    <row r="8" spans="1:14" ht="15" customHeight="1" x14ac:dyDescent="0.35">
      <c r="B8" s="70" t="s">
        <v>451</v>
      </c>
      <c r="D8"/>
      <c r="E8" s="227">
        <f>IFERROR(INPUT!E38,"–")</f>
        <v>15780</v>
      </c>
      <c r="F8" s="227">
        <f>IFERROR(INPUT!F38,"–")</f>
        <v>17014</v>
      </c>
      <c r="G8" s="227">
        <f>IFERROR(INPUT!G38,"–")</f>
        <v>17379.02</v>
      </c>
      <c r="H8" s="227">
        <f>IFERROR(INPUT!H38,"–")</f>
        <v>20007.010000000002</v>
      </c>
      <c r="I8" s="28"/>
    </row>
    <row r="9" spans="1:14" ht="15" customHeight="1" x14ac:dyDescent="0.35">
      <c r="B9" s="70" t="s">
        <v>452</v>
      </c>
      <c r="D9"/>
      <c r="E9" s="227">
        <f>IFERROR(ABS(INPUT!E75),"–")</f>
        <v>60920.88</v>
      </c>
      <c r="F9" s="227">
        <f>IFERROR(ABS(INPUT!F75),"–")</f>
        <v>80172.829999999987</v>
      </c>
      <c r="G9" s="227">
        <f>IFERROR(ABS(INPUT!G75),"–")</f>
        <v>81871.850000000006</v>
      </c>
      <c r="H9" s="227">
        <f>IFERROR(ABS(INPUT!H75),"–")</f>
        <v>82402.81</v>
      </c>
      <c r="I9" s="28"/>
    </row>
    <row r="10" spans="1:14" ht="15" customHeight="1" x14ac:dyDescent="0.35">
      <c r="B10" s="70" t="s">
        <v>453</v>
      </c>
      <c r="D10"/>
      <c r="E10" s="227">
        <f>IFERROR(INPUT!E38-INPUT!E51,"–")</f>
        <v>14184.130000000001</v>
      </c>
      <c r="F10" s="227">
        <f>IFERROR(INPUT!F38-INPUT!F51,"–")</f>
        <v>15286.11</v>
      </c>
      <c r="G10" s="227">
        <f>IFERROR(INPUT!G38-INPUT!G51,"–")</f>
        <v>14456.12</v>
      </c>
      <c r="H10" s="227">
        <f>IFERROR(INPUT!H38-INPUT!H51,"–")</f>
        <v>16474.100000000002</v>
      </c>
      <c r="I10" s="28"/>
    </row>
    <row r="11" spans="1:14" ht="15" customHeight="1" x14ac:dyDescent="0.35">
      <c r="B11" s="70" t="s">
        <v>454</v>
      </c>
      <c r="D11"/>
      <c r="E11" s="227">
        <f>IFERROR(INPUT!E51,"–")</f>
        <v>1595.87</v>
      </c>
      <c r="F11" s="227">
        <f>IFERROR(INPUT!F51,"–")</f>
        <v>1727.89</v>
      </c>
      <c r="G11" s="227">
        <f>IFERROR(INPUT!G51,"–")</f>
        <v>2922.9</v>
      </c>
      <c r="H11" s="227">
        <f>IFERROR(INPUT!H51,"–")</f>
        <v>3532.91</v>
      </c>
      <c r="I11" s="28"/>
    </row>
    <row r="12" spans="1:14" ht="15" customHeight="1" x14ac:dyDescent="0.35">
      <c r="B12" s="70" t="s">
        <v>455</v>
      </c>
      <c r="D12"/>
      <c r="E12" s="227">
        <f>IFERROR(INPUT!E17,"–")</f>
        <v>-66231.09</v>
      </c>
      <c r="F12" s="227">
        <f>IFERROR(INPUT!F17,"–")</f>
        <v>-86249.03</v>
      </c>
      <c r="G12" s="227">
        <f>IFERROR(INPUT!G17,"–")</f>
        <v>-88348.03</v>
      </c>
      <c r="H12" s="227">
        <f>IFERROR(INPUT!H17,"–")</f>
        <v>-88192.040000000008</v>
      </c>
      <c r="I12" s="28"/>
    </row>
    <row r="13" spans="1:14" ht="15" customHeight="1" x14ac:dyDescent="0.35">
      <c r="A13" s="82"/>
      <c r="B13"/>
      <c r="D13"/>
      <c r="E13"/>
      <c r="F13"/>
      <c r="G13"/>
      <c r="H13"/>
      <c r="I13" s="28"/>
    </row>
    <row r="14" spans="1:14" ht="15" customHeight="1" x14ac:dyDescent="0.35">
      <c r="A14" s="433" t="s">
        <v>5</v>
      </c>
      <c r="B14" s="46" t="s">
        <v>456</v>
      </c>
      <c r="C14" s="419"/>
      <c r="D14" s="433"/>
      <c r="E14" s="437"/>
      <c r="F14" s="437"/>
      <c r="G14" s="437"/>
      <c r="H14" s="437"/>
      <c r="I14" s="437"/>
      <c r="J14" s="437"/>
      <c r="K14" s="437"/>
      <c r="L14" s="437"/>
      <c r="M14" s="437"/>
      <c r="N14" s="437"/>
    </row>
    <row r="15" spans="1:14" ht="15" customHeight="1" x14ac:dyDescent="0.35">
      <c r="B15" s="70" t="s">
        <v>457</v>
      </c>
      <c r="D15"/>
      <c r="E15" s="227">
        <f>IFERROR(E9/12,"–")</f>
        <v>5076.74</v>
      </c>
      <c r="F15" s="227">
        <f>IFERROR(F9/12,"–")</f>
        <v>6681.0691666666653</v>
      </c>
      <c r="G15" s="227">
        <f>IFERROR(G9/12,"–")</f>
        <v>6822.6541666666672</v>
      </c>
      <c r="H15" s="227">
        <f>IFERROR(H9/12,"–")</f>
        <v>6866.9008333333331</v>
      </c>
      <c r="I15" s="21"/>
    </row>
    <row r="16" spans="1:14" ht="18" customHeight="1" x14ac:dyDescent="0.5">
      <c r="B16" s="70" t="s">
        <v>458</v>
      </c>
      <c r="D16"/>
      <c r="E16" s="439">
        <f>IFERROR(IF(E9=0,"–",E8/E15),"–")</f>
        <v>3.1082939051438525</v>
      </c>
      <c r="F16" s="439">
        <f>IFERROR(IF(F9=0,"–",F8/F15),"–")</f>
        <v>2.546598392497808</v>
      </c>
      <c r="G16" s="439">
        <f>IFERROR(IF(G9=0,"–",G8/G15),"–")</f>
        <v>2.5472520774845075</v>
      </c>
      <c r="H16" s="439">
        <f>IFERROR(IF(H9=0,"–",H8/H15),"–")</f>
        <v>2.9135428755402883</v>
      </c>
      <c r="I16" s="101"/>
      <c r="J16" s="87"/>
      <c r="K16" s="87"/>
      <c r="L16" s="87"/>
      <c r="M16" s="87"/>
      <c r="N16" s="87"/>
    </row>
    <row r="17" spans="1:14" ht="15" customHeight="1" x14ac:dyDescent="0.35">
      <c r="B17" s="70" t="s">
        <v>459</v>
      </c>
      <c r="D17"/>
      <c r="E17" s="440">
        <f>IFERROR(IF(E11=0,"–",E8/E11),"–")</f>
        <v>9.8880234605575641</v>
      </c>
      <c r="F17" s="440">
        <f>IFERROR(IF(F11=0,"–",F8/F11),"–")</f>
        <v>9.8466916296754992</v>
      </c>
      <c r="G17" s="440">
        <f>IFERROR(IF(G11=0,"–",G8/G11),"–")</f>
        <v>5.9458140887474764</v>
      </c>
      <c r="H17" s="440">
        <f>IFERROR(IF(H11=0,"–",H8/H11),"–")</f>
        <v>5.663039817034683</v>
      </c>
      <c r="I17" s="28"/>
    </row>
    <row r="18" spans="1:14" ht="15" customHeight="1" x14ac:dyDescent="0.35">
      <c r="B18" s="70" t="s">
        <v>460</v>
      </c>
      <c r="D18"/>
      <c r="E18" s="439">
        <f>IFERROR(IF(E15=0,"–",E10/E15),"–")</f>
        <v>2.793944539212172</v>
      </c>
      <c r="F18" s="439">
        <f>IFERROR(IF(F15=0,"–",F10/F15),"–")</f>
        <v>2.287973618992869</v>
      </c>
      <c r="G18" s="439">
        <f>IFERROR(IF(G15=0,"–",G10/G15),"–")</f>
        <v>2.1188410912908404</v>
      </c>
      <c r="H18" s="439">
        <f>IFERROR(IF(H15=0,"–",H10/H15),"–")</f>
        <v>2.3990589641299858</v>
      </c>
      <c r="I18" s="28"/>
    </row>
    <row r="19" spans="1:14" ht="15" customHeight="1" x14ac:dyDescent="0.35">
      <c r="B19" s="70" t="s">
        <v>461</v>
      </c>
      <c r="D19"/>
      <c r="E19" s="438" t="s">
        <v>126</v>
      </c>
      <c r="F19" s="218">
        <f>IFERROR(IF(E15=0,"–",F15/E15-1),"–")</f>
        <v>0.31601562551296025</v>
      </c>
      <c r="G19" s="218">
        <f>IFERROR(IF(F15=0,"–",G15/F15-1),"–")</f>
        <v>2.1191967403421108E-2</v>
      </c>
      <c r="H19" s="218">
        <f>IFERROR(IF(G15=0,"–",H15/G15-1),"–")</f>
        <v>6.4852571427174155E-3</v>
      </c>
      <c r="I19" s="28"/>
    </row>
    <row r="20" spans="1:14" ht="15" customHeight="1" x14ac:dyDescent="0.35">
      <c r="A20" s="82"/>
      <c r="B20"/>
      <c r="D20"/>
      <c r="E20"/>
      <c r="F20"/>
      <c r="G20"/>
      <c r="H20"/>
      <c r="I20" s="28"/>
    </row>
    <row r="21" spans="1:14" ht="15" customHeight="1" x14ac:dyDescent="0.35">
      <c r="A21" s="433" t="s">
        <v>5</v>
      </c>
      <c r="B21" s="65" t="s">
        <v>462</v>
      </c>
      <c r="C21" s="82"/>
      <c r="D21" s="441"/>
      <c r="E21" s="443">
        <f>IFERROR(E16,"–")</f>
        <v>3.1082939051438525</v>
      </c>
      <c r="F21" s="443">
        <f>IFERROR(F16,"–")</f>
        <v>2.546598392497808</v>
      </c>
      <c r="G21" s="443">
        <f>IFERROR(G16,"–")</f>
        <v>2.5472520774845075</v>
      </c>
      <c r="H21" s="443">
        <f>IFERROR(H16,"–")</f>
        <v>2.9135428755402883</v>
      </c>
      <c r="I21" s="28"/>
    </row>
    <row r="22" spans="1:14" ht="15" customHeight="1" x14ac:dyDescent="0.35">
      <c r="A22" s="82"/>
      <c r="B22"/>
      <c r="D22"/>
      <c r="E22"/>
      <c r="F22"/>
      <c r="G22"/>
      <c r="H22"/>
      <c r="I22" s="21"/>
    </row>
    <row r="23" spans="1:14" ht="18" customHeight="1" x14ac:dyDescent="0.5">
      <c r="A23" s="433" t="s">
        <v>5</v>
      </c>
      <c r="B23" s="46" t="s">
        <v>157</v>
      </c>
      <c r="C23" s="419"/>
      <c r="D23" s="433"/>
      <c r="E23" s="420"/>
      <c r="F23" s="420"/>
      <c r="G23" s="420"/>
      <c r="H23" s="420"/>
      <c r="I23" s="22"/>
      <c r="J23" s="40"/>
      <c r="K23" s="40"/>
      <c r="L23" s="40"/>
      <c r="M23" s="40"/>
      <c r="N23" s="40"/>
    </row>
    <row r="24" spans="1:14" ht="15" customHeight="1" x14ac:dyDescent="0.35">
      <c r="B24" s="70" t="s">
        <v>158</v>
      </c>
      <c r="D24"/>
      <c r="E24" s="442" t="str">
        <f>IFERROR(IF(E16&gt;18,"SAFE",IF(E16&gt;=6,"CAUTION","CRITICAL")),"–")</f>
        <v>CRITICAL</v>
      </c>
      <c r="F24" s="442" t="str">
        <f>IFERROR(IF(F16&gt;18,"SAFE",IF(F16&gt;=6,"CAUTION","CRITICAL")),"–")</f>
        <v>CRITICAL</v>
      </c>
      <c r="G24" s="442" t="str">
        <f>IFERROR(IF(G16&gt;18,"SAFE",IF(G16&gt;=6,"CAUTION","CRITICAL")),"–")</f>
        <v>CRITICAL</v>
      </c>
      <c r="H24" s="442" t="str">
        <f>IFERROR(IF(H16&gt;18,"SAFE",IF(H16&gt;=6,"CAUTION","CRITICAL")),"–")</f>
        <v>CRITICAL</v>
      </c>
      <c r="I24" s="28"/>
    </row>
    <row r="25" spans="1:14" ht="15" customHeight="1" x14ac:dyDescent="0.35">
      <c r="B25" s="82"/>
      <c r="D25"/>
      <c r="E25"/>
      <c r="F25"/>
      <c r="G25"/>
      <c r="H25"/>
      <c r="I25" s="28"/>
    </row>
    <row r="26" spans="1:14" ht="15" customHeight="1" x14ac:dyDescent="0.35">
      <c r="B26" s="70" t="s">
        <v>463</v>
      </c>
      <c r="D26" s="70" t="s">
        <v>464</v>
      </c>
      <c r="E26"/>
      <c r="F26"/>
      <c r="G26"/>
      <c r="H26"/>
      <c r="I26" s="28"/>
    </row>
    <row r="27" spans="1:14" ht="15" customHeight="1" x14ac:dyDescent="0.35">
      <c r="B27" s="70" t="s">
        <v>465</v>
      </c>
      <c r="D27" s="70" t="s">
        <v>466</v>
      </c>
      <c r="E27"/>
      <c r="F27"/>
      <c r="G27"/>
      <c r="H27"/>
      <c r="I27" s="28"/>
    </row>
    <row r="28" spans="1:14" ht="15" customHeight="1" x14ac:dyDescent="0.35">
      <c r="B28" s="70" t="s">
        <v>467</v>
      </c>
      <c r="D28" s="70" t="s">
        <v>468</v>
      </c>
      <c r="E28"/>
      <c r="F28"/>
      <c r="G28"/>
      <c r="H28"/>
      <c r="I28" s="28"/>
    </row>
    <row r="29" spans="1:14" ht="15" customHeight="1" x14ac:dyDescent="0.35">
      <c r="B29"/>
      <c r="D29"/>
      <c r="E29"/>
      <c r="F29"/>
      <c r="G29"/>
      <c r="H29"/>
      <c r="I29" s="21"/>
    </row>
    <row r="30" spans="1:14" ht="18" customHeight="1" x14ac:dyDescent="0.5">
      <c r="B30" s="444" t="s">
        <v>469</v>
      </c>
      <c r="D30"/>
      <c r="E30"/>
      <c r="F30"/>
      <c r="G30"/>
      <c r="H30"/>
      <c r="I30" s="101"/>
      <c r="J30" s="87"/>
      <c r="K30" s="87"/>
      <c r="L30" s="87"/>
      <c r="M30" s="87"/>
      <c r="N30" s="87"/>
    </row>
    <row r="31" spans="1:14" ht="15" customHeight="1" x14ac:dyDescent="0.35">
      <c r="B31" s="444" t="s">
        <v>470</v>
      </c>
      <c r="D31"/>
      <c r="E31"/>
      <c r="F31"/>
      <c r="G31"/>
      <c r="H31"/>
      <c r="I31" s="21"/>
    </row>
    <row r="32" spans="1:14" ht="18" customHeight="1" x14ac:dyDescent="0.5">
      <c r="B32" s="450"/>
      <c r="D32"/>
      <c r="E32"/>
      <c r="F32"/>
      <c r="G32"/>
      <c r="H32"/>
      <c r="I32" s="101"/>
      <c r="J32" s="87"/>
      <c r="K32" s="87"/>
      <c r="L32" s="87"/>
      <c r="M32" s="87"/>
      <c r="N32" s="87"/>
    </row>
    <row r="33" spans="2:14" ht="15" customHeight="1" x14ac:dyDescent="0.35">
      <c r="B33"/>
      <c r="D33"/>
      <c r="E33"/>
      <c r="F33"/>
      <c r="G33"/>
      <c r="H33"/>
      <c r="I33" s="21"/>
    </row>
    <row r="34" spans="2:14" ht="15" customHeight="1" x14ac:dyDescent="0.35">
      <c r="B34"/>
      <c r="D34"/>
      <c r="E34"/>
      <c r="F34"/>
      <c r="G34"/>
      <c r="H34"/>
      <c r="I34" s="21"/>
    </row>
    <row r="35" spans="2:14" ht="15" customHeight="1" x14ac:dyDescent="0.35">
      <c r="B35"/>
      <c r="D35"/>
      <c r="E35"/>
      <c r="F35"/>
      <c r="G35"/>
      <c r="H35"/>
      <c r="I35" s="53"/>
    </row>
    <row r="36" spans="2:14" ht="15" customHeight="1" x14ac:dyDescent="0.35">
      <c r="B36"/>
      <c r="D36"/>
      <c r="E36"/>
      <c r="F36"/>
      <c r="G36"/>
      <c r="H36"/>
      <c r="I36" s="53"/>
    </row>
    <row r="37" spans="2:14" ht="15" customHeight="1" x14ac:dyDescent="0.35">
      <c r="B37"/>
      <c r="D37"/>
      <c r="E37"/>
      <c r="F37"/>
      <c r="G37"/>
      <c r="H37"/>
      <c r="I37" s="53"/>
    </row>
    <row r="38" spans="2:14" ht="15" customHeight="1" x14ac:dyDescent="0.35">
      <c r="B38"/>
      <c r="D38"/>
      <c r="E38"/>
      <c r="F38"/>
      <c r="G38"/>
      <c r="H38"/>
      <c r="I38" s="21"/>
    </row>
    <row r="39" spans="2:14" ht="15" customHeight="1" x14ac:dyDescent="0.35">
      <c r="B39"/>
      <c r="D39"/>
      <c r="E39"/>
      <c r="F39"/>
      <c r="G39"/>
      <c r="H39"/>
      <c r="I39" s="21"/>
    </row>
    <row r="40" spans="2:14" ht="15" customHeight="1" x14ac:dyDescent="0.35">
      <c r="B40"/>
      <c r="D40"/>
      <c r="E40"/>
      <c r="F40"/>
      <c r="G40"/>
      <c r="H40"/>
      <c r="I40" s="21"/>
    </row>
    <row r="41" spans="2:14" ht="15" customHeight="1" x14ac:dyDescent="0.35">
      <c r="B41"/>
      <c r="D41"/>
      <c r="E41"/>
      <c r="F41"/>
      <c r="G41"/>
      <c r="H41"/>
      <c r="I41" s="21"/>
    </row>
    <row r="42" spans="2:14" ht="15" customHeight="1" x14ac:dyDescent="0.35">
      <c r="B42"/>
      <c r="D42"/>
      <c r="E42"/>
      <c r="F42"/>
      <c r="G42"/>
      <c r="H42"/>
      <c r="I42" s="31"/>
      <c r="J42" s="78"/>
      <c r="K42" s="78"/>
      <c r="L42" s="78"/>
      <c r="M42" s="78"/>
      <c r="N42" s="78"/>
    </row>
    <row r="43" spans="2:14" ht="15" customHeight="1" x14ac:dyDescent="0.35">
      <c r="B43"/>
      <c r="D43"/>
      <c r="E43"/>
      <c r="F43"/>
      <c r="G43"/>
      <c r="H43"/>
      <c r="I43" s="31"/>
      <c r="J43" s="78"/>
      <c r="K43" s="78"/>
      <c r="L43" s="78"/>
      <c r="M43" s="78"/>
      <c r="N43" s="78"/>
    </row>
    <row r="44" spans="2:14" ht="15" customHeight="1" x14ac:dyDescent="0.35">
      <c r="B44"/>
      <c r="D44"/>
      <c r="E44"/>
      <c r="F44"/>
      <c r="G44"/>
      <c r="H44"/>
      <c r="I44" s="31"/>
      <c r="J44" s="78"/>
      <c r="K44" s="78"/>
      <c r="L44" s="78"/>
      <c r="M44" s="78"/>
      <c r="N44" s="78"/>
    </row>
    <row r="45" spans="2:14" ht="15" customHeight="1" x14ac:dyDescent="0.3">
      <c r="B45" s="44"/>
    </row>
    <row r="46" spans="2:14" ht="15" customHeight="1" x14ac:dyDescent="0.3">
      <c r="B46" s="44"/>
    </row>
    <row r="47" spans="2:14" ht="15" customHeight="1" x14ac:dyDescent="0.3">
      <c r="B47" s="44"/>
    </row>
    <row r="48" spans="2:14" ht="15" customHeight="1" x14ac:dyDescent="0.3">
      <c r="B48" s="44"/>
    </row>
    <row r="49" spans="2:2" ht="15" customHeight="1" x14ac:dyDescent="0.3">
      <c r="B49" s="44"/>
    </row>
    <row r="50" spans="2:2" ht="15" customHeight="1" x14ac:dyDescent="0.3">
      <c r="B50" s="44"/>
    </row>
    <row r="51" spans="2:2" ht="15" customHeight="1" x14ac:dyDescent="0.3">
      <c r="B51" s="44"/>
    </row>
    <row r="52" spans="2:2" ht="15" customHeight="1" x14ac:dyDescent="0.3">
      <c r="B52" s="44"/>
    </row>
    <row r="53" spans="2:2" ht="15" customHeight="1" x14ac:dyDescent="0.3">
      <c r="B53" s="44"/>
    </row>
    <row r="54" spans="2:2" ht="15" customHeight="1" x14ac:dyDescent="0.3">
      <c r="B54" s="44"/>
    </row>
    <row r="55" spans="2:2" ht="15" customHeight="1" x14ac:dyDescent="0.3">
      <c r="B55" s="44"/>
    </row>
    <row r="56" spans="2:2" ht="15" customHeight="1" x14ac:dyDescent="0.3">
      <c r="B56" s="44"/>
    </row>
    <row r="57" spans="2:2" ht="15" customHeight="1" x14ac:dyDescent="0.3">
      <c r="B57" s="44"/>
    </row>
    <row r="58" spans="2:2" ht="15" customHeight="1" x14ac:dyDescent="0.3">
      <c r="B58" s="44"/>
    </row>
    <row r="59" spans="2:2" ht="15" customHeight="1" x14ac:dyDescent="0.3">
      <c r="B59" s="44"/>
    </row>
    <row r="60" spans="2:2" ht="15" customHeight="1" x14ac:dyDescent="0.3">
      <c r="B60" s="44"/>
    </row>
    <row r="61" spans="2:2" ht="15" customHeight="1" x14ac:dyDescent="0.3">
      <c r="B61" s="44"/>
    </row>
    <row r="62" spans="2:2" ht="15" customHeight="1" x14ac:dyDescent="0.3">
      <c r="B62" s="44"/>
    </row>
    <row r="63" spans="2:2" ht="15" customHeight="1" x14ac:dyDescent="0.3">
      <c r="B63" s="44"/>
    </row>
    <row r="64" spans="2:2" ht="15" customHeight="1" x14ac:dyDescent="0.3">
      <c r="B64" s="44"/>
    </row>
    <row r="65" spans="2:2" ht="15" customHeight="1" x14ac:dyDescent="0.3">
      <c r="B65" s="44"/>
    </row>
    <row r="66" spans="2:2" ht="15" customHeight="1" x14ac:dyDescent="0.3">
      <c r="B66" s="44"/>
    </row>
    <row r="67" spans="2:2" ht="15" customHeight="1" x14ac:dyDescent="0.3">
      <c r="B67" s="44"/>
    </row>
    <row r="68" spans="2:2" ht="15" customHeight="1" x14ac:dyDescent="0.3">
      <c r="B68" s="44"/>
    </row>
    <row r="69" spans="2:2" ht="15" customHeight="1" x14ac:dyDescent="0.3">
      <c r="B69" s="44"/>
    </row>
    <row r="70" spans="2:2" ht="15" customHeight="1" x14ac:dyDescent="0.3">
      <c r="B70" s="44"/>
    </row>
    <row r="71" spans="2:2" ht="15" customHeight="1" x14ac:dyDescent="0.3">
      <c r="B71" s="44"/>
    </row>
    <row r="72" spans="2:2" ht="15" customHeight="1" x14ac:dyDescent="0.3">
      <c r="B72" s="44"/>
    </row>
    <row r="73" spans="2:2" ht="15" customHeight="1" x14ac:dyDescent="0.3">
      <c r="B73" s="44"/>
    </row>
    <row r="74" spans="2:2" ht="15" customHeight="1" x14ac:dyDescent="0.3">
      <c r="B74" s="44"/>
    </row>
    <row r="75" spans="2:2" ht="15" customHeight="1" x14ac:dyDescent="0.3">
      <c r="B75" s="44"/>
    </row>
    <row r="76" spans="2:2" ht="15" customHeight="1" x14ac:dyDescent="0.3">
      <c r="B76" s="44"/>
    </row>
    <row r="77" spans="2:2" ht="15" customHeight="1" x14ac:dyDescent="0.3">
      <c r="B77" s="44"/>
    </row>
    <row r="78" spans="2:2" ht="15" customHeight="1" x14ac:dyDescent="0.3">
      <c r="B78" s="44"/>
    </row>
    <row r="79" spans="2:2" ht="15" customHeight="1" x14ac:dyDescent="0.3">
      <c r="B79" s="44"/>
    </row>
    <row r="80" spans="2:2" ht="15" customHeight="1" x14ac:dyDescent="0.3">
      <c r="B80" s="44"/>
    </row>
    <row r="81" spans="2:2" ht="15" customHeight="1" x14ac:dyDescent="0.3">
      <c r="B81" s="44"/>
    </row>
    <row r="82" spans="2:2" ht="15" customHeight="1" x14ac:dyDescent="0.3">
      <c r="B82" s="44"/>
    </row>
    <row r="83" spans="2:2" ht="15" customHeight="1" x14ac:dyDescent="0.3">
      <c r="B83" s="44"/>
    </row>
    <row r="84" spans="2:2" ht="15" customHeight="1" x14ac:dyDescent="0.3">
      <c r="B84" s="44"/>
    </row>
    <row r="85" spans="2:2" ht="15" customHeight="1" x14ac:dyDescent="0.3">
      <c r="B85" s="44"/>
    </row>
    <row r="86" spans="2:2" ht="15" customHeight="1" x14ac:dyDescent="0.3">
      <c r="B86" s="44"/>
    </row>
    <row r="87" spans="2:2" ht="15" customHeight="1" x14ac:dyDescent="0.3">
      <c r="B87" s="44"/>
    </row>
    <row r="88" spans="2:2" ht="15" customHeight="1" x14ac:dyDescent="0.3">
      <c r="B88" s="44"/>
    </row>
    <row r="89" spans="2:2" ht="15" customHeight="1" x14ac:dyDescent="0.3">
      <c r="B89" s="44"/>
    </row>
    <row r="90" spans="2:2" ht="15" customHeight="1" x14ac:dyDescent="0.3">
      <c r="B90" s="44"/>
    </row>
    <row r="91" spans="2:2" ht="15" customHeight="1" x14ac:dyDescent="0.3">
      <c r="B91" s="44"/>
    </row>
    <row r="92" spans="2:2" ht="15" customHeight="1" x14ac:dyDescent="0.3">
      <c r="B92" s="44"/>
    </row>
    <row r="93" spans="2:2" ht="15" customHeight="1" x14ac:dyDescent="0.3">
      <c r="B93" s="44"/>
    </row>
    <row r="94" spans="2:2" ht="15" customHeight="1" x14ac:dyDescent="0.3">
      <c r="B94" s="44"/>
    </row>
    <row r="95" spans="2:2" ht="15" customHeight="1" x14ac:dyDescent="0.3">
      <c r="B95" s="44"/>
    </row>
    <row r="96" spans="2:2" ht="15" customHeight="1" x14ac:dyDescent="0.3">
      <c r="B96" s="44"/>
    </row>
    <row r="97" spans="2:2" ht="15" customHeight="1" x14ac:dyDescent="0.3">
      <c r="B97" s="44"/>
    </row>
    <row r="98" spans="2:2" ht="15" customHeight="1" x14ac:dyDescent="0.3">
      <c r="B98" s="44"/>
    </row>
    <row r="99" spans="2:2" ht="15" customHeight="1" x14ac:dyDescent="0.3">
      <c r="B99" s="44"/>
    </row>
    <row r="100" spans="2:2" ht="15" customHeight="1" x14ac:dyDescent="0.3">
      <c r="B100" s="44"/>
    </row>
    <row r="101" spans="2:2" ht="15" customHeight="1" x14ac:dyDescent="0.3">
      <c r="B101" s="44"/>
    </row>
    <row r="102" spans="2:2" ht="15" customHeight="1" x14ac:dyDescent="0.3">
      <c r="B102" s="44"/>
    </row>
    <row r="103" spans="2:2" ht="15" customHeight="1" x14ac:dyDescent="0.3">
      <c r="B103" s="44"/>
    </row>
    <row r="104" spans="2:2" ht="15" customHeight="1" x14ac:dyDescent="0.3">
      <c r="B104" s="44"/>
    </row>
    <row r="105" spans="2:2" ht="15" customHeight="1" x14ac:dyDescent="0.3">
      <c r="B105" s="44"/>
    </row>
    <row r="106" spans="2:2" ht="15" customHeight="1" x14ac:dyDescent="0.3">
      <c r="B106" s="44"/>
    </row>
    <row r="107" spans="2:2" ht="15" customHeight="1" x14ac:dyDescent="0.3">
      <c r="B107" s="44"/>
    </row>
    <row r="108" spans="2:2" ht="15" customHeight="1" x14ac:dyDescent="0.3">
      <c r="B108" s="44"/>
    </row>
    <row r="109" spans="2:2" ht="15" customHeight="1" x14ac:dyDescent="0.3">
      <c r="B109" s="44"/>
    </row>
    <row r="110" spans="2:2" ht="15" customHeight="1" x14ac:dyDescent="0.3">
      <c r="B110" s="44"/>
    </row>
    <row r="111" spans="2:2" ht="15" customHeight="1" x14ac:dyDescent="0.3">
      <c r="B111" s="44"/>
    </row>
    <row r="112" spans="2:2" ht="15" customHeight="1" x14ac:dyDescent="0.3">
      <c r="B112" s="44"/>
    </row>
    <row r="113" spans="2:2" ht="15" customHeight="1" x14ac:dyDescent="0.3">
      <c r="B113" s="44"/>
    </row>
    <row r="114" spans="2:2" ht="15" customHeight="1" x14ac:dyDescent="0.3">
      <c r="B114" s="44"/>
    </row>
    <row r="115" spans="2:2" ht="15" customHeight="1" x14ac:dyDescent="0.3">
      <c r="B115" s="44"/>
    </row>
    <row r="116" spans="2:2" ht="15" customHeight="1" x14ac:dyDescent="0.3">
      <c r="B116" s="44"/>
    </row>
    <row r="117" spans="2:2" ht="15" customHeight="1" x14ac:dyDescent="0.3">
      <c r="B117" s="44"/>
    </row>
    <row r="118" spans="2:2" ht="15" customHeight="1" x14ac:dyDescent="0.3">
      <c r="B118" s="44"/>
    </row>
    <row r="119" spans="2:2" ht="15" customHeight="1" x14ac:dyDescent="0.3">
      <c r="B119" s="44"/>
    </row>
    <row r="120" spans="2:2" ht="15" customHeight="1" x14ac:dyDescent="0.3">
      <c r="B120" s="44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23"/>
  <sheetViews>
    <sheetView showGridLines="0" zoomScale="80" zoomScaleNormal="80" workbookViewId="0">
      <selection activeCell="F2" sqref="F2"/>
    </sheetView>
  </sheetViews>
  <sheetFormatPr baseColWidth="10" defaultRowHeight="14.4" x14ac:dyDescent="0.3"/>
  <cols>
    <col min="1" max="1" width="1.77734375" customWidth="1"/>
    <col min="2" max="2" width="53" style="18" customWidth="1"/>
    <col min="3" max="3" width="1" style="18" customWidth="1"/>
    <col min="4" max="5" width="13.33203125" style="20" customWidth="1"/>
    <col min="6" max="6" width="15.5546875" style="20" bestFit="1" customWidth="1"/>
    <col min="7" max="7" width="31" style="20" bestFit="1" customWidth="1"/>
    <col min="8" max="8" width="11.5546875" style="20" customWidth="1"/>
    <col min="9" max="9" width="31" style="20" bestFit="1" customWidth="1"/>
    <col min="10" max="10" width="11.5546875" style="20" customWidth="1"/>
    <col min="11" max="12" width="31" style="20" bestFit="1" customWidth="1"/>
  </cols>
  <sheetData>
    <row r="1" spans="1:6" ht="54.9" customHeight="1" x14ac:dyDescent="0.6">
      <c r="A1" s="99"/>
      <c r="B1" s="96" t="s">
        <v>97</v>
      </c>
      <c r="C1" s="99"/>
      <c r="D1" s="99"/>
      <c r="E1" s="99"/>
      <c r="F1" s="27" t="s">
        <v>471</v>
      </c>
    </row>
    <row r="2" spans="1:6" ht="15" customHeight="1" x14ac:dyDescent="0.3">
      <c r="A2" s="82"/>
      <c r="B2" s="82"/>
      <c r="C2"/>
      <c r="D2"/>
      <c r="E2"/>
      <c r="F2"/>
    </row>
    <row r="3" spans="1:6" ht="18" customHeight="1" x14ac:dyDescent="0.5">
      <c r="A3" s="433"/>
      <c r="B3" s="14" t="s">
        <v>472</v>
      </c>
      <c r="C3" s="433"/>
      <c r="D3" s="433"/>
      <c r="E3" s="40"/>
      <c r="F3" s="40"/>
    </row>
    <row r="4" spans="1:6" ht="15" customHeight="1" x14ac:dyDescent="0.3">
      <c r="B4" s="434" t="s">
        <v>473</v>
      </c>
      <c r="C4"/>
      <c r="D4"/>
      <c r="E4"/>
      <c r="F4"/>
    </row>
    <row r="5" spans="1:6" ht="15" customHeight="1" x14ac:dyDescent="0.35">
      <c r="A5" s="435"/>
      <c r="B5" s="15" t="s">
        <v>155</v>
      </c>
      <c r="C5" s="435"/>
      <c r="D5" s="435"/>
      <c r="E5" s="435"/>
      <c r="F5" s="15" t="str">
        <f>IF(INPUT!H5="","",INPUT!H5)</f>
        <v>2025 (LTM)</v>
      </c>
    </row>
    <row r="6" spans="1:6" ht="15" customHeight="1" x14ac:dyDescent="0.3">
      <c r="B6"/>
      <c r="C6"/>
      <c r="D6"/>
      <c r="E6"/>
      <c r="F6"/>
    </row>
    <row r="7" spans="1:6" ht="18" customHeight="1" x14ac:dyDescent="0.35">
      <c r="A7" s="433" t="s">
        <v>5</v>
      </c>
      <c r="B7" s="46" t="s">
        <v>159</v>
      </c>
      <c r="C7" s="125"/>
      <c r="D7" s="125"/>
      <c r="E7" s="125"/>
      <c r="F7" s="418"/>
    </row>
    <row r="8" spans="1:6" ht="18" customHeight="1" x14ac:dyDescent="0.3">
      <c r="B8"/>
      <c r="C8"/>
      <c r="D8"/>
      <c r="E8"/>
      <c r="F8"/>
    </row>
    <row r="9" spans="1:6" ht="15" customHeight="1" x14ac:dyDescent="0.35">
      <c r="B9" s="70" t="s">
        <v>474</v>
      </c>
      <c r="C9"/>
      <c r="D9"/>
      <c r="E9"/>
      <c r="F9" s="227">
        <f>IFERROR(INPUT!H44,"–")</f>
        <v>82240.010000000009</v>
      </c>
    </row>
    <row r="10" spans="1:6" ht="15" customHeight="1" x14ac:dyDescent="0.35">
      <c r="B10" s="70" t="s">
        <v>475</v>
      </c>
      <c r="C10"/>
      <c r="D10"/>
      <c r="E10"/>
      <c r="F10" s="227">
        <f>IFERROR(INPUT!H55,"–")</f>
        <v>10116.91</v>
      </c>
    </row>
    <row r="11" spans="1:6" ht="15" customHeight="1" x14ac:dyDescent="0.35">
      <c r="B11" s="70" t="s">
        <v>453</v>
      </c>
      <c r="C11"/>
      <c r="D11"/>
      <c r="E11"/>
      <c r="F11" s="227">
        <f>IFERROR(INPUT!H38-INPUT!H51,"–")</f>
        <v>16474.100000000002</v>
      </c>
    </row>
    <row r="12" spans="1:6" ht="15" customHeight="1" x14ac:dyDescent="0.35">
      <c r="B12" s="70" t="s">
        <v>476</v>
      </c>
      <c r="C12"/>
      <c r="D12"/>
      <c r="E12"/>
      <c r="F12" s="227">
        <f>IFERROR(INPUT!H51,"–")</f>
        <v>3532.91</v>
      </c>
    </row>
    <row r="13" spans="1:6" ht="15" customHeight="1" x14ac:dyDescent="0.35">
      <c r="B13" s="70" t="s">
        <v>477</v>
      </c>
      <c r="C13"/>
      <c r="D13"/>
      <c r="E13"/>
      <c r="F13" s="227">
        <f>IFERROR(INPUT!H38,"–")</f>
        <v>20007.010000000002</v>
      </c>
    </row>
    <row r="14" spans="1:6" ht="15" customHeight="1" x14ac:dyDescent="0.35">
      <c r="B14" s="70" t="s">
        <v>478</v>
      </c>
      <c r="C14"/>
      <c r="D14"/>
      <c r="E14"/>
      <c r="F14" s="227">
        <f>IFERROR(INPUT!H26,"–")</f>
        <v>-88192.83</v>
      </c>
    </row>
    <row r="15" spans="1:6" ht="15" customHeight="1" x14ac:dyDescent="0.35">
      <c r="B15" s="70" t="s">
        <v>479</v>
      </c>
      <c r="C15"/>
      <c r="D15"/>
      <c r="E15"/>
      <c r="F15" s="227">
        <f>IFERROR(INPUT!H75,"–")</f>
        <v>-82402.81</v>
      </c>
    </row>
    <row r="16" spans="1:6" ht="15" customHeight="1" x14ac:dyDescent="0.35">
      <c r="B16" s="70" t="s">
        <v>480</v>
      </c>
      <c r="C16"/>
      <c r="D16"/>
      <c r="E16"/>
      <c r="F16" s="227">
        <f>IFERROR(INPUT!H9,"–")</f>
        <v>2100</v>
      </c>
    </row>
    <row r="17" spans="1:6" ht="15" customHeight="1" x14ac:dyDescent="0.35">
      <c r="B17" s="70" t="s">
        <v>481</v>
      </c>
      <c r="C17"/>
      <c r="D17"/>
      <c r="E17"/>
      <c r="F17" s="227">
        <f>IFERROR(INPUT!G44,"–")</f>
        <v>74570.02</v>
      </c>
    </row>
    <row r="18" spans="1:6" ht="15" customHeight="1" x14ac:dyDescent="0.3">
      <c r="B18"/>
      <c r="C18"/>
      <c r="D18"/>
      <c r="E18"/>
      <c r="F18"/>
    </row>
    <row r="19" spans="1:6" ht="15" customHeight="1" x14ac:dyDescent="0.35">
      <c r="A19" s="433" t="s">
        <v>5</v>
      </c>
      <c r="B19" s="46" t="s">
        <v>482</v>
      </c>
      <c r="C19" s="125"/>
      <c r="D19" s="125"/>
      <c r="E19" s="125"/>
      <c r="F19" s="418"/>
    </row>
    <row r="20" spans="1:6" ht="15" customHeight="1" x14ac:dyDescent="0.3">
      <c r="B20"/>
      <c r="C20"/>
      <c r="D20"/>
      <c r="E20"/>
      <c r="F20"/>
    </row>
    <row r="21" spans="1:6" ht="15" customHeight="1" x14ac:dyDescent="0.35">
      <c r="B21" s="70" t="s">
        <v>483</v>
      </c>
      <c r="C21"/>
      <c r="D21"/>
      <c r="E21"/>
      <c r="F21" s="228">
        <f>IFERROR(LOG(F9/226.4),"–")</f>
        <v>2.5602067319431447</v>
      </c>
    </row>
    <row r="22" spans="1:6" ht="18" customHeight="1" x14ac:dyDescent="0.35">
      <c r="B22" s="70" t="s">
        <v>484</v>
      </c>
      <c r="C22"/>
      <c r="D22"/>
      <c r="E22"/>
      <c r="F22" s="228">
        <f>IFERROR(F10/F9,"–")</f>
        <v>0.12301688679269371</v>
      </c>
    </row>
    <row r="23" spans="1:6" ht="18" customHeight="1" x14ac:dyDescent="0.35">
      <c r="B23" s="70" t="s">
        <v>485</v>
      </c>
      <c r="C23"/>
      <c r="D23"/>
      <c r="E23"/>
      <c r="F23" s="228">
        <f>IFERROR(F11/F9,"–")</f>
        <v>0.20031733945557642</v>
      </c>
    </row>
    <row r="24" spans="1:6" ht="15" customHeight="1" x14ac:dyDescent="0.35">
      <c r="B24" s="70" t="s">
        <v>486</v>
      </c>
      <c r="C24"/>
      <c r="D24"/>
      <c r="E24"/>
      <c r="F24" s="228">
        <f>IFERROR(IF(F13=0,"–",F12/F13),"–")</f>
        <v>0.17658360744559029</v>
      </c>
    </row>
    <row r="25" spans="1:6" ht="15" customHeight="1" x14ac:dyDescent="0.35">
      <c r="B25" s="70" t="s">
        <v>487</v>
      </c>
      <c r="C25"/>
      <c r="D25"/>
      <c r="E25"/>
      <c r="F25" s="445">
        <f>IF(F10&gt;F9,1,0)</f>
        <v>0</v>
      </c>
    </row>
    <row r="26" spans="1:6" ht="15" customHeight="1" x14ac:dyDescent="0.35">
      <c r="B26" s="70" t="s">
        <v>488</v>
      </c>
      <c r="C26"/>
      <c r="D26"/>
      <c r="E26"/>
      <c r="F26" s="228">
        <f>IFERROR(IF(F9=0,"–",F14/F9),"–")</f>
        <v>-1.0723835028716557</v>
      </c>
    </row>
    <row r="27" spans="1:6" ht="15" customHeight="1" x14ac:dyDescent="0.35">
      <c r="B27" s="70" t="s">
        <v>489</v>
      </c>
      <c r="C27"/>
      <c r="D27"/>
      <c r="E27"/>
      <c r="F27" s="228">
        <f>IFERROR(IF(F10=0,"–",F15/F10),"–")</f>
        <v>-8.1450571370112019</v>
      </c>
    </row>
    <row r="28" spans="1:6" ht="15" customHeight="1" x14ac:dyDescent="0.35">
      <c r="B28" s="70" t="s">
        <v>490</v>
      </c>
      <c r="C28"/>
      <c r="D28"/>
      <c r="E28"/>
      <c r="F28" s="445">
        <f>IF(AND(INPUT!H26&lt;0,INPUT!G26&lt;0),1,0)</f>
        <v>1</v>
      </c>
    </row>
    <row r="29" spans="1:6" ht="15" customHeight="1" x14ac:dyDescent="0.35">
      <c r="B29" s="70" t="s">
        <v>491</v>
      </c>
      <c r="C29"/>
      <c r="D29"/>
      <c r="E29"/>
      <c r="F29" s="228">
        <f>IFERROR(IF(ABS(F14)+ABS(INPUT!G26)=0,"–",(F14-INPUT!G26)/(ABS(F14)+ABS(INPUT!G26))),"–")</f>
        <v>8.8364412116664133E-4</v>
      </c>
    </row>
    <row r="30" spans="1:6" ht="15" customHeight="1" x14ac:dyDescent="0.3">
      <c r="B30"/>
      <c r="C30"/>
      <c r="D30"/>
      <c r="E30"/>
      <c r="F30"/>
    </row>
    <row r="31" spans="1:6" ht="15" customHeight="1" x14ac:dyDescent="0.35">
      <c r="A31" s="433" t="s">
        <v>5</v>
      </c>
      <c r="B31" s="46" t="s">
        <v>492</v>
      </c>
      <c r="C31" s="125"/>
      <c r="D31" s="125"/>
      <c r="E31" s="125"/>
      <c r="F31" s="418"/>
    </row>
    <row r="32" spans="1:6" ht="15" customHeight="1" x14ac:dyDescent="0.3">
      <c r="B32"/>
      <c r="C32"/>
      <c r="D32"/>
      <c r="E32"/>
      <c r="F32"/>
    </row>
    <row r="33" spans="1:6" ht="18" customHeight="1" x14ac:dyDescent="0.35">
      <c r="B33" s="70" t="s">
        <v>161</v>
      </c>
      <c r="C33"/>
      <c r="D33"/>
      <c r="E33"/>
      <c r="F33" s="228">
        <v>-1.32</v>
      </c>
    </row>
    <row r="34" spans="1:6" ht="18" customHeight="1" x14ac:dyDescent="0.35">
      <c r="B34" s="456" t="s">
        <v>509</v>
      </c>
      <c r="C34"/>
      <c r="D34"/>
      <c r="E34"/>
      <c r="F34" s="228">
        <f>IFERROR(-0.407*F21,"–")</f>
        <v>-1.0420041399008599</v>
      </c>
    </row>
    <row r="35" spans="1:6" ht="15" customHeight="1" x14ac:dyDescent="0.35">
      <c r="B35" s="70" t="s">
        <v>493</v>
      </c>
      <c r="C35"/>
      <c r="D35"/>
      <c r="E35"/>
      <c r="F35" s="228">
        <f>IFERROR(6.03*F22,"–")</f>
        <v>0.74179182735994309</v>
      </c>
    </row>
    <row r="36" spans="1:6" ht="15" customHeight="1" x14ac:dyDescent="0.35">
      <c r="B36" s="456" t="s">
        <v>510</v>
      </c>
      <c r="C36"/>
      <c r="D36"/>
      <c r="E36"/>
      <c r="F36" s="228">
        <f>IFERROR(-1.43*F23,"–")</f>
        <v>-0.28645379542147426</v>
      </c>
    </row>
    <row r="37" spans="1:6" ht="15" customHeight="1" x14ac:dyDescent="0.35">
      <c r="B37" s="70" t="s">
        <v>494</v>
      </c>
      <c r="C37"/>
      <c r="D37"/>
      <c r="E37"/>
      <c r="F37" s="228">
        <f>IFERROR(0.076*F24,"–")</f>
        <v>1.3420354165864862E-2</v>
      </c>
    </row>
    <row r="38" spans="1:6" ht="15" customHeight="1" x14ac:dyDescent="0.35">
      <c r="B38" s="456" t="s">
        <v>511</v>
      </c>
      <c r="C38"/>
      <c r="D38"/>
      <c r="E38"/>
      <c r="F38" s="228">
        <f>-1.72*F25</f>
        <v>0</v>
      </c>
    </row>
    <row r="39" spans="1:6" ht="15" customHeight="1" x14ac:dyDescent="0.35">
      <c r="B39" s="456" t="s">
        <v>512</v>
      </c>
      <c r="C39"/>
      <c r="D39"/>
      <c r="E39"/>
      <c r="F39" s="228">
        <f>IFERROR(-2.37*F26,"–")</f>
        <v>2.5415489018058244</v>
      </c>
    </row>
    <row r="40" spans="1:6" ht="15" customHeight="1" x14ac:dyDescent="0.35">
      <c r="B40" s="456" t="s">
        <v>513</v>
      </c>
      <c r="C40"/>
      <c r="D40"/>
      <c r="E40"/>
      <c r="F40" s="228">
        <f>IFERROR(-1.83*F27,"–")</f>
        <v>14.905454560730501</v>
      </c>
    </row>
    <row r="41" spans="1:6" ht="15" customHeight="1" x14ac:dyDescent="0.35">
      <c r="B41" s="70" t="s">
        <v>495</v>
      </c>
      <c r="C41"/>
      <c r="D41"/>
      <c r="E41"/>
      <c r="F41" s="228">
        <f>0.285*F28</f>
        <v>0.28499999999999998</v>
      </c>
    </row>
    <row r="42" spans="1:6" ht="15" customHeight="1" x14ac:dyDescent="0.35">
      <c r="B42" s="456" t="s">
        <v>514</v>
      </c>
      <c r="C42"/>
      <c r="D42"/>
      <c r="E42"/>
      <c r="F42" s="228">
        <f>IFERROR(-0.521*F29,"–")</f>
        <v>-4.6037858712782016E-4</v>
      </c>
    </row>
    <row r="43" spans="1:6" ht="15" customHeight="1" x14ac:dyDescent="0.3">
      <c r="B43"/>
      <c r="C43"/>
      <c r="D43"/>
      <c r="E43"/>
      <c r="F43"/>
    </row>
    <row r="44" spans="1:6" ht="15" customHeight="1" x14ac:dyDescent="0.45">
      <c r="A44" s="433" t="s">
        <v>5</v>
      </c>
      <c r="B44" s="61" t="s">
        <v>496</v>
      </c>
      <c r="C44" s="125"/>
      <c r="D44" s="125"/>
      <c r="E44" s="125"/>
      <c r="F44" s="446">
        <f>IFERROR(F33+F34+F35+F36+F37+F38+F39+F40+F41+F42,"–")</f>
        <v>15.83829733015267</v>
      </c>
    </row>
    <row r="45" spans="1:6" ht="18" customHeight="1" x14ac:dyDescent="0.3">
      <c r="B45"/>
      <c r="C45"/>
      <c r="D45"/>
      <c r="E45"/>
      <c r="F45"/>
    </row>
    <row r="46" spans="1:6" ht="15" customHeight="1" x14ac:dyDescent="0.35">
      <c r="A46" s="433" t="s">
        <v>5</v>
      </c>
      <c r="B46" s="46" t="s">
        <v>497</v>
      </c>
      <c r="C46" s="125"/>
      <c r="D46" s="125"/>
      <c r="E46" s="125"/>
      <c r="F46" s="125"/>
    </row>
    <row r="47" spans="1:6" ht="18" customHeight="1" x14ac:dyDescent="0.35">
      <c r="B47" s="70" t="s">
        <v>163</v>
      </c>
      <c r="C47"/>
      <c r="D47"/>
      <c r="F47" s="448">
        <f>IFERROR(1/(1+EXP(-F44)),"–")</f>
        <v>0.99999986771371829</v>
      </c>
    </row>
    <row r="48" spans="1:6" ht="15" customHeight="1" x14ac:dyDescent="0.3">
      <c r="B48"/>
      <c r="C48"/>
      <c r="D48"/>
      <c r="F48"/>
    </row>
    <row r="49" spans="2:12" ht="15" customHeight="1" x14ac:dyDescent="0.35">
      <c r="B49" s="70" t="s">
        <v>162</v>
      </c>
      <c r="C49"/>
      <c r="D49"/>
      <c r="F49" s="447" t="str">
        <f>IFERROR(IF(F47&gt;0.5,"⚠ HIGH RISK (P &gt; 50%)",IF(F47&gt;0.2,"MODERATE RISK (P &gt; 20%)","✓ LOW RISK (P ≤ 20%)")),"–")</f>
        <v>⚠ HIGH RISK (P &gt; 50%)</v>
      </c>
    </row>
    <row r="50" spans="2:12" ht="15" customHeight="1" x14ac:dyDescent="0.3">
      <c r="B50"/>
      <c r="C50"/>
      <c r="D50"/>
      <c r="E50"/>
      <c r="F50"/>
    </row>
    <row r="51" spans="2:12" ht="15" customHeight="1" x14ac:dyDescent="0.35">
      <c r="B51" s="54" t="s">
        <v>498</v>
      </c>
      <c r="C51"/>
      <c r="D51" s="70" t="s">
        <v>499</v>
      </c>
      <c r="E51"/>
      <c r="F51"/>
    </row>
    <row r="52" spans="2:12" ht="15" customHeight="1" x14ac:dyDescent="0.35">
      <c r="B52" s="449" t="s">
        <v>500</v>
      </c>
      <c r="C52"/>
      <c r="D52" s="70" t="s">
        <v>501</v>
      </c>
      <c r="E52"/>
      <c r="F52"/>
    </row>
    <row r="53" spans="2:12" ht="15" customHeight="1" x14ac:dyDescent="0.35">
      <c r="B53" s="55" t="s">
        <v>502</v>
      </c>
      <c r="C53"/>
      <c r="D53" s="70" t="s">
        <v>503</v>
      </c>
      <c r="E53"/>
      <c r="F53"/>
    </row>
    <row r="54" spans="2:12" ht="15" customHeight="1" x14ac:dyDescent="0.3">
      <c r="B54"/>
      <c r="C54"/>
      <c r="D54"/>
      <c r="E54"/>
      <c r="F54"/>
    </row>
    <row r="55" spans="2:12" ht="15" customHeight="1" x14ac:dyDescent="0.35">
      <c r="B55" s="352" t="s">
        <v>504</v>
      </c>
      <c r="C55"/>
      <c r="D55"/>
      <c r="E55"/>
      <c r="F55"/>
    </row>
    <row r="56" spans="2:12" ht="15" customHeight="1" x14ac:dyDescent="0.35">
      <c r="B56" s="352" t="s">
        <v>505</v>
      </c>
      <c r="C56"/>
      <c r="D56"/>
      <c r="E56"/>
      <c r="F56"/>
    </row>
    <row r="57" spans="2:12" ht="15" customHeight="1" x14ac:dyDescent="0.3">
      <c r="B57" s="20"/>
      <c r="C57" s="20"/>
      <c r="E57"/>
      <c r="F57"/>
      <c r="G57"/>
      <c r="H57"/>
      <c r="I57"/>
      <c r="J57"/>
      <c r="K57"/>
      <c r="L57"/>
    </row>
    <row r="58" spans="2:12" ht="15" customHeight="1" x14ac:dyDescent="0.3">
      <c r="B58" s="44"/>
      <c r="C58" s="44"/>
    </row>
    <row r="59" spans="2:12" ht="15" customHeight="1" x14ac:dyDescent="0.3">
      <c r="B59" s="44"/>
      <c r="C59" s="44"/>
    </row>
    <row r="60" spans="2:12" ht="15" customHeight="1" x14ac:dyDescent="0.3">
      <c r="B60" s="44"/>
      <c r="C60" s="44"/>
    </row>
    <row r="61" spans="2:12" ht="15" customHeight="1" x14ac:dyDescent="0.3">
      <c r="B61" s="44"/>
      <c r="C61" s="44"/>
    </row>
    <row r="62" spans="2:12" ht="15" customHeight="1" x14ac:dyDescent="0.3">
      <c r="B62" s="44"/>
      <c r="C62" s="44"/>
    </row>
    <row r="63" spans="2:12" ht="15" customHeight="1" x14ac:dyDescent="0.3">
      <c r="B63" s="44"/>
      <c r="C63" s="44"/>
    </row>
    <row r="64" spans="2:12" ht="15" customHeight="1" x14ac:dyDescent="0.3">
      <c r="B64" s="44"/>
      <c r="C64" s="44"/>
    </row>
    <row r="65" spans="2:3" ht="15" customHeight="1" x14ac:dyDescent="0.3">
      <c r="B65" s="44"/>
      <c r="C65" s="44"/>
    </row>
    <row r="66" spans="2:3" ht="15" customHeight="1" x14ac:dyDescent="0.3">
      <c r="B66" s="44"/>
      <c r="C66" s="44"/>
    </row>
    <row r="67" spans="2:3" ht="15" customHeight="1" x14ac:dyDescent="0.3">
      <c r="B67" s="44"/>
      <c r="C67" s="44"/>
    </row>
    <row r="68" spans="2:3" ht="15" customHeight="1" x14ac:dyDescent="0.3">
      <c r="B68" s="44"/>
      <c r="C68" s="44"/>
    </row>
    <row r="69" spans="2:3" ht="15" customHeight="1" x14ac:dyDescent="0.3">
      <c r="B69" s="44"/>
      <c r="C69" s="44"/>
    </row>
    <row r="70" spans="2:3" ht="15" customHeight="1" x14ac:dyDescent="0.3">
      <c r="B70" s="44"/>
      <c r="C70" s="44"/>
    </row>
    <row r="71" spans="2:3" ht="15" customHeight="1" x14ac:dyDescent="0.3">
      <c r="B71" s="44"/>
      <c r="C71" s="44"/>
    </row>
    <row r="72" spans="2:3" ht="15" customHeight="1" x14ac:dyDescent="0.3">
      <c r="B72" s="44"/>
      <c r="C72" s="44"/>
    </row>
    <row r="73" spans="2:3" ht="15" customHeight="1" x14ac:dyDescent="0.3">
      <c r="B73" s="44"/>
      <c r="C73" s="44"/>
    </row>
    <row r="74" spans="2:3" ht="15" customHeight="1" x14ac:dyDescent="0.3">
      <c r="B74" s="44"/>
      <c r="C74" s="44"/>
    </row>
    <row r="75" spans="2:3" ht="15" customHeight="1" x14ac:dyDescent="0.3">
      <c r="B75" s="44"/>
      <c r="C75" s="44"/>
    </row>
    <row r="76" spans="2:3" ht="15" customHeight="1" x14ac:dyDescent="0.3">
      <c r="B76" s="44"/>
      <c r="C76" s="44"/>
    </row>
    <row r="77" spans="2:3" ht="15" customHeight="1" x14ac:dyDescent="0.3">
      <c r="B77" s="44"/>
      <c r="C77" s="44"/>
    </row>
    <row r="78" spans="2:3" ht="15" customHeight="1" x14ac:dyDescent="0.3">
      <c r="B78" s="44"/>
      <c r="C78" s="44"/>
    </row>
    <row r="79" spans="2:3" ht="15" customHeight="1" x14ac:dyDescent="0.3">
      <c r="B79" s="44"/>
      <c r="C79" s="44"/>
    </row>
    <row r="80" spans="2:3" ht="15" customHeight="1" x14ac:dyDescent="0.3">
      <c r="B80" s="44"/>
      <c r="C80" s="44"/>
    </row>
    <row r="81" spans="2:3" ht="15" customHeight="1" x14ac:dyDescent="0.3">
      <c r="B81" s="44"/>
      <c r="C81" s="44"/>
    </row>
    <row r="82" spans="2:3" ht="15" customHeight="1" x14ac:dyDescent="0.3">
      <c r="B82" s="44"/>
      <c r="C82" s="44"/>
    </row>
    <row r="83" spans="2:3" ht="15" customHeight="1" x14ac:dyDescent="0.3">
      <c r="B83" s="44"/>
      <c r="C83" s="44"/>
    </row>
    <row r="84" spans="2:3" ht="15" customHeight="1" x14ac:dyDescent="0.3">
      <c r="B84" s="44"/>
      <c r="C84" s="44"/>
    </row>
    <row r="85" spans="2:3" ht="15" customHeight="1" x14ac:dyDescent="0.3">
      <c r="B85" s="44"/>
      <c r="C85" s="44"/>
    </row>
    <row r="86" spans="2:3" ht="15" customHeight="1" x14ac:dyDescent="0.3">
      <c r="B86" s="44"/>
      <c r="C86" s="44"/>
    </row>
    <row r="87" spans="2:3" ht="15" customHeight="1" x14ac:dyDescent="0.3">
      <c r="B87" s="44"/>
      <c r="C87" s="44"/>
    </row>
    <row r="88" spans="2:3" ht="15" customHeight="1" x14ac:dyDescent="0.3">
      <c r="B88" s="44"/>
      <c r="C88" s="44"/>
    </row>
    <row r="89" spans="2:3" ht="15" customHeight="1" x14ac:dyDescent="0.3">
      <c r="B89" s="44"/>
      <c r="C89" s="44"/>
    </row>
    <row r="90" spans="2:3" ht="15" customHeight="1" x14ac:dyDescent="0.3">
      <c r="B90" s="44"/>
      <c r="C90" s="44"/>
    </row>
    <row r="91" spans="2:3" ht="15" customHeight="1" x14ac:dyDescent="0.3">
      <c r="B91" s="44"/>
      <c r="C91" s="44"/>
    </row>
    <row r="92" spans="2:3" ht="15" customHeight="1" x14ac:dyDescent="0.3">
      <c r="B92" s="44"/>
      <c r="C92" s="44"/>
    </row>
    <row r="93" spans="2:3" ht="15" customHeight="1" x14ac:dyDescent="0.3">
      <c r="B93" s="44"/>
      <c r="C93" s="44"/>
    </row>
    <row r="94" spans="2:3" ht="15" customHeight="1" x14ac:dyDescent="0.3">
      <c r="B94" s="44"/>
      <c r="C94" s="44"/>
    </row>
    <row r="95" spans="2:3" ht="15" customHeight="1" x14ac:dyDescent="0.3">
      <c r="B95" s="44"/>
      <c r="C95" s="44"/>
    </row>
    <row r="96" spans="2:3" ht="15" customHeight="1" x14ac:dyDescent="0.3">
      <c r="B96" s="44"/>
      <c r="C96" s="44"/>
    </row>
    <row r="97" spans="2:3" ht="15" customHeight="1" x14ac:dyDescent="0.3">
      <c r="B97" s="44"/>
      <c r="C97" s="44"/>
    </row>
    <row r="98" spans="2:3" ht="15" customHeight="1" x14ac:dyDescent="0.3">
      <c r="B98" s="44"/>
      <c r="C98" s="44"/>
    </row>
    <row r="99" spans="2:3" ht="15" customHeight="1" x14ac:dyDescent="0.3">
      <c r="B99" s="44"/>
      <c r="C99" s="44"/>
    </row>
    <row r="100" spans="2:3" ht="15" customHeight="1" x14ac:dyDescent="0.3">
      <c r="B100" s="44"/>
      <c r="C100" s="44"/>
    </row>
    <row r="101" spans="2:3" ht="15" customHeight="1" x14ac:dyDescent="0.3">
      <c r="B101" s="44"/>
      <c r="C101" s="44"/>
    </row>
    <row r="102" spans="2:3" ht="15" customHeight="1" x14ac:dyDescent="0.3">
      <c r="B102" s="44"/>
      <c r="C102" s="44"/>
    </row>
    <row r="103" spans="2:3" ht="15" customHeight="1" x14ac:dyDescent="0.3">
      <c r="B103" s="44"/>
      <c r="C103" s="44"/>
    </row>
    <row r="104" spans="2:3" ht="15" customHeight="1" x14ac:dyDescent="0.3">
      <c r="B104" s="44"/>
      <c r="C104" s="44"/>
    </row>
    <row r="105" spans="2:3" ht="15" customHeight="1" x14ac:dyDescent="0.3">
      <c r="B105" s="44"/>
      <c r="C105" s="44"/>
    </row>
    <row r="106" spans="2:3" ht="15" customHeight="1" x14ac:dyDescent="0.3">
      <c r="B106" s="44"/>
      <c r="C106" s="44"/>
    </row>
    <row r="107" spans="2:3" ht="15" customHeight="1" x14ac:dyDescent="0.3">
      <c r="B107" s="44"/>
      <c r="C107" s="44"/>
    </row>
    <row r="108" spans="2:3" ht="15" customHeight="1" x14ac:dyDescent="0.3">
      <c r="B108" s="44"/>
      <c r="C108" s="44"/>
    </row>
    <row r="109" spans="2:3" ht="15" customHeight="1" x14ac:dyDescent="0.3">
      <c r="B109" s="44"/>
      <c r="C109" s="44"/>
    </row>
    <row r="110" spans="2:3" ht="15" customHeight="1" x14ac:dyDescent="0.3">
      <c r="B110" s="44"/>
      <c r="C110" s="44"/>
    </row>
    <row r="111" spans="2:3" ht="15" customHeight="1" x14ac:dyDescent="0.3">
      <c r="B111" s="44"/>
      <c r="C111" s="44"/>
    </row>
    <row r="112" spans="2:3" ht="15" customHeight="1" x14ac:dyDescent="0.3">
      <c r="B112" s="44"/>
      <c r="C112" s="44"/>
    </row>
    <row r="113" spans="2:3" ht="15" customHeight="1" x14ac:dyDescent="0.3">
      <c r="B113" s="44"/>
      <c r="C113" s="44"/>
    </row>
    <row r="114" spans="2:3" ht="15" customHeight="1" x14ac:dyDescent="0.3">
      <c r="B114" s="44"/>
      <c r="C114" s="44"/>
    </row>
    <row r="115" spans="2:3" ht="15" customHeight="1" x14ac:dyDescent="0.3">
      <c r="B115" s="44"/>
      <c r="C115" s="44"/>
    </row>
    <row r="116" spans="2:3" ht="15" customHeight="1" x14ac:dyDescent="0.3">
      <c r="B116" s="44"/>
      <c r="C116" s="44"/>
    </row>
    <row r="117" spans="2:3" ht="15" customHeight="1" x14ac:dyDescent="0.3">
      <c r="B117" s="44"/>
      <c r="C117" s="44"/>
    </row>
    <row r="118" spans="2:3" ht="15" customHeight="1" x14ac:dyDescent="0.3">
      <c r="B118" s="44"/>
      <c r="C118" s="44"/>
    </row>
    <row r="119" spans="2:3" ht="15" customHeight="1" x14ac:dyDescent="0.3">
      <c r="B119" s="44"/>
      <c r="C119" s="44"/>
    </row>
    <row r="120" spans="2:3" ht="15" customHeight="1" x14ac:dyDescent="0.3">
      <c r="B120" s="44"/>
      <c r="C120" s="44"/>
    </row>
    <row r="121" spans="2:3" ht="15" customHeight="1" x14ac:dyDescent="0.3">
      <c r="B121" s="44"/>
      <c r="C121" s="44"/>
    </row>
    <row r="122" spans="2:3" ht="15" customHeight="1" x14ac:dyDescent="0.3">
      <c r="B122" s="44"/>
      <c r="C122" s="44"/>
    </row>
    <row r="123" spans="2:3" ht="15" customHeight="1" x14ac:dyDescent="0.3">
      <c r="B123" s="44"/>
      <c r="C123" s="44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4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R145"/>
  <sheetViews>
    <sheetView showGridLines="0" zoomScale="85" zoomScaleNormal="85" workbookViewId="0">
      <selection activeCell="D23" sqref="D23"/>
    </sheetView>
  </sheetViews>
  <sheetFormatPr baseColWidth="10" defaultRowHeight="14.4" x14ac:dyDescent="0.3"/>
  <cols>
    <col min="1" max="1" width="1.77734375" customWidth="1"/>
    <col min="2" max="2" width="54.44140625" style="18" customWidth="1"/>
    <col min="3" max="3" width="10.88671875" customWidth="1"/>
    <col min="4" max="5" width="11" style="20" customWidth="1"/>
    <col min="6" max="6" width="15" style="20" bestFit="1" customWidth="1"/>
    <col min="7" max="14" width="11" style="20" customWidth="1"/>
  </cols>
  <sheetData>
    <row r="1" spans="1:18" x14ac:dyDescent="0.3">
      <c r="A1" s="99"/>
      <c r="B1" s="459"/>
      <c r="C1" s="99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457"/>
      <c r="P1" s="457"/>
      <c r="Q1" s="457"/>
      <c r="R1" s="457"/>
    </row>
    <row r="2" spans="1:18" ht="26.4" x14ac:dyDescent="0.6">
      <c r="A2" s="6"/>
      <c r="B2" s="96" t="s">
        <v>97</v>
      </c>
      <c r="C2" s="5"/>
      <c r="D2" s="5"/>
      <c r="E2" s="27"/>
      <c r="F2" s="27"/>
      <c r="G2" s="27"/>
      <c r="H2" s="27"/>
      <c r="I2" s="27"/>
      <c r="J2" s="27"/>
      <c r="K2" s="95" t="s">
        <v>387</v>
      </c>
      <c r="L2" s="27"/>
      <c r="M2" s="27"/>
      <c r="N2" s="27"/>
      <c r="O2" s="457"/>
      <c r="P2" s="457"/>
      <c r="Q2" s="457"/>
      <c r="R2" s="457"/>
    </row>
    <row r="3" spans="1:18" ht="21" x14ac:dyDescent="0.5">
      <c r="A3" s="7"/>
      <c r="B3" s="7" t="s">
        <v>406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457"/>
      <c r="P3" s="457"/>
      <c r="Q3" s="457"/>
      <c r="R3" s="457"/>
    </row>
    <row r="4" spans="1:18" ht="15" x14ac:dyDescent="0.35">
      <c r="A4" s="3"/>
      <c r="B4" s="48" t="s">
        <v>407</v>
      </c>
      <c r="C4" s="10" t="s">
        <v>408</v>
      </c>
      <c r="D4"/>
      <c r="E4" s="275" t="s">
        <v>409</v>
      </c>
      <c r="F4" s="275" t="s">
        <v>410</v>
      </c>
      <c r="G4" s="398" t="s">
        <v>411</v>
      </c>
      <c r="H4" s="34"/>
      <c r="I4"/>
      <c r="J4"/>
      <c r="K4"/>
      <c r="L4"/>
      <c r="M4"/>
      <c r="N4"/>
    </row>
    <row r="5" spans="1:18" s="107" customFormat="1" ht="21" x14ac:dyDescent="0.5">
      <c r="A5" s="3"/>
      <c r="B5" s="474" t="s">
        <v>412</v>
      </c>
      <c r="C5" s="484">
        <v>50000</v>
      </c>
      <c r="D5"/>
      <c r="E5" s="482">
        <v>0.09</v>
      </c>
      <c r="F5" s="480">
        <f>IF(D5=0,1,MIN(MAX((E5-0.025)/(D5-0.025),0.8),1.5))</f>
        <v>1</v>
      </c>
      <c r="G5" s="430">
        <f>C5*F5</f>
        <v>50000</v>
      </c>
      <c r="H5" s="33"/>
      <c r="I5"/>
      <c r="J5"/>
      <c r="K5"/>
      <c r="L5"/>
      <c r="M5"/>
      <c r="N5"/>
      <c r="O5"/>
      <c r="P5"/>
      <c r="Q5"/>
    </row>
    <row r="6" spans="1:18" ht="15" x14ac:dyDescent="0.35">
      <c r="A6" s="3"/>
      <c r="B6" s="474" t="s">
        <v>413</v>
      </c>
      <c r="C6" s="484">
        <v>20000</v>
      </c>
      <c r="D6"/>
      <c r="E6" s="482">
        <v>0.09</v>
      </c>
      <c r="F6" s="480">
        <f>IF(D6=0,1,MIN(MAX((E6-0.025)/(D6-0.025),0.8),1.5))</f>
        <v>1</v>
      </c>
      <c r="G6" s="430">
        <f>C6*F6</f>
        <v>20000</v>
      </c>
      <c r="H6" s="33"/>
      <c r="I6"/>
      <c r="J6"/>
      <c r="K6"/>
      <c r="L6"/>
      <c r="M6"/>
      <c r="N6"/>
    </row>
    <row r="7" spans="1:18" ht="15" x14ac:dyDescent="0.35">
      <c r="A7" s="3"/>
      <c r="B7" s="474" t="s">
        <v>414</v>
      </c>
      <c r="C7" s="484">
        <v>5000</v>
      </c>
      <c r="D7"/>
      <c r="E7" s="483" t="s">
        <v>126</v>
      </c>
      <c r="F7" s="481">
        <v>9</v>
      </c>
      <c r="G7" s="430">
        <f>IF(ISNUMBER(C7),C7*F7,0)</f>
        <v>45000</v>
      </c>
      <c r="H7" s="33"/>
      <c r="I7"/>
      <c r="J7"/>
      <c r="K7"/>
      <c r="L7"/>
      <c r="M7"/>
      <c r="N7"/>
    </row>
    <row r="8" spans="1:18" ht="15" x14ac:dyDescent="0.35">
      <c r="A8" s="3"/>
      <c r="B8" s="475" t="s">
        <v>415</v>
      </c>
      <c r="C8" s="8"/>
      <c r="D8" s="478">
        <f>SUM(G5:G7)</f>
        <v>115000</v>
      </c>
      <c r="E8" s="21"/>
      <c r="F8" s="21"/>
      <c r="H8" s="21"/>
      <c r="I8"/>
      <c r="J8"/>
      <c r="K8"/>
      <c r="L8"/>
      <c r="M8"/>
      <c r="N8"/>
    </row>
    <row r="9" spans="1:18" ht="21" x14ac:dyDescent="0.5">
      <c r="A9" s="460"/>
      <c r="B9" s="475" t="s">
        <v>416</v>
      </c>
      <c r="C9" s="104"/>
      <c r="D9" s="479">
        <f>-(INPUT!H54+INPUT!H48-INPUT!H34)</f>
        <v>-6590.53</v>
      </c>
      <c r="E9" s="101"/>
      <c r="F9" s="101"/>
      <c r="H9" s="101"/>
      <c r="I9"/>
      <c r="J9"/>
      <c r="K9"/>
      <c r="L9"/>
      <c r="M9"/>
      <c r="N9"/>
    </row>
    <row r="10" spans="1:18" ht="21" x14ac:dyDescent="0.5">
      <c r="A10" s="107"/>
      <c r="B10" s="476" t="s">
        <v>236</v>
      </c>
      <c r="C10" s="118"/>
      <c r="D10" s="478">
        <f>D8+D9</f>
        <v>108409.47</v>
      </c>
      <c r="E10" s="98"/>
      <c r="F10" s="98"/>
      <c r="H10" s="98"/>
      <c r="I10"/>
      <c r="J10"/>
      <c r="K10"/>
      <c r="L10"/>
      <c r="M10"/>
      <c r="N10"/>
    </row>
    <row r="11" spans="1:18" ht="15" x14ac:dyDescent="0.35">
      <c r="A11" s="3"/>
      <c r="B11" s="477" t="s">
        <v>417</v>
      </c>
      <c r="C11" s="383"/>
      <c r="D11" s="498">
        <f>INPUT!H110</f>
        <v>42.46</v>
      </c>
      <c r="E11" s="273"/>
      <c r="F11" s="273"/>
      <c r="H11" s="273"/>
      <c r="I11"/>
      <c r="J11"/>
      <c r="K11"/>
      <c r="L11"/>
      <c r="M11"/>
      <c r="N11"/>
    </row>
    <row r="12" spans="1:18" ht="15" x14ac:dyDescent="0.35">
      <c r="A12" s="3"/>
      <c r="B12" s="477" t="s">
        <v>418</v>
      </c>
      <c r="C12" s="382"/>
      <c r="D12" s="490">
        <f>G12</f>
        <v>2553.2140838436176</v>
      </c>
      <c r="E12" s="273"/>
      <c r="F12" s="273"/>
      <c r="G12" s="451">
        <f>IF(D11=0,"–",D10/D11)</f>
        <v>2553.2140838436176</v>
      </c>
      <c r="H12" s="273"/>
      <c r="I12"/>
      <c r="J12"/>
      <c r="K12"/>
      <c r="L12"/>
      <c r="M12"/>
      <c r="N12"/>
    </row>
    <row r="13" spans="1:18" ht="15" x14ac:dyDescent="0.35">
      <c r="A13" s="3"/>
      <c r="B13" s="477" t="s">
        <v>65</v>
      </c>
      <c r="C13" s="383"/>
      <c r="D13" s="485">
        <f>IFERROR(SUM(I77:M77)+M73*(1+D93)/(D89-D93)/(1+D89)^5,"–")</f>
        <v>-23729.722927835093</v>
      </c>
      <c r="E13" s="274"/>
      <c r="F13" s="274"/>
      <c r="G13" s="274"/>
      <c r="H13" s="274"/>
      <c r="I13"/>
      <c r="J13"/>
      <c r="K13"/>
      <c r="L13"/>
      <c r="M13"/>
      <c r="N13"/>
    </row>
    <row r="14" spans="1:18" ht="15" x14ac:dyDescent="0.35">
      <c r="A14" s="66"/>
      <c r="B14" s="111"/>
      <c r="C14" s="384"/>
      <c r="D14"/>
      <c r="E14" s="275"/>
      <c r="F14" s="275"/>
      <c r="G14" s="275"/>
      <c r="H14" s="275"/>
      <c r="I14"/>
      <c r="J14"/>
      <c r="K14"/>
      <c r="L14"/>
      <c r="M14"/>
      <c r="N14"/>
    </row>
    <row r="15" spans="1:18" ht="15" x14ac:dyDescent="0.35">
      <c r="A15" s="3"/>
      <c r="B15" s="16" t="s">
        <v>185</v>
      </c>
      <c r="C15" s="382"/>
      <c r="D15" s="485">
        <f>-(INPUT!H54+INPUT!H48)</f>
        <v>-6590.54</v>
      </c>
      <c r="E15" s="273"/>
      <c r="F15" s="273"/>
      <c r="G15" s="273"/>
      <c r="H15" s="273"/>
      <c r="I15"/>
      <c r="J15"/>
      <c r="K15"/>
      <c r="L15"/>
      <c r="M15"/>
      <c r="N15"/>
    </row>
    <row r="16" spans="1:18" ht="15" x14ac:dyDescent="0.35">
      <c r="A16" s="3"/>
      <c r="B16" s="16" t="s">
        <v>186</v>
      </c>
      <c r="C16" s="382"/>
      <c r="D16" s="485">
        <f>INPUT!H34</f>
        <v>0.01</v>
      </c>
      <c r="E16" s="273"/>
      <c r="F16" s="273"/>
      <c r="G16" s="273"/>
      <c r="H16" s="273"/>
      <c r="I16"/>
      <c r="J16"/>
      <c r="K16"/>
      <c r="L16"/>
      <c r="M16"/>
      <c r="N16"/>
    </row>
    <row r="17" spans="1:14" ht="15" x14ac:dyDescent="0.35">
      <c r="A17" s="3"/>
      <c r="B17" s="51" t="s">
        <v>187</v>
      </c>
      <c r="C17" s="383"/>
      <c r="D17" s="485">
        <f>IFERROR(D13+D15+D16,"–")</f>
        <v>-30320.252927835096</v>
      </c>
      <c r="E17" s="274"/>
      <c r="F17" s="274"/>
      <c r="G17" s="274"/>
      <c r="H17" s="274"/>
      <c r="I17"/>
      <c r="J17"/>
      <c r="K17"/>
      <c r="L17"/>
      <c r="M17"/>
      <c r="N17"/>
    </row>
    <row r="18" spans="1:14" ht="15" x14ac:dyDescent="0.35">
      <c r="A18" s="66"/>
      <c r="B18" s="111"/>
      <c r="C18" s="384"/>
      <c r="D18"/>
      <c r="E18" s="275"/>
      <c r="F18" s="275"/>
      <c r="G18" s="275"/>
      <c r="H18" s="275"/>
      <c r="I18"/>
      <c r="J18"/>
      <c r="K18"/>
      <c r="L18"/>
      <c r="M18"/>
      <c r="N18"/>
    </row>
    <row r="19" spans="1:14" ht="15" x14ac:dyDescent="0.35">
      <c r="A19" s="3"/>
      <c r="B19" s="16" t="s">
        <v>62</v>
      </c>
      <c r="C19" s="8"/>
      <c r="D19" s="486">
        <f>INPUT!H110</f>
        <v>42.46</v>
      </c>
      <c r="E19" s="273"/>
      <c r="F19" s="273"/>
      <c r="G19" s="273"/>
      <c r="H19" s="273"/>
      <c r="I19"/>
      <c r="J19"/>
      <c r="K19"/>
      <c r="L19"/>
      <c r="M19"/>
      <c r="N19" s="493"/>
    </row>
    <row r="20" spans="1:14" ht="15" x14ac:dyDescent="0.35">
      <c r="A20" s="3"/>
      <c r="B20" s="51" t="s">
        <v>188</v>
      </c>
      <c r="C20" s="10"/>
      <c r="D20" s="491">
        <f>IFERROR(D17/D19,"–")</f>
        <v>-714.08980046714782</v>
      </c>
      <c r="E20" s="274"/>
      <c r="F20" s="274"/>
      <c r="G20" s="274"/>
      <c r="H20" s="274"/>
      <c r="I20"/>
      <c r="J20"/>
      <c r="K20"/>
      <c r="L20"/>
      <c r="M20"/>
      <c r="N20" s="494"/>
    </row>
    <row r="21" spans="1:14" ht="15" x14ac:dyDescent="0.35">
      <c r="A21" s="3"/>
      <c r="B21" s="16" t="s">
        <v>189</v>
      </c>
      <c r="C21" s="288" t="s">
        <v>61</v>
      </c>
      <c r="D21" s="492">
        <f>INPUT!H109</f>
        <v>0.08</v>
      </c>
      <c r="E21" s="273"/>
      <c r="F21" s="273"/>
      <c r="G21" s="273"/>
      <c r="H21" s="273"/>
      <c r="I21"/>
      <c r="J21"/>
      <c r="K21"/>
      <c r="L21"/>
      <c r="M21"/>
      <c r="N21" s="495"/>
    </row>
    <row r="22" spans="1:14" ht="15" x14ac:dyDescent="0.35">
      <c r="A22" s="3"/>
      <c r="B22" s="16" t="s">
        <v>190</v>
      </c>
      <c r="C22" s="288" t="s">
        <v>69</v>
      </c>
      <c r="D22" s="218">
        <f>IFERROR(D20/D21-1,"–")</f>
        <v>-8927.1225058393484</v>
      </c>
      <c r="E22" s="273"/>
      <c r="F22" s="273"/>
      <c r="G22" s="273"/>
      <c r="H22" s="273"/>
      <c r="I22"/>
      <c r="J22"/>
      <c r="K22"/>
      <c r="L22"/>
      <c r="M22"/>
      <c r="N22" s="496"/>
    </row>
    <row r="23" spans="1:14" ht="15" x14ac:dyDescent="0.35">
      <c r="A23" s="3"/>
      <c r="B23" s="93" t="s">
        <v>191</v>
      </c>
      <c r="C23" s="289" t="s">
        <v>69</v>
      </c>
      <c r="D23" s="438" t="str">
        <f>IFERROR(IRR(I73:M73),"–")</f>
        <v>–</v>
      </c>
      <c r="E23" s="273"/>
      <c r="F23" s="273"/>
      <c r="G23" s="273"/>
      <c r="H23" s="273"/>
      <c r="I23"/>
      <c r="J23"/>
      <c r="K23"/>
      <c r="L23"/>
      <c r="M23"/>
      <c r="N23" s="497"/>
    </row>
    <row r="25" spans="1:14" ht="21" x14ac:dyDescent="0.5">
      <c r="A25" s="7"/>
      <c r="B25" s="7" t="s">
        <v>515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ht="6" customHeight="1" x14ac:dyDescent="0.5">
      <c r="A26" s="7" t="s">
        <v>5</v>
      </c>
      <c r="B26" s="14" t="s">
        <v>164</v>
      </c>
      <c r="C26" s="7" t="s">
        <v>388</v>
      </c>
      <c r="D26" s="7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4" ht="11.4" customHeight="1" x14ac:dyDescent="0.35">
      <c r="A27" s="3" t="s">
        <v>5</v>
      </c>
      <c r="B27" s="538" t="s">
        <v>1</v>
      </c>
      <c r="C27" s="539" t="s">
        <v>389</v>
      </c>
      <c r="D27" s="3"/>
      <c r="E27" s="21"/>
      <c r="F27" s="21"/>
      <c r="G27" s="21"/>
      <c r="H27" s="21"/>
      <c r="I27" s="21"/>
      <c r="J27" s="21"/>
      <c r="K27" s="21"/>
      <c r="L27" s="21"/>
      <c r="M27" s="21"/>
      <c r="N27" s="21"/>
    </row>
    <row r="28" spans="1:14" ht="15" customHeight="1" x14ac:dyDescent="0.35">
      <c r="A28" s="1" t="s">
        <v>5</v>
      </c>
      <c r="B28" s="15" t="s">
        <v>2</v>
      </c>
      <c r="C28" s="1" t="s">
        <v>165</v>
      </c>
      <c r="D28" s="1" t="str">
        <f>IF(INPUT!D5="","",INPUT!D5)</f>
        <v/>
      </c>
      <c r="E28" s="23">
        <f>IF(INPUT!E5="","",INPUT!E5)</f>
        <v>2022</v>
      </c>
      <c r="F28" s="23">
        <f>IF(INPUT!F5="","",INPUT!F5)</f>
        <v>2023</v>
      </c>
      <c r="G28" s="23">
        <f>IF(INPUT!G5="","",INPUT!G5)</f>
        <v>2024</v>
      </c>
      <c r="H28" s="23" t="str">
        <f>IF(INPUT!H5="","",INPUT!H5)</f>
        <v>2025 (LTM)</v>
      </c>
      <c r="I28" s="23" t="str">
        <f>TEXT(INPUT!D131+1,"0")&amp;"F"</f>
        <v>2026F</v>
      </c>
      <c r="J28" s="23" t="str">
        <f>TEXT(INPUT!D131+2,"0")&amp;"F"</f>
        <v>2027F</v>
      </c>
      <c r="K28" s="23" t="str">
        <f>TEXT(INPUT!D131+3,"0")&amp;"F"</f>
        <v>2028F</v>
      </c>
      <c r="L28" s="23" t="str">
        <f>TEXT(INPUT!D131+4,"0")&amp;"F"</f>
        <v>2029F</v>
      </c>
      <c r="M28" s="23" t="str">
        <f>TEXT(INPUT!D131+5,"0")&amp;"F"</f>
        <v>2030F</v>
      </c>
      <c r="N28" s="23" t="s">
        <v>166</v>
      </c>
    </row>
    <row r="29" spans="1:14" ht="18" customHeight="1" x14ac:dyDescent="0.35">
      <c r="A29" s="3"/>
      <c r="B29" s="13"/>
      <c r="C29" s="3"/>
      <c r="D29" s="3"/>
      <c r="E29" s="21"/>
      <c r="F29" s="21"/>
      <c r="G29" s="21"/>
      <c r="H29" s="21"/>
      <c r="I29" s="21"/>
      <c r="J29" s="21"/>
      <c r="K29" s="21"/>
      <c r="L29" s="21"/>
      <c r="M29" s="21"/>
      <c r="N29" s="21"/>
    </row>
    <row r="30" spans="1:14" ht="21" x14ac:dyDescent="0.5">
      <c r="A30" s="7" t="s">
        <v>5</v>
      </c>
      <c r="B30" s="14" t="s">
        <v>167</v>
      </c>
      <c r="C30" s="7"/>
      <c r="D30" s="7"/>
      <c r="E30" s="22"/>
      <c r="F30" s="22"/>
      <c r="G30" s="22"/>
      <c r="H30" s="22"/>
      <c r="I30" s="22"/>
      <c r="J30" s="22"/>
      <c r="K30" s="22"/>
      <c r="L30" s="22"/>
      <c r="M30" s="22"/>
      <c r="N30" s="22"/>
    </row>
    <row r="31" spans="1:14" ht="15" customHeight="1" x14ac:dyDescent="0.5">
      <c r="A31" s="108"/>
      <c r="B31" s="109"/>
      <c r="C31" s="108"/>
      <c r="D31" s="285"/>
      <c r="E31" s="110"/>
      <c r="F31" s="110"/>
      <c r="G31" s="110"/>
      <c r="H31" s="110"/>
      <c r="I31" s="110"/>
      <c r="J31" s="110"/>
      <c r="K31" s="110"/>
      <c r="L31" s="110"/>
      <c r="M31" s="110"/>
      <c r="N31" s="110"/>
    </row>
    <row r="32" spans="1:14" ht="15" customHeight="1" x14ac:dyDescent="0.35">
      <c r="A32" s="3"/>
      <c r="B32" s="16" t="s">
        <v>7</v>
      </c>
      <c r="C32" s="382"/>
      <c r="D32" s="386">
        <f>INPUT!D9</f>
        <v>0</v>
      </c>
      <c r="E32" s="229">
        <f>INPUT!E9</f>
        <v>1200</v>
      </c>
      <c r="F32" s="229">
        <f>INPUT!F9</f>
        <v>1500</v>
      </c>
      <c r="G32" s="229">
        <f>INPUT!G9</f>
        <v>1800</v>
      </c>
      <c r="H32" s="229">
        <f>IF(INPUT!H9&lt;&gt;"",INPUT!H9,INPUT!G9)</f>
        <v>2100</v>
      </c>
      <c r="I32" s="230">
        <f>H32*(1+$E$52)</f>
        <v>2205</v>
      </c>
      <c r="J32" s="230">
        <f>I32*(1+$E$52)</f>
        <v>2315.25</v>
      </c>
      <c r="K32" s="230">
        <f>J32*(1+$E$52)</f>
        <v>2431.0125000000003</v>
      </c>
      <c r="L32" s="231">
        <f>K32*(1+$E$52)</f>
        <v>2552.5631250000006</v>
      </c>
      <c r="M32" s="231">
        <f>L32*(1+$E$52)</f>
        <v>2680.1912812500009</v>
      </c>
      <c r="N32" s="197"/>
    </row>
    <row r="33" spans="1:14" ht="18" customHeight="1" x14ac:dyDescent="0.35">
      <c r="A33" s="3"/>
      <c r="B33" s="16" t="s">
        <v>160</v>
      </c>
      <c r="C33" s="382"/>
      <c r="D33" s="386">
        <f>INPUT!D10</f>
        <v>0</v>
      </c>
      <c r="E33" s="232">
        <f>INPUT!E10</f>
        <v>-60609</v>
      </c>
      <c r="F33" s="232">
        <f>INPUT!F10</f>
        <v>-79113</v>
      </c>
      <c r="G33" s="233">
        <f>INPUT!G10</f>
        <v>-80240</v>
      </c>
      <c r="H33" s="233">
        <f>IF(INPUT!H10&lt;&gt;"",INPUT!H10,INPUT!G10)</f>
        <v>-77733</v>
      </c>
      <c r="I33" s="233">
        <f>-I32*(1-$E$53)</f>
        <v>-1587.6</v>
      </c>
      <c r="J33" s="233">
        <f>-J32*(1-$E$53)</f>
        <v>-1666.98</v>
      </c>
      <c r="K33" s="233">
        <f>-K32*(1-$E$53)</f>
        <v>-1750.3290000000002</v>
      </c>
      <c r="L33" s="234">
        <f>-L32*(1-$E$53)</f>
        <v>-1837.8454500000003</v>
      </c>
      <c r="M33" s="234">
        <f>-M32*(1-$E$53)</f>
        <v>-1929.7377225000005</v>
      </c>
      <c r="N33" s="197"/>
    </row>
    <row r="34" spans="1:14" ht="18" customHeight="1" x14ac:dyDescent="0.35">
      <c r="A34" s="3"/>
      <c r="B34" s="51" t="s">
        <v>10</v>
      </c>
      <c r="C34" s="383"/>
      <c r="D34" s="388">
        <f t="shared" ref="D34:M34" si="0">SUM(D32:D33)</f>
        <v>0</v>
      </c>
      <c r="E34" s="235">
        <f t="shared" si="0"/>
        <v>-59409</v>
      </c>
      <c r="F34" s="235">
        <f t="shared" si="0"/>
        <v>-77613</v>
      </c>
      <c r="G34" s="221">
        <f t="shared" si="0"/>
        <v>-78440</v>
      </c>
      <c r="H34" s="221">
        <f t="shared" si="0"/>
        <v>-75633</v>
      </c>
      <c r="I34" s="221">
        <f t="shared" si="0"/>
        <v>617.40000000000009</v>
      </c>
      <c r="J34" s="221">
        <f t="shared" si="0"/>
        <v>648.27</v>
      </c>
      <c r="K34" s="221">
        <f t="shared" si="0"/>
        <v>680.68350000000009</v>
      </c>
      <c r="L34" s="236">
        <f t="shared" si="0"/>
        <v>714.71767500000033</v>
      </c>
      <c r="M34" s="236">
        <f t="shared" si="0"/>
        <v>750.45355875000041</v>
      </c>
      <c r="N34" s="353"/>
    </row>
    <row r="35" spans="1:14" ht="15" customHeight="1" x14ac:dyDescent="0.35">
      <c r="A35" s="113"/>
      <c r="B35" s="114"/>
      <c r="C35" s="385"/>
      <c r="D35" s="387"/>
      <c r="E35" s="115"/>
      <c r="F35" s="115"/>
      <c r="G35" s="115"/>
      <c r="H35" s="115"/>
      <c r="I35" s="115"/>
      <c r="J35" s="115"/>
      <c r="K35" s="115"/>
      <c r="L35" s="116"/>
      <c r="M35" s="116"/>
      <c r="N35" s="116"/>
    </row>
    <row r="36" spans="1:14" ht="15" customHeight="1" x14ac:dyDescent="0.35">
      <c r="A36" s="3"/>
      <c r="B36" s="16" t="s">
        <v>168</v>
      </c>
      <c r="C36" s="382"/>
      <c r="D36" s="386">
        <f>INPUT!D14</f>
        <v>0</v>
      </c>
      <c r="E36" s="229">
        <f>INPUT!E14</f>
        <v>-0.09</v>
      </c>
      <c r="F36" s="229">
        <f>INPUT!F14</f>
        <v>-0.03</v>
      </c>
      <c r="G36" s="230">
        <f>INPUT!G14</f>
        <v>-0.03</v>
      </c>
      <c r="H36" s="230">
        <f>IF(INPUT!H14&lt;&gt;"",INPUT!H14,INPUT!G14)</f>
        <v>-0.04</v>
      </c>
      <c r="I36" s="230">
        <f>-I32*$E$54</f>
        <v>-209.47499999999999</v>
      </c>
      <c r="J36" s="230">
        <f>-J32*$E$54</f>
        <v>-219.94874999999999</v>
      </c>
      <c r="K36" s="230">
        <f>-K32*$E$54</f>
        <v>-230.94618750000004</v>
      </c>
      <c r="L36" s="231">
        <f>-L32*$E$54</f>
        <v>-242.49349687500006</v>
      </c>
      <c r="M36" s="231">
        <f>-M32*$E$54</f>
        <v>-254.61817171875009</v>
      </c>
      <c r="N36" s="197"/>
    </row>
    <row r="37" spans="1:14" ht="15" customHeight="1" x14ac:dyDescent="0.35">
      <c r="A37" s="3"/>
      <c r="B37" s="16" t="s">
        <v>12</v>
      </c>
      <c r="C37" s="382"/>
      <c r="D37" s="386">
        <f>INPUT!D15</f>
        <v>0</v>
      </c>
      <c r="E37" s="232">
        <f>INPUT!E15</f>
        <v>-3075</v>
      </c>
      <c r="F37" s="232">
        <f>INPUT!F15</f>
        <v>-3969</v>
      </c>
      <c r="G37" s="233">
        <f>INPUT!G15</f>
        <v>-4540</v>
      </c>
      <c r="H37" s="233">
        <f>IF(INPUT!H15&lt;&gt;"",INPUT!H15,INPUT!G15)</f>
        <v>-6411</v>
      </c>
      <c r="I37" s="233">
        <f>-$E$55*(1+$E$52)^(COLUMN()-COLUMN($I$37))</f>
        <v>-4498.75</v>
      </c>
      <c r="J37" s="233">
        <f>-$E$55*(1+$E$52)^(COLUMN()-COLUMN($I$37))</f>
        <v>-4723.6875</v>
      </c>
      <c r="K37" s="233">
        <f>-$E$55*(1+$E$52)^(COLUMN()-COLUMN($I$37))</f>
        <v>-4959.8718749999998</v>
      </c>
      <c r="L37" s="233">
        <f>-$E$55*(1+$E$52)^(COLUMN()-COLUMN($I$37))</f>
        <v>-5207.8654687500002</v>
      </c>
      <c r="M37" s="233">
        <f>-$E$55*(1+$E$52)^(COLUMN()-COLUMN($I$37))</f>
        <v>-5468.2587421874996</v>
      </c>
      <c r="N37" s="197"/>
    </row>
    <row r="38" spans="1:14" ht="15" customHeight="1" x14ac:dyDescent="0.35">
      <c r="A38" s="3"/>
      <c r="B38" s="51" t="s">
        <v>21</v>
      </c>
      <c r="C38" s="383"/>
      <c r="D38" s="388">
        <f>INPUT!D30</f>
        <v>0</v>
      </c>
      <c r="E38" s="235">
        <f>INPUT!E30</f>
        <v>-62484.09</v>
      </c>
      <c r="F38" s="235">
        <f>INPUT!F30</f>
        <v>-81582.03</v>
      </c>
      <c r="G38" s="221">
        <f>INPUT!G30</f>
        <v>-82980.03</v>
      </c>
      <c r="H38" s="221">
        <f>IF(INPUT!H30&lt;&gt;"",INPUT!H30,INPUT!G30)</f>
        <v>-82044.040000000008</v>
      </c>
      <c r="I38" s="221">
        <f>I34+I36+I37</f>
        <v>-4090.8249999999998</v>
      </c>
      <c r="J38" s="221">
        <f>J34+J36+J37</f>
        <v>-4295.36625</v>
      </c>
      <c r="K38" s="221">
        <f>K34+K36+K37</f>
        <v>-4510.1345624999994</v>
      </c>
      <c r="L38" s="236">
        <f>L34+L36+L37</f>
        <v>-4735.6412906249998</v>
      </c>
      <c r="M38" s="236">
        <f>M34+M36+M37</f>
        <v>-4972.4233551562493</v>
      </c>
      <c r="N38" s="353"/>
    </row>
    <row r="39" spans="1:14" ht="15" customHeight="1" x14ac:dyDescent="0.35">
      <c r="A39" s="113"/>
      <c r="B39" s="114"/>
      <c r="C39" s="385"/>
      <c r="D39" s="387"/>
      <c r="E39" s="115"/>
      <c r="F39" s="115"/>
      <c r="G39" s="115"/>
      <c r="H39" s="115"/>
      <c r="I39" s="115"/>
      <c r="J39" s="115"/>
      <c r="K39" s="115"/>
      <c r="L39" s="116"/>
      <c r="M39" s="116"/>
      <c r="N39" s="116"/>
    </row>
    <row r="40" spans="1:14" ht="15" customHeight="1" x14ac:dyDescent="0.35">
      <c r="A40" s="3"/>
      <c r="B40" s="16" t="s">
        <v>13</v>
      </c>
      <c r="C40" s="382"/>
      <c r="D40" s="386">
        <f>INPUT!D16</f>
        <v>0</v>
      </c>
      <c r="E40" s="232">
        <f>INPUT!E16</f>
        <v>-3747</v>
      </c>
      <c r="F40" s="232">
        <f>INPUT!F16</f>
        <v>-4667</v>
      </c>
      <c r="G40" s="233">
        <f>INPUT!G16</f>
        <v>-5368</v>
      </c>
      <c r="H40" s="233">
        <f>IF(INPUT!H16&lt;&gt;"",INPUT!H16,INPUT!G16)</f>
        <v>-6148</v>
      </c>
      <c r="I40" s="233">
        <f>-$E$56*(1+$E$52)^(COLUMN()-COLUMN($I$40))</f>
        <v>-4982.5</v>
      </c>
      <c r="J40" s="233">
        <f>-$E$56*(1+$E$52)^(COLUMN()-COLUMN($I$40))</f>
        <v>-5231.625</v>
      </c>
      <c r="K40" s="233">
        <f>-$E$56*(1+$E$52)^(COLUMN()-COLUMN($I$40))</f>
        <v>-5493.2062500000002</v>
      </c>
      <c r="L40" s="233">
        <f>-$E$56*(1+$E$52)^(COLUMN()-COLUMN($I$40))</f>
        <v>-5767.8665625000003</v>
      </c>
      <c r="M40" s="233">
        <f>-$E$56*(1+$E$52)^(COLUMN()-COLUMN($I$40))</f>
        <v>-6056.2598906250005</v>
      </c>
      <c r="N40" s="197"/>
    </row>
    <row r="41" spans="1:14" ht="15" customHeight="1" x14ac:dyDescent="0.35">
      <c r="A41" s="3"/>
      <c r="B41" s="51" t="s">
        <v>14</v>
      </c>
      <c r="C41" s="383"/>
      <c r="D41" s="388">
        <f t="shared" ref="D41:M41" si="1">D38+D40</f>
        <v>0</v>
      </c>
      <c r="E41" s="235">
        <f t="shared" si="1"/>
        <v>-66231.09</v>
      </c>
      <c r="F41" s="235">
        <f t="shared" si="1"/>
        <v>-86249.03</v>
      </c>
      <c r="G41" s="221">
        <f t="shared" si="1"/>
        <v>-88348.03</v>
      </c>
      <c r="H41" s="221">
        <f t="shared" si="1"/>
        <v>-88192.040000000008</v>
      </c>
      <c r="I41" s="221">
        <f t="shared" si="1"/>
        <v>-9073.3250000000007</v>
      </c>
      <c r="J41" s="221">
        <f t="shared" si="1"/>
        <v>-9526.9912499999991</v>
      </c>
      <c r="K41" s="221">
        <f t="shared" si="1"/>
        <v>-10003.340812499999</v>
      </c>
      <c r="L41" s="236">
        <f t="shared" si="1"/>
        <v>-10503.507853125</v>
      </c>
      <c r="M41" s="236">
        <f t="shared" si="1"/>
        <v>-11028.683245781249</v>
      </c>
      <c r="N41" s="353"/>
    </row>
    <row r="42" spans="1:14" ht="15" customHeight="1" x14ac:dyDescent="0.35">
      <c r="A42" s="113"/>
      <c r="B42" s="114"/>
      <c r="C42" s="385"/>
      <c r="D42" s="387"/>
      <c r="E42" s="115"/>
      <c r="F42" s="115"/>
      <c r="G42" s="115"/>
      <c r="H42" s="115"/>
      <c r="I42" s="115"/>
      <c r="J42" s="115"/>
      <c r="K42" s="115"/>
      <c r="L42" s="116"/>
      <c r="M42" s="116"/>
      <c r="N42" s="116"/>
    </row>
    <row r="43" spans="1:14" ht="15" customHeight="1" x14ac:dyDescent="0.35">
      <c r="A43" s="3"/>
      <c r="B43" s="16" t="s">
        <v>15</v>
      </c>
      <c r="C43" s="382"/>
      <c r="D43" s="386">
        <f>INPUT!D20</f>
        <v>0</v>
      </c>
      <c r="E43" s="232">
        <f>INPUT!E20</f>
        <v>-0.8</v>
      </c>
      <c r="F43" s="232">
        <f>INPUT!F20</f>
        <v>-0.79</v>
      </c>
      <c r="G43" s="233">
        <f>INPUT!G20</f>
        <v>-0.8</v>
      </c>
      <c r="H43" s="233">
        <f>IF(INPUT!H20&lt;&gt;"",INPUT!H20,INPUT!G20)</f>
        <v>-0.79</v>
      </c>
      <c r="I43" s="233">
        <f>-I41*(INPUT!H117)/(1-$E$57)</f>
        <v>918.81772151898747</v>
      </c>
      <c r="J43" s="233">
        <f>-J41*(INPUT!H117)/(1-$E$57)</f>
        <v>964.75860759493651</v>
      </c>
      <c r="K43" s="233">
        <f>-K41*(INPUT!H117)/(1-$E$57)</f>
        <v>1012.9965379746834</v>
      </c>
      <c r="L43" s="234">
        <f>-L41*(INPUT!H117)/(1-$E$57)</f>
        <v>1063.6463648734177</v>
      </c>
      <c r="M43" s="234">
        <f>-M41*(INPUT!H117)/(1-$E$57)</f>
        <v>1116.8286831170885</v>
      </c>
      <c r="N43" s="197"/>
    </row>
    <row r="44" spans="1:14" ht="15" customHeight="1" x14ac:dyDescent="0.35">
      <c r="A44" s="3"/>
      <c r="B44" s="51" t="s">
        <v>17</v>
      </c>
      <c r="C44" s="383"/>
      <c r="D44" s="388">
        <f t="shared" ref="D44:M44" si="2">D41+D43</f>
        <v>0</v>
      </c>
      <c r="E44" s="235">
        <f t="shared" si="2"/>
        <v>-66231.89</v>
      </c>
      <c r="F44" s="235">
        <f t="shared" si="2"/>
        <v>-86249.819999999992</v>
      </c>
      <c r="G44" s="221">
        <f t="shared" si="2"/>
        <v>-88348.83</v>
      </c>
      <c r="H44" s="221">
        <f t="shared" si="2"/>
        <v>-88192.83</v>
      </c>
      <c r="I44" s="221">
        <f t="shared" si="2"/>
        <v>-8154.5072784810136</v>
      </c>
      <c r="J44" s="221">
        <f t="shared" si="2"/>
        <v>-8562.2326424050625</v>
      </c>
      <c r="K44" s="221">
        <f t="shared" si="2"/>
        <v>-8990.344274525316</v>
      </c>
      <c r="L44" s="236">
        <f t="shared" si="2"/>
        <v>-9439.8614882515831</v>
      </c>
      <c r="M44" s="236">
        <f t="shared" si="2"/>
        <v>-9911.8545626641608</v>
      </c>
      <c r="N44" s="353"/>
    </row>
    <row r="45" spans="1:14" ht="15" customHeight="1" x14ac:dyDescent="0.35">
      <c r="A45" s="113"/>
      <c r="B45" s="114"/>
      <c r="C45" s="385"/>
      <c r="D45" s="387"/>
      <c r="E45" s="115"/>
      <c r="F45" s="115"/>
      <c r="G45" s="115"/>
      <c r="H45" s="115"/>
      <c r="I45" s="115"/>
      <c r="J45" s="115"/>
      <c r="K45" s="115"/>
      <c r="L45" s="116"/>
      <c r="M45" s="116"/>
      <c r="N45" s="116"/>
    </row>
    <row r="46" spans="1:14" ht="15" customHeight="1" x14ac:dyDescent="0.35">
      <c r="A46" s="3"/>
      <c r="B46" s="16" t="s">
        <v>169</v>
      </c>
      <c r="C46" s="382"/>
      <c r="D46" s="386">
        <f>INPUT!D24</f>
        <v>0</v>
      </c>
      <c r="E46" s="229">
        <f>INPUT!E24</f>
        <v>0</v>
      </c>
      <c r="F46" s="229">
        <f>INPUT!F24</f>
        <v>0</v>
      </c>
      <c r="G46" s="230">
        <f>INPUT!G24</f>
        <v>0</v>
      </c>
      <c r="H46" s="230">
        <f>IF(INPUT!H24&lt;&gt;"",INPUT!H24,INPUT!G24)</f>
        <v>0</v>
      </c>
      <c r="I46" s="230">
        <f>-I44*$E$57</f>
        <v>1712.4465284810128</v>
      </c>
      <c r="J46" s="230">
        <f>-J44*$E$57</f>
        <v>1798.0688549050631</v>
      </c>
      <c r="K46" s="230">
        <f>-K44*$E$57</f>
        <v>1887.9722976503162</v>
      </c>
      <c r="L46" s="231">
        <f>-L44*$E$57</f>
        <v>1982.3709125328323</v>
      </c>
      <c r="M46" s="231">
        <f>-M44*$E$57</f>
        <v>2081.4894581594735</v>
      </c>
      <c r="N46" s="197"/>
    </row>
    <row r="47" spans="1:14" ht="15" customHeight="1" thickBot="1" x14ac:dyDescent="0.4">
      <c r="A47" s="3"/>
      <c r="B47" s="51" t="s">
        <v>19</v>
      </c>
      <c r="C47" s="383"/>
      <c r="D47" s="388">
        <f t="shared" ref="D47:M47" si="3">D44+D46</f>
        <v>0</v>
      </c>
      <c r="E47" s="237">
        <f t="shared" si="3"/>
        <v>-66231.89</v>
      </c>
      <c r="F47" s="237">
        <f t="shared" si="3"/>
        <v>-86249.819999999992</v>
      </c>
      <c r="G47" s="238">
        <f t="shared" si="3"/>
        <v>-88348.83</v>
      </c>
      <c r="H47" s="238">
        <f t="shared" si="3"/>
        <v>-88192.83</v>
      </c>
      <c r="I47" s="238">
        <f t="shared" si="3"/>
        <v>-6442.0607500000006</v>
      </c>
      <c r="J47" s="238">
        <f t="shared" si="3"/>
        <v>-6764.1637874999997</v>
      </c>
      <c r="K47" s="238">
        <f t="shared" si="3"/>
        <v>-7102.3719768749997</v>
      </c>
      <c r="L47" s="239">
        <f t="shared" si="3"/>
        <v>-7457.4905757187507</v>
      </c>
      <c r="M47" s="239">
        <f t="shared" si="3"/>
        <v>-7830.3651045046872</v>
      </c>
      <c r="N47" s="353"/>
    </row>
    <row r="48" spans="1:14" ht="15" customHeight="1" x14ac:dyDescent="0.35">
      <c r="A48" s="3"/>
      <c r="B48" s="13"/>
      <c r="C48" s="8"/>
      <c r="D48" s="8"/>
      <c r="E48" s="21"/>
      <c r="F48" s="21"/>
      <c r="G48" s="21"/>
      <c r="H48" s="21"/>
      <c r="I48" s="21"/>
      <c r="J48" s="21"/>
      <c r="K48" s="21"/>
      <c r="L48" s="21"/>
      <c r="M48" s="21"/>
      <c r="N48" s="21"/>
    </row>
    <row r="49" spans="1:14" ht="21" x14ac:dyDescent="0.5">
      <c r="A49" s="7" t="s">
        <v>5</v>
      </c>
      <c r="B49" s="46" t="s">
        <v>390</v>
      </c>
      <c r="C49" s="41"/>
      <c r="D49" s="41"/>
      <c r="E49" s="22"/>
      <c r="F49" s="22"/>
      <c r="G49" s="22"/>
      <c r="H49" s="22"/>
      <c r="I49" s="22"/>
      <c r="J49" s="22"/>
      <c r="K49" s="22"/>
      <c r="L49" s="22"/>
      <c r="M49" s="22"/>
      <c r="N49" s="22"/>
    </row>
    <row r="50" spans="1:14" ht="15" customHeight="1" x14ac:dyDescent="0.35">
      <c r="A50" s="3"/>
      <c r="B50" s="16" t="s">
        <v>1</v>
      </c>
      <c r="C50" s="8"/>
      <c r="D50" s="8"/>
      <c r="E50" s="21"/>
      <c r="F50" s="21"/>
      <c r="G50" s="21"/>
      <c r="H50" s="21"/>
      <c r="I50" s="21"/>
      <c r="J50" s="21"/>
      <c r="K50" s="21"/>
      <c r="L50" s="21"/>
      <c r="M50" s="21"/>
      <c r="N50" s="21"/>
    </row>
    <row r="51" spans="1:14" ht="15" customHeight="1" x14ac:dyDescent="0.35">
      <c r="A51" s="1" t="s">
        <v>5</v>
      </c>
      <c r="B51" s="79" t="s">
        <v>391</v>
      </c>
      <c r="C51" s="80"/>
      <c r="D51" s="80"/>
      <c r="E51" s="1"/>
      <c r="F51" s="1"/>
      <c r="G51" s="23"/>
      <c r="H51" s="23"/>
      <c r="I51" s="23"/>
      <c r="J51" s="23"/>
      <c r="K51" s="23"/>
      <c r="L51" s="23"/>
      <c r="M51" s="23"/>
      <c r="N51" s="23"/>
    </row>
    <row r="52" spans="1:14" ht="18" customHeight="1" x14ac:dyDescent="0.35">
      <c r="A52" s="3"/>
      <c r="B52" s="454" t="s">
        <v>392</v>
      </c>
      <c r="C52" s="8"/>
      <c r="D52" s="487">
        <f>IFERROR(IF(NOT(ISBLANK(INPUT!H9)),INPUT!H9/INPUT!G9-1,IF(NOT(ISBLANK(INPUT!G9)),INPUT!G9/INPUT!F9-1,IF(NOT(ISBLANK(INPUT!F9)),INPUT!F9/INPUT!E9-1,IF(NOT(ISBLANK(INPUT!E9)),INPUT!E9/INPUT!D9-1,0.05)))),0.05)</f>
        <v>0.16666666666666674</v>
      </c>
      <c r="E52" s="453">
        <v>0.05</v>
      </c>
      <c r="F52"/>
      <c r="G52"/>
      <c r="H52"/>
      <c r="J52"/>
      <c r="K52"/>
      <c r="L52"/>
      <c r="M52"/>
      <c r="N52"/>
    </row>
    <row r="53" spans="1:14" ht="15" customHeight="1" x14ac:dyDescent="0.35">
      <c r="A53" s="3"/>
      <c r="B53" s="454" t="s">
        <v>393</v>
      </c>
      <c r="C53" s="8"/>
      <c r="D53" s="487">
        <f>IFERROR(INPUT!H11/INPUT!H9,0.4)</f>
        <v>-36.015714285714289</v>
      </c>
      <c r="E53" s="453">
        <v>0.28000000000000003</v>
      </c>
      <c r="F53"/>
      <c r="G53"/>
      <c r="H53"/>
      <c r="J53"/>
      <c r="K53"/>
      <c r="L53"/>
      <c r="M53"/>
      <c r="N53"/>
    </row>
    <row r="54" spans="1:14" ht="15" customHeight="1" x14ac:dyDescent="0.35">
      <c r="A54" s="3"/>
      <c r="B54" s="454" t="s">
        <v>394</v>
      </c>
      <c r="C54" s="8"/>
      <c r="D54" s="487">
        <f>IFERROR(ABS(INPUT!H14)/INPUT!H9,0.15)</f>
        <v>1.9047619047619049E-5</v>
      </c>
      <c r="E54" s="453">
        <v>9.5000000000000001E-2</v>
      </c>
      <c r="F54"/>
      <c r="G54"/>
      <c r="H54"/>
      <c r="J54"/>
      <c r="K54"/>
      <c r="L54"/>
      <c r="M54"/>
      <c r="N54"/>
    </row>
    <row r="55" spans="1:14" ht="15" customHeight="1" x14ac:dyDescent="0.35">
      <c r="A55" s="3"/>
      <c r="B55" s="455" t="s">
        <v>506</v>
      </c>
      <c r="C55" s="8"/>
      <c r="D55" s="488">
        <f>IFERROR(ABS(INPUT!H15)/INPUT!H9,0.05)</f>
        <v>3.0528571428571429</v>
      </c>
      <c r="E55" s="498">
        <f>IFERROR(AVERAGE(IF(INPUT!E9&lt;&gt;0,ABS(INPUT!E15),0),IF(INPUT!F9&lt;&gt;0,ABS(INPUT!F15),0),IF(INPUT!G9&lt;&gt;0,ABS(INPUT!G15),0),IF(INPUT!H9&lt;&gt;0,ABS(INPUT!H15),0)),ABS(INPUT!H15))</f>
        <v>4498.75</v>
      </c>
      <c r="F55"/>
      <c r="G55"/>
      <c r="H55"/>
      <c r="J55"/>
      <c r="K55"/>
      <c r="L55"/>
      <c r="M55"/>
      <c r="N55"/>
    </row>
    <row r="56" spans="1:14" ht="15" customHeight="1" x14ac:dyDescent="0.35">
      <c r="A56" s="3"/>
      <c r="B56" s="455" t="s">
        <v>507</v>
      </c>
      <c r="C56" s="8"/>
      <c r="D56" s="488">
        <f>IFERROR(ABS(INPUT!H16)/INPUT!H9,0.04)</f>
        <v>2.9276190476190478</v>
      </c>
      <c r="E56" s="498">
        <f>IFERROR(AVERAGE(IF(INPUT!E9&lt;&gt;0,ABS(INPUT!E16),0),IF(INPUT!F9&lt;&gt;0,ABS(INPUT!F16),0),IF(INPUT!G9&lt;&gt;0,ABS(INPUT!G16),0),IF(INPUT!H9&lt;&gt;0,ABS(INPUT!H16),0)),ABS(INPUT!H16))</f>
        <v>4982.5</v>
      </c>
      <c r="F56"/>
      <c r="G56"/>
      <c r="H56"/>
      <c r="J56"/>
      <c r="K56"/>
      <c r="L56"/>
      <c r="M56"/>
      <c r="N56"/>
    </row>
    <row r="57" spans="1:14" ht="15" customHeight="1" x14ac:dyDescent="0.35">
      <c r="A57" s="3"/>
      <c r="B57" s="454" t="s">
        <v>171</v>
      </c>
      <c r="C57" s="8"/>
      <c r="D57" s="487">
        <f>IFERROR(INPUT!H118,0.21)</f>
        <v>0.21</v>
      </c>
      <c r="E57" s="453">
        <f>IFERROR(AVERAGEIF(INPUT!E118:H118,"&lt;&gt;0"),0.21)</f>
        <v>0.21</v>
      </c>
      <c r="F57"/>
      <c r="G57"/>
      <c r="H57"/>
      <c r="J57"/>
      <c r="K57"/>
      <c r="L57"/>
      <c r="M57"/>
      <c r="N57"/>
    </row>
    <row r="58" spans="1:14" ht="15" customHeight="1" x14ac:dyDescent="0.35">
      <c r="A58" s="3"/>
      <c r="B58" s="13"/>
      <c r="C58" s="8"/>
      <c r="D58" s="8"/>
      <c r="E58" s="69"/>
      <c r="F58" s="69"/>
      <c r="G58" s="21"/>
      <c r="H58" s="21"/>
      <c r="I58" s="21"/>
      <c r="J58" s="21"/>
      <c r="K58" s="21"/>
      <c r="L58" s="21"/>
      <c r="M58" s="21"/>
      <c r="N58" s="21"/>
    </row>
    <row r="59" spans="1:14" ht="21" x14ac:dyDescent="0.5">
      <c r="A59" s="7" t="s">
        <v>5</v>
      </c>
      <c r="B59" s="46" t="s">
        <v>172</v>
      </c>
      <c r="C59" s="41"/>
      <c r="D59" s="41"/>
      <c r="E59" s="41"/>
      <c r="F59" s="41"/>
      <c r="G59" s="22"/>
      <c r="H59" s="22"/>
      <c r="I59" s="22"/>
      <c r="J59" s="22"/>
      <c r="K59" s="22"/>
      <c r="L59" s="22"/>
      <c r="M59" s="22"/>
      <c r="N59" s="22"/>
    </row>
    <row r="60" spans="1:14" ht="15" customHeight="1" x14ac:dyDescent="0.35">
      <c r="A60" s="3"/>
      <c r="B60" s="16" t="s">
        <v>395</v>
      </c>
      <c r="C60" s="8"/>
      <c r="D60" s="499"/>
      <c r="E60" s="453">
        <v>0.05</v>
      </c>
      <c r="F60"/>
      <c r="G60"/>
      <c r="H60"/>
      <c r="J60"/>
      <c r="K60"/>
      <c r="L60"/>
      <c r="M60"/>
      <c r="N60"/>
    </row>
    <row r="61" spans="1:14" ht="15" customHeight="1" x14ac:dyDescent="0.35">
      <c r="A61" s="3"/>
      <c r="B61" s="454" t="s">
        <v>396</v>
      </c>
      <c r="C61" s="8"/>
      <c r="D61" s="499"/>
      <c r="E61" s="453">
        <v>0.12</v>
      </c>
      <c r="F61"/>
      <c r="G61"/>
      <c r="H61"/>
      <c r="J61"/>
      <c r="K61"/>
      <c r="L61"/>
      <c r="M61"/>
      <c r="N61"/>
    </row>
    <row r="62" spans="1:14" ht="18" customHeight="1" x14ac:dyDescent="0.35">
      <c r="A62" s="3"/>
      <c r="B62" s="454" t="s">
        <v>397</v>
      </c>
      <c r="C62" s="8"/>
      <c r="D62" s="489"/>
      <c r="E62" s="453">
        <v>0.55000000000000004</v>
      </c>
      <c r="F62"/>
      <c r="G62"/>
      <c r="H62"/>
      <c r="J62"/>
      <c r="K62"/>
      <c r="L62"/>
      <c r="M62"/>
      <c r="N62"/>
    </row>
    <row r="63" spans="1:14" ht="15" customHeight="1" x14ac:dyDescent="0.35">
      <c r="A63" s="3"/>
      <c r="B63" s="392"/>
      <c r="C63" s="8"/>
      <c r="D63" s="8"/>
      <c r="E63" s="21"/>
      <c r="F63" s="21"/>
      <c r="G63" s="21"/>
      <c r="H63" s="21"/>
      <c r="I63" s="186"/>
      <c r="J63" s="186"/>
      <c r="K63" s="186"/>
      <c r="L63" s="186"/>
      <c r="M63" s="452"/>
      <c r="N63" s="186"/>
    </row>
    <row r="64" spans="1:14" ht="21" x14ac:dyDescent="0.5">
      <c r="A64" s="7"/>
      <c r="B64" s="46" t="s">
        <v>173</v>
      </c>
      <c r="C64" s="41"/>
      <c r="D64" s="41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spans="1:14" ht="15" customHeight="1" x14ac:dyDescent="0.5">
      <c r="A65" s="107"/>
      <c r="B65" s="117"/>
      <c r="C65" s="118"/>
      <c r="D65" s="118"/>
      <c r="E65" s="98"/>
      <c r="F65" s="98"/>
      <c r="G65" s="98"/>
      <c r="H65" s="98"/>
      <c r="I65" s="98"/>
      <c r="J65" s="98"/>
      <c r="K65" s="98"/>
      <c r="L65" s="98"/>
      <c r="M65" s="98"/>
      <c r="N65" s="98"/>
    </row>
    <row r="66" spans="1:14" ht="15" customHeight="1" x14ac:dyDescent="0.35">
      <c r="A66" s="3"/>
      <c r="B66" s="16" t="s">
        <v>156</v>
      </c>
      <c r="C66" s="382"/>
      <c r="D66" s="386">
        <f t="shared" ref="D66:M66" si="4">D41</f>
        <v>0</v>
      </c>
      <c r="E66" s="229">
        <f t="shared" si="4"/>
        <v>-66231.09</v>
      </c>
      <c r="F66" s="229">
        <f t="shared" si="4"/>
        <v>-86249.03</v>
      </c>
      <c r="G66" s="230">
        <f t="shared" si="4"/>
        <v>-88348.03</v>
      </c>
      <c r="H66" s="230">
        <f t="shared" si="4"/>
        <v>-88192.040000000008</v>
      </c>
      <c r="I66" s="230">
        <f t="shared" si="4"/>
        <v>-9073.3250000000007</v>
      </c>
      <c r="J66" s="230">
        <f t="shared" si="4"/>
        <v>-9526.9912499999991</v>
      </c>
      <c r="K66" s="230">
        <f t="shared" si="4"/>
        <v>-10003.340812499999</v>
      </c>
      <c r="L66" s="231">
        <f t="shared" si="4"/>
        <v>-10503.507853125</v>
      </c>
      <c r="M66" s="231">
        <f t="shared" si="4"/>
        <v>-11028.683245781249</v>
      </c>
      <c r="N66" s="197"/>
    </row>
    <row r="67" spans="1:14" ht="18" customHeight="1" x14ac:dyDescent="0.35">
      <c r="A67" s="3"/>
      <c r="B67" s="16" t="s">
        <v>174</v>
      </c>
      <c r="C67" s="382"/>
      <c r="D67" s="386">
        <f>D41*(-INPUT!D118)</f>
        <v>0</v>
      </c>
      <c r="E67" s="232">
        <f>E41*(-INPUT!E118)</f>
        <v>0</v>
      </c>
      <c r="F67" s="232">
        <f>F41*(-INPUT!F118)</f>
        <v>0</v>
      </c>
      <c r="G67" s="233">
        <f>G41*(-INPUT!G118)</f>
        <v>0</v>
      </c>
      <c r="H67" s="233">
        <f>H41*(-INPUT!H118)</f>
        <v>18520.328400000002</v>
      </c>
      <c r="I67" s="233">
        <f>I41*(-$E$57)</f>
        <v>1905.3982500000002</v>
      </c>
      <c r="J67" s="233">
        <f>J41*(-$E$57)</f>
        <v>2000.6681624999997</v>
      </c>
      <c r="K67" s="233">
        <f>K41*(-$E$57)</f>
        <v>2100.7015706249995</v>
      </c>
      <c r="L67" s="234">
        <f>L41*(-$E$57)</f>
        <v>2205.7366491562498</v>
      </c>
      <c r="M67" s="234">
        <f>M41*(-$E$57)</f>
        <v>2316.0234816140623</v>
      </c>
      <c r="N67" s="197"/>
    </row>
    <row r="68" spans="1:14" ht="18" customHeight="1" x14ac:dyDescent="0.35">
      <c r="A68" s="3"/>
      <c r="B68" s="51" t="s">
        <v>175</v>
      </c>
      <c r="C68" s="383"/>
      <c r="D68" s="388">
        <f t="shared" ref="D68:M68" si="5">D66+D67</f>
        <v>0</v>
      </c>
      <c r="E68" s="235">
        <f t="shared" si="5"/>
        <v>-66231.09</v>
      </c>
      <c r="F68" s="235">
        <f t="shared" si="5"/>
        <v>-86249.03</v>
      </c>
      <c r="G68" s="221">
        <f t="shared" si="5"/>
        <v>-88348.03</v>
      </c>
      <c r="H68" s="221">
        <f t="shared" si="5"/>
        <v>-69671.71160000001</v>
      </c>
      <c r="I68" s="221">
        <f t="shared" si="5"/>
        <v>-7167.9267500000005</v>
      </c>
      <c r="J68" s="221">
        <f t="shared" si="5"/>
        <v>-7526.323087499999</v>
      </c>
      <c r="K68" s="221">
        <f t="shared" si="5"/>
        <v>-7902.6392418749992</v>
      </c>
      <c r="L68" s="236">
        <f t="shared" si="5"/>
        <v>-8297.7712039687503</v>
      </c>
      <c r="M68" s="236">
        <f t="shared" si="5"/>
        <v>-8712.6597641671869</v>
      </c>
      <c r="N68" s="353"/>
    </row>
    <row r="69" spans="1:14" ht="15" customHeight="1" x14ac:dyDescent="0.35">
      <c r="A69" s="66"/>
      <c r="B69" s="111"/>
      <c r="C69" s="384"/>
      <c r="D69" s="384"/>
      <c r="E69" s="112"/>
      <c r="F69" s="112"/>
      <c r="G69" s="60"/>
      <c r="H69" s="60"/>
      <c r="I69" s="60"/>
      <c r="J69" s="60"/>
      <c r="K69" s="60"/>
      <c r="L69" s="58"/>
      <c r="M69" s="58"/>
      <c r="N69" s="58"/>
    </row>
    <row r="70" spans="1:14" ht="15" customHeight="1" x14ac:dyDescent="0.35">
      <c r="A70" s="3"/>
      <c r="B70" s="16" t="s">
        <v>176</v>
      </c>
      <c r="C70" s="382"/>
      <c r="D70" s="386">
        <f t="shared" ref="D70:M70" si="6">ABS(D40)</f>
        <v>0</v>
      </c>
      <c r="E70" s="229">
        <f t="shared" si="6"/>
        <v>3747</v>
      </c>
      <c r="F70" s="229">
        <f t="shared" si="6"/>
        <v>4667</v>
      </c>
      <c r="G70" s="230">
        <f t="shared" si="6"/>
        <v>5368</v>
      </c>
      <c r="H70" s="230">
        <f t="shared" si="6"/>
        <v>6148</v>
      </c>
      <c r="I70" s="230">
        <f t="shared" si="6"/>
        <v>4982.5</v>
      </c>
      <c r="J70" s="230">
        <f t="shared" si="6"/>
        <v>5231.625</v>
      </c>
      <c r="K70" s="230">
        <f t="shared" si="6"/>
        <v>5493.2062500000002</v>
      </c>
      <c r="L70" s="231">
        <f t="shared" si="6"/>
        <v>5767.8665625000003</v>
      </c>
      <c r="M70" s="231">
        <f t="shared" si="6"/>
        <v>6056.2598906250005</v>
      </c>
      <c r="N70" s="197"/>
    </row>
    <row r="71" spans="1:14" ht="15" customHeight="1" x14ac:dyDescent="0.35">
      <c r="A71" s="3"/>
      <c r="B71" s="16" t="s">
        <v>177</v>
      </c>
      <c r="C71" s="382"/>
      <c r="D71" s="386">
        <f>INPUT!D78</f>
        <v>0</v>
      </c>
      <c r="E71" s="229">
        <f>INPUT!E78</f>
        <v>-7172</v>
      </c>
      <c r="F71" s="229">
        <f>INPUT!F78</f>
        <v>-8899</v>
      </c>
      <c r="G71" s="230">
        <f>INPUT!G78</f>
        <v>-11342</v>
      </c>
      <c r="H71" s="230">
        <f>IF(INPUT!H78&lt;&gt;"",INPUT!H78,INPUT!G78)</f>
        <v>-8527</v>
      </c>
      <c r="I71" s="230">
        <f>-I32*$E$60</f>
        <v>-110.25</v>
      </c>
      <c r="J71" s="230">
        <f>-J32*$E$60</f>
        <v>-115.7625</v>
      </c>
      <c r="K71" s="230">
        <f>-K32*$E$60</f>
        <v>-121.55062500000003</v>
      </c>
      <c r="L71" s="231">
        <f>-L32*$E$60</f>
        <v>-127.62815625000003</v>
      </c>
      <c r="M71" s="231">
        <f>-M32*$E$60</f>
        <v>-134.00956406250006</v>
      </c>
      <c r="N71" s="197"/>
    </row>
    <row r="72" spans="1:14" ht="15" customHeight="1" x14ac:dyDescent="0.35">
      <c r="A72" s="3"/>
      <c r="B72" s="16" t="s">
        <v>178</v>
      </c>
      <c r="C72" s="382"/>
      <c r="D72" s="386">
        <f>INPUT!D70+INPUT!D71+INPUT!D72+INPUT!D73</f>
        <v>0</v>
      </c>
      <c r="E72" s="229">
        <f>INPUT!E70+INPUT!E71+INPUT!E72+INPUT!E73</f>
        <v>5311</v>
      </c>
      <c r="F72" s="229">
        <f>INPUT!F70+INPUT!F71+INPUT!F72+INPUT!F73</f>
        <v>6077</v>
      </c>
      <c r="G72" s="230">
        <f>INPUT!G70+INPUT!G71+INPUT!G72+INPUT!G73</f>
        <v>6304.98</v>
      </c>
      <c r="H72" s="230">
        <f>IF(INPUT!H70&lt;&gt;"",INPUT!H70,INPUT!G70)+IF(INPUT!H71&lt;&gt;"",INPUT!H71,INPUT!G71)+IF(INPUT!H72&lt;&gt;"",INPUT!H72,INPUT!G72)+IF(INPUT!H73&lt;&gt;"",INPUT!H73,INPUT!G73)</f>
        <v>5518.02</v>
      </c>
      <c r="I72" s="230">
        <f>-(I32-H32)*$E$61</f>
        <v>-12.6</v>
      </c>
      <c r="J72" s="230">
        <f>-(J32-I32)*$E$61</f>
        <v>-13.229999999999999</v>
      </c>
      <c r="K72" s="230">
        <f>-(K32-J32)*$E$61</f>
        <v>-13.891500000000033</v>
      </c>
      <c r="L72" s="231">
        <f>-(L32-K32)*$E$61</f>
        <v>-14.586075000000037</v>
      </c>
      <c r="M72" s="231">
        <f>-(M32-L32)*$E$61</f>
        <v>-15.315378750000036</v>
      </c>
      <c r="N72" s="197"/>
    </row>
    <row r="73" spans="1:14" ht="15" customHeight="1" thickBot="1" x14ac:dyDescent="0.4">
      <c r="A73" s="66"/>
      <c r="B73" s="76" t="s">
        <v>179</v>
      </c>
      <c r="C73" s="384"/>
      <c r="D73" s="389">
        <f t="shared" ref="D73:M75" si="7">D68+D70+D71+D72</f>
        <v>0</v>
      </c>
      <c r="E73" s="237">
        <f t="shared" si="7"/>
        <v>-64345.09</v>
      </c>
      <c r="F73" s="237">
        <f t="shared" si="7"/>
        <v>-84404.03</v>
      </c>
      <c r="G73" s="238">
        <f t="shared" si="7"/>
        <v>-88017.05</v>
      </c>
      <c r="H73" s="238">
        <f t="shared" si="7"/>
        <v>-66532.691600000006</v>
      </c>
      <c r="I73" s="238">
        <f t="shared" si="7"/>
        <v>-2308.2767500000004</v>
      </c>
      <c r="J73" s="238">
        <f t="shared" si="7"/>
        <v>-2423.6905874999989</v>
      </c>
      <c r="K73" s="238">
        <f t="shared" si="7"/>
        <v>-2544.8751168749991</v>
      </c>
      <c r="L73" s="239">
        <f t="shared" si="7"/>
        <v>-2672.11887271875</v>
      </c>
      <c r="M73" s="239">
        <f t="shared" si="7"/>
        <v>-2805.7248163546865</v>
      </c>
      <c r="N73" s="354"/>
    </row>
    <row r="74" spans="1:14" ht="15" customHeight="1" x14ac:dyDescent="0.35">
      <c r="A74" s="66"/>
      <c r="B74" s="76"/>
      <c r="C74" s="384"/>
      <c r="D74" s="389"/>
      <c r="E74" s="467"/>
      <c r="F74" s="467"/>
      <c r="G74" s="468"/>
      <c r="H74" s="468"/>
      <c r="I74" s="468"/>
      <c r="J74" s="468"/>
      <c r="K74" s="468"/>
      <c r="L74" s="469"/>
      <c r="M74" s="469"/>
      <c r="N74" s="354"/>
    </row>
    <row r="75" spans="1:14" ht="15" customHeight="1" x14ac:dyDescent="0.35">
      <c r="A75" s="3"/>
      <c r="B75" s="195" t="s">
        <v>100</v>
      </c>
      <c r="C75" s="8"/>
      <c r="D75" s="8"/>
      <c r="E75" s="21"/>
      <c r="F75" s="21"/>
      <c r="G75" s="21"/>
      <c r="H75" s="21"/>
      <c r="I75" s="470">
        <v>1</v>
      </c>
      <c r="J75" s="470">
        <v>2</v>
      </c>
      <c r="K75" s="470">
        <v>3</v>
      </c>
      <c r="L75" s="470">
        <v>4</v>
      </c>
      <c r="M75" s="470">
        <v>5</v>
      </c>
      <c r="N75" s="21"/>
    </row>
    <row r="76" spans="1:14" ht="21" x14ac:dyDescent="0.5">
      <c r="A76" s="460"/>
      <c r="B76" s="458" t="s">
        <v>180</v>
      </c>
      <c r="C76" s="462"/>
      <c r="D76" s="462"/>
      <c r="E76" s="463"/>
      <c r="F76" s="463"/>
      <c r="G76" s="463"/>
      <c r="H76" s="463"/>
      <c r="I76" s="471">
        <f>1/(1+$D$89)^I75</f>
        <v>0.88494792081486007</v>
      </c>
      <c r="J76" s="471">
        <f>1/(1+$D$89)^J75</f>
        <v>0.78313282255454397</v>
      </c>
      <c r="K76" s="471">
        <f>1/(1+$D$89)^K75</f>
        <v>0.69303176304151637</v>
      </c>
      <c r="L76" s="471">
        <f>1/(1+$D$89)^L75</f>
        <v>0.61329701776224677</v>
      </c>
      <c r="M76" s="471">
        <f>1/(1+$D$89)^M75</f>
        <v>0.54273592071065457</v>
      </c>
      <c r="N76" s="465"/>
    </row>
    <row r="77" spans="1:14" ht="15" customHeight="1" x14ac:dyDescent="0.5">
      <c r="A77" s="460"/>
      <c r="B77" s="461"/>
      <c r="C77" s="462"/>
      <c r="D77" s="462"/>
      <c r="E77" s="463"/>
      <c r="F77" s="463"/>
      <c r="G77" s="463"/>
      <c r="H77" s="463"/>
      <c r="I77" s="472">
        <f>I76*I73</f>
        <v>-2042.7047105777829</v>
      </c>
      <c r="J77" s="473">
        <f>J76*J73</f>
        <v>-1898.0716507877551</v>
      </c>
      <c r="K77" s="473">
        <f>K76*K73</f>
        <v>-1763.6792889683657</v>
      </c>
      <c r="L77" s="473">
        <f>L76*L73</f>
        <v>-1638.8025357446261</v>
      </c>
      <c r="M77" s="473">
        <f>M76*M73</f>
        <v>-1522.7676414649929</v>
      </c>
      <c r="N77" s="98"/>
    </row>
    <row r="78" spans="1:14" ht="15" customHeight="1" x14ac:dyDescent="0.5">
      <c r="A78" s="460"/>
      <c r="B78" s="461"/>
      <c r="C78" s="462"/>
      <c r="D78" s="462"/>
      <c r="E78" s="463"/>
      <c r="F78" s="463"/>
      <c r="G78" s="463"/>
      <c r="H78" s="463"/>
      <c r="I78" s="464"/>
      <c r="J78" s="466"/>
      <c r="K78" s="466"/>
      <c r="L78" s="466"/>
      <c r="M78" s="466"/>
      <c r="N78" s="98"/>
    </row>
    <row r="79" spans="1:14" ht="15" customHeight="1" x14ac:dyDescent="0.35">
      <c r="A79" s="3"/>
      <c r="B79" s="16" t="s">
        <v>181</v>
      </c>
      <c r="C79" s="8"/>
      <c r="D79" s="286">
        <f>INPUT!H114</f>
        <v>4.2799999999999998E-2</v>
      </c>
      <c r="E79" s="273"/>
      <c r="F79" s="273"/>
      <c r="G79" s="273"/>
      <c r="H79" s="273"/>
      <c r="J79" s="273"/>
      <c r="K79" s="273"/>
      <c r="L79" s="273"/>
      <c r="M79" s="273"/>
      <c r="N79" s="291">
        <f>D79</f>
        <v>4.2799999999999998E-2</v>
      </c>
    </row>
    <row r="80" spans="1:14" ht="18" customHeight="1" x14ac:dyDescent="0.35">
      <c r="A80" s="3"/>
      <c r="B80" s="16" t="s">
        <v>66</v>
      </c>
      <c r="C80" s="8"/>
      <c r="D80" s="286">
        <f>INPUT!H113</f>
        <v>1.8</v>
      </c>
      <c r="E80" s="273"/>
      <c r="F80" s="273"/>
      <c r="G80" s="273"/>
      <c r="H80" s="273"/>
      <c r="J80" s="273"/>
      <c r="K80" s="273"/>
      <c r="L80" s="273"/>
      <c r="M80" s="273"/>
      <c r="N80" s="292">
        <f>D80</f>
        <v>1.8</v>
      </c>
    </row>
    <row r="81" spans="1:14" ht="18" customHeight="1" x14ac:dyDescent="0.35">
      <c r="A81" s="3"/>
      <c r="B81" s="16" t="s">
        <v>70</v>
      </c>
      <c r="C81" s="8"/>
      <c r="D81" s="286">
        <f>INPUT!H115</f>
        <v>5.5E-2</v>
      </c>
      <c r="E81" s="273"/>
      <c r="F81" s="273"/>
      <c r="G81" s="273"/>
      <c r="H81" s="273"/>
      <c r="J81" s="273"/>
      <c r="K81" s="273"/>
      <c r="L81" s="273"/>
      <c r="M81" s="273"/>
      <c r="N81" s="291">
        <f>D81</f>
        <v>5.5E-2</v>
      </c>
    </row>
    <row r="82" spans="1:14" ht="15" customHeight="1" x14ac:dyDescent="0.35">
      <c r="A82" s="3"/>
      <c r="B82" s="51" t="s">
        <v>71</v>
      </c>
      <c r="C82" s="10"/>
      <c r="D82" s="287">
        <f>D79+D80*D81</f>
        <v>0.14180000000000001</v>
      </c>
      <c r="E82" s="274"/>
      <c r="F82" s="274"/>
      <c r="G82" s="274"/>
      <c r="H82" s="274"/>
      <c r="J82" s="274"/>
      <c r="K82" s="274"/>
      <c r="L82" s="274"/>
      <c r="M82" s="274"/>
      <c r="N82" s="293">
        <f>D82</f>
        <v>0.14180000000000001</v>
      </c>
    </row>
    <row r="83" spans="1:14" ht="15" customHeight="1" x14ac:dyDescent="0.35">
      <c r="A83" s="3"/>
      <c r="B83" s="16"/>
      <c r="C83" s="8"/>
      <c r="D83" s="8"/>
      <c r="E83" s="21"/>
      <c r="F83" s="21"/>
      <c r="G83" s="21"/>
      <c r="H83" s="21"/>
      <c r="J83" s="21"/>
      <c r="K83" s="21"/>
      <c r="L83" s="21"/>
      <c r="M83" s="21"/>
      <c r="N83" s="53"/>
    </row>
    <row r="84" spans="1:14" ht="15" customHeight="1" x14ac:dyDescent="0.35">
      <c r="A84" s="3"/>
      <c r="B84" s="16" t="s">
        <v>182</v>
      </c>
      <c r="C84" s="8"/>
      <c r="D84" s="286">
        <f>INPUT!H120</f>
        <v>0.85</v>
      </c>
      <c r="E84" s="273"/>
      <c r="F84" s="273"/>
      <c r="G84" s="273"/>
      <c r="H84" s="273"/>
      <c r="J84" s="273"/>
      <c r="K84" s="273"/>
      <c r="L84" s="273"/>
      <c r="M84" s="273"/>
      <c r="N84" s="294">
        <f t="shared" ref="N84:N89" si="8">D84</f>
        <v>0.85</v>
      </c>
    </row>
    <row r="85" spans="1:14" ht="15" customHeight="1" x14ac:dyDescent="0.35">
      <c r="A85" s="3"/>
      <c r="B85" s="16" t="s">
        <v>183</v>
      </c>
      <c r="C85" s="8"/>
      <c r="D85" s="286">
        <f>INPUT!H121</f>
        <v>0.15</v>
      </c>
      <c r="E85" s="273"/>
      <c r="F85" s="273"/>
      <c r="G85" s="273"/>
      <c r="H85" s="273"/>
      <c r="J85" s="273"/>
      <c r="K85" s="273"/>
      <c r="L85" s="273"/>
      <c r="M85" s="273"/>
      <c r="N85" s="294">
        <f t="shared" si="8"/>
        <v>0.15</v>
      </c>
    </row>
    <row r="86" spans="1:14" ht="15" customHeight="1" x14ac:dyDescent="0.35">
      <c r="A86" s="3"/>
      <c r="B86" s="16" t="s">
        <v>184</v>
      </c>
      <c r="C86" s="8"/>
      <c r="D86" s="286">
        <f>INPUT!H117</f>
        <v>0.08</v>
      </c>
      <c r="E86" s="273"/>
      <c r="F86" s="273"/>
      <c r="G86" s="273"/>
      <c r="H86" s="273"/>
      <c r="J86" s="273"/>
      <c r="K86" s="273"/>
      <c r="L86" s="273"/>
      <c r="M86" s="273"/>
      <c r="N86" s="291">
        <f t="shared" si="8"/>
        <v>0.08</v>
      </c>
    </row>
    <row r="87" spans="1:14" ht="15" customHeight="1" x14ac:dyDescent="0.35">
      <c r="A87" s="3"/>
      <c r="B87" s="16" t="s">
        <v>73</v>
      </c>
      <c r="C87" s="8"/>
      <c r="D87" s="286">
        <f>INPUT!H118</f>
        <v>0.21</v>
      </c>
      <c r="E87" s="273"/>
      <c r="F87" s="273"/>
      <c r="G87" s="273"/>
      <c r="H87" s="273"/>
      <c r="J87" s="273"/>
      <c r="K87" s="273"/>
      <c r="L87" s="273"/>
      <c r="M87" s="273"/>
      <c r="N87" s="294">
        <f t="shared" si="8"/>
        <v>0.21</v>
      </c>
    </row>
    <row r="88" spans="1:14" ht="15" customHeight="1" x14ac:dyDescent="0.35">
      <c r="A88" s="3"/>
      <c r="B88" s="16" t="s">
        <v>74</v>
      </c>
      <c r="C88" s="8"/>
      <c r="D88" s="286">
        <f>D86*(1-D87)</f>
        <v>6.3200000000000006E-2</v>
      </c>
      <c r="E88" s="273"/>
      <c r="F88" s="273"/>
      <c r="G88" s="273"/>
      <c r="H88" s="273"/>
      <c r="J88" s="273"/>
      <c r="K88" s="273"/>
      <c r="L88" s="273"/>
      <c r="M88" s="273"/>
      <c r="N88" s="291">
        <f t="shared" si="8"/>
        <v>6.3200000000000006E-2</v>
      </c>
    </row>
    <row r="89" spans="1:14" ht="15" customHeight="1" x14ac:dyDescent="0.35">
      <c r="A89" s="3"/>
      <c r="B89" s="48" t="s">
        <v>77</v>
      </c>
      <c r="C89" s="10"/>
      <c r="D89" s="287">
        <f>D84*D82+D88*D85</f>
        <v>0.13000999999999999</v>
      </c>
      <c r="E89" s="274"/>
      <c r="F89" s="274"/>
      <c r="G89" s="274"/>
      <c r="H89" s="274"/>
      <c r="J89" s="274"/>
      <c r="K89" s="274"/>
      <c r="L89" s="274"/>
      <c r="M89" s="274"/>
      <c r="N89" s="295">
        <f t="shared" si="8"/>
        <v>0.13000999999999999</v>
      </c>
    </row>
    <row r="90" spans="1:14" ht="15" customHeight="1" x14ac:dyDescent="0.35">
      <c r="A90" s="3"/>
      <c r="B90" s="13"/>
      <c r="C90" s="8"/>
      <c r="D90" s="8"/>
      <c r="E90" s="21"/>
      <c r="F90" s="21"/>
      <c r="G90" s="21"/>
      <c r="H90" s="21"/>
      <c r="I90" s="21"/>
      <c r="J90" s="21"/>
      <c r="K90" s="21"/>
      <c r="L90" s="21"/>
      <c r="M90" s="21"/>
      <c r="N90" s="53"/>
    </row>
    <row r="91" spans="1:14" ht="21" x14ac:dyDescent="0.5">
      <c r="A91" s="7"/>
      <c r="B91" s="393" t="s">
        <v>398</v>
      </c>
      <c r="C91" s="394"/>
      <c r="D91" s="394"/>
      <c r="E91" s="22"/>
      <c r="F91" s="22"/>
      <c r="G91" s="22"/>
      <c r="H91" s="22"/>
      <c r="I91" s="22"/>
      <c r="J91" s="22"/>
      <c r="K91" s="22"/>
      <c r="L91" s="22"/>
      <c r="M91" s="22"/>
      <c r="N91" s="290"/>
    </row>
    <row r="92" spans="1:14" ht="15" customHeight="1" x14ac:dyDescent="0.5">
      <c r="A92" s="107"/>
      <c r="B92" s="395" t="s">
        <v>399</v>
      </c>
      <c r="C92" s="118"/>
      <c r="D92" s="118"/>
      <c r="E92" s="98"/>
      <c r="F92" s="98"/>
      <c r="G92" s="98"/>
      <c r="H92" s="98"/>
      <c r="I92" s="98"/>
      <c r="J92" s="98"/>
      <c r="K92" s="98"/>
      <c r="L92" s="98"/>
      <c r="M92" s="98"/>
      <c r="N92" s="98"/>
    </row>
    <row r="93" spans="1:14" ht="15" customHeight="1" x14ac:dyDescent="0.35">
      <c r="A93" s="3"/>
      <c r="B93" s="396" t="s">
        <v>400</v>
      </c>
      <c r="C93" s="8"/>
      <c r="D93" s="286">
        <f>INPUT!H123</f>
        <v>2.5000000000000001E-2</v>
      </c>
      <c r="E93" s="273"/>
      <c r="F93" s="273"/>
      <c r="G93" s="273"/>
      <c r="H93" s="273"/>
      <c r="I93" s="273"/>
      <c r="J93" s="273"/>
      <c r="K93" s="273"/>
      <c r="L93" s="273"/>
      <c r="M93" s="273"/>
      <c r="N93" s="294">
        <f t="shared" ref="N93:N94" si="9">D93</f>
        <v>2.5000000000000001E-2</v>
      </c>
    </row>
    <row r="94" spans="1:14" ht="18" customHeight="1" x14ac:dyDescent="0.35">
      <c r="A94" s="3"/>
      <c r="B94" s="396" t="s">
        <v>401</v>
      </c>
      <c r="C94" s="8"/>
      <c r="D94" s="286">
        <f>D89</f>
        <v>0.13000999999999999</v>
      </c>
      <c r="E94" s="273"/>
      <c r="F94" s="273"/>
      <c r="G94" s="273"/>
      <c r="H94" s="273"/>
      <c r="I94" s="273"/>
      <c r="J94" s="273"/>
      <c r="K94" s="273"/>
      <c r="L94" s="273"/>
      <c r="M94" s="273"/>
      <c r="N94" s="291">
        <f t="shared" si="9"/>
        <v>0.13000999999999999</v>
      </c>
    </row>
    <row r="95" spans="1:14" ht="18" customHeight="1" x14ac:dyDescent="0.35">
      <c r="A95" s="3"/>
      <c r="B95" s="396" t="s">
        <v>402</v>
      </c>
      <c r="C95" s="382"/>
      <c r="D95">
        <f>M73</f>
        <v>-2805.7248163546865</v>
      </c>
      <c r="E95" s="273"/>
      <c r="F95" s="273"/>
      <c r="G95" s="273"/>
      <c r="H95" s="273"/>
      <c r="I95" s="273"/>
      <c r="J95" s="273"/>
      <c r="K95" s="273"/>
      <c r="L95" s="273"/>
      <c r="M95" s="273"/>
      <c r="N95"/>
    </row>
    <row r="96" spans="1:14" ht="15" customHeight="1" x14ac:dyDescent="0.35">
      <c r="A96" s="3"/>
      <c r="B96" s="396" t="s">
        <v>403</v>
      </c>
      <c r="C96" s="382"/>
      <c r="D96"/>
      <c r="E96" s="273"/>
      <c r="F96" s="273"/>
      <c r="G96" s="273"/>
      <c r="H96" s="273"/>
      <c r="I96" s="274"/>
      <c r="J96" s="273"/>
      <c r="K96" s="273"/>
      <c r="L96" s="273"/>
      <c r="M96" s="273"/>
      <c r="N96"/>
    </row>
    <row r="97" spans="1:17" ht="15" customHeight="1" x14ac:dyDescent="0.35">
      <c r="A97" s="3"/>
      <c r="B97" s="397" t="s">
        <v>404</v>
      </c>
      <c r="C97" s="383"/>
      <c r="D97"/>
      <c r="E97" s="274"/>
      <c r="F97" s="274"/>
      <c r="G97" s="274"/>
      <c r="H97" s="274"/>
      <c r="I97" s="21"/>
      <c r="J97" s="274"/>
      <c r="K97" s="274"/>
      <c r="L97" s="274"/>
      <c r="M97" s="274"/>
      <c r="N97"/>
    </row>
    <row r="98" spans="1:17" ht="15" customHeight="1" x14ac:dyDescent="0.35">
      <c r="A98" s="3"/>
      <c r="B98" s="396" t="s">
        <v>405</v>
      </c>
      <c r="C98" s="8"/>
      <c r="D98"/>
      <c r="E98" s="273"/>
      <c r="F98" s="273"/>
      <c r="G98" s="273"/>
      <c r="H98" s="273"/>
      <c r="I98" s="273"/>
      <c r="J98" s="273"/>
      <c r="K98" s="273"/>
      <c r="L98" s="273"/>
      <c r="M98" s="273"/>
      <c r="N98"/>
    </row>
    <row r="99" spans="1:17" ht="15" customHeight="1" x14ac:dyDescent="0.35">
      <c r="A99" s="3"/>
      <c r="B99" s="13"/>
      <c r="C99" s="8"/>
      <c r="D99"/>
      <c r="E99" s="21"/>
      <c r="F99" s="21"/>
      <c r="G99" s="21"/>
      <c r="H99" s="21"/>
      <c r="I99" s="273"/>
      <c r="J99" s="21"/>
      <c r="K99" s="21"/>
      <c r="L99" s="21"/>
      <c r="M99" s="21"/>
      <c r="N99"/>
    </row>
    <row r="100" spans="1:17" ht="15" customHeight="1" x14ac:dyDescent="0.35">
      <c r="A100" s="3"/>
      <c r="B100" s="93"/>
      <c r="C100" s="94"/>
      <c r="D100" s="289"/>
      <c r="E100" s="21"/>
      <c r="F100" s="21"/>
      <c r="G100" s="21"/>
      <c r="H100" s="21"/>
      <c r="I100" s="21"/>
      <c r="J100" s="21"/>
      <c r="K100" s="21"/>
      <c r="L100" s="21"/>
      <c r="M100" s="21"/>
      <c r="N100" s="21"/>
    </row>
    <row r="101" spans="1:17" ht="21" x14ac:dyDescent="0.5">
      <c r="A101" s="7"/>
      <c r="B101" s="46" t="s">
        <v>192</v>
      </c>
      <c r="C101" s="41"/>
      <c r="D101" s="41"/>
      <c r="E101" s="22"/>
      <c r="F101" s="22"/>
      <c r="G101" s="22"/>
      <c r="H101" s="22"/>
      <c r="I101" s="22"/>
      <c r="J101" s="22"/>
      <c r="K101" s="22"/>
      <c r="L101" s="22"/>
      <c r="M101" s="290" t="str">
        <f>ROUND(C103*100,1)&amp;"%"</f>
        <v>11%</v>
      </c>
      <c r="N101" s="290" t="str">
        <f>ROUND(C104*100,1)&amp;"%"</f>
        <v>12%</v>
      </c>
      <c r="O101" s="298" t="str">
        <f>ROUND(C105*100,1)&amp;"%"</f>
        <v>13%</v>
      </c>
      <c r="P101" s="298" t="str">
        <f>ROUND(C106*100,1)&amp;"%"</f>
        <v>14%</v>
      </c>
      <c r="Q101" s="298" t="str">
        <f>ROUND(C107*100,1)&amp;"%"</f>
        <v>15%</v>
      </c>
    </row>
    <row r="102" spans="1:17" ht="15" customHeight="1" x14ac:dyDescent="0.35">
      <c r="A102" s="1"/>
      <c r="B102" s="15" t="s">
        <v>193</v>
      </c>
      <c r="C102" s="80" t="s">
        <v>194</v>
      </c>
      <c r="D102" s="305">
        <v>0</v>
      </c>
      <c r="E102" s="305">
        <v>0.01</v>
      </c>
      <c r="F102" s="305">
        <v>0.02</v>
      </c>
      <c r="G102" s="305">
        <v>0.03</v>
      </c>
      <c r="H102" s="305">
        <v>0.04</v>
      </c>
      <c r="I102" s="80"/>
      <c r="J102" s="80"/>
      <c r="K102" s="80"/>
      <c r="L102" s="80" t="s">
        <v>195</v>
      </c>
      <c r="M102" s="302">
        <f>D103</f>
        <v>-720.47615084163442</v>
      </c>
      <c r="N102" s="302">
        <f>D104</f>
        <v>-676.44578918696709</v>
      </c>
      <c r="O102" s="299">
        <f>D105</f>
        <v>-639.8787586657121</v>
      </c>
      <c r="P102" s="299">
        <f>D106</f>
        <v>-609.13723526904801</v>
      </c>
      <c r="Q102" s="299">
        <f>D107</f>
        <v>-583.02258511692253</v>
      </c>
    </row>
    <row r="103" spans="1:17" ht="15" customHeight="1" x14ac:dyDescent="0.35">
      <c r="A103" s="3"/>
      <c r="B103" s="13"/>
      <c r="C103" s="305">
        <f>D89-0.02</f>
        <v>0.11000999999999998</v>
      </c>
      <c r="D103" s="242">
        <f>IFERROR((SUM($I$77:$M$77)+((D95*(1+0))/(C103-0))/(1+C103)^5+D15+D16)/D19,"–")</f>
        <v>-720.47615084163442</v>
      </c>
      <c r="E103" s="242">
        <f>IFERROR((SUM($I$77:$M$77)+((D95*(1+0.01))/(C103-0.01))/(1+C103)^5+D15+D16)/D19,"–")</f>
        <v>-760.0384867769028</v>
      </c>
      <c r="F103" s="242">
        <f>IFERROR((SUM($I$77:$M$77)+((D95*(1+0.02))/(C103-0.02))/(1+C103)^5+D15+D16)/D19,"–")</f>
        <v>-808.39147618073446</v>
      </c>
      <c r="G103" s="242">
        <f>IFERROR((SUM($I$77:$M$77)+((D95*(1+0.03))/(C103-0.03))/(1+C103)^5+D15+D16)/D19,"–")</f>
        <v>-868.83120209346021</v>
      </c>
      <c r="H103" s="242">
        <f>IFERROR((SUM($I$77:$M$77)+((D95*(1+0.04))/(C103-0.04))/(1+C103)^5+D15+D16)/D19,"–")</f>
        <v>-946.53695454888725</v>
      </c>
      <c r="I103" s="297"/>
      <c r="J103" s="297"/>
      <c r="K103" s="297"/>
      <c r="L103" s="300" t="s">
        <v>196</v>
      </c>
      <c r="M103" s="303">
        <f>E103</f>
        <v>-760.0384867769028</v>
      </c>
      <c r="N103" s="303">
        <f>E104</f>
        <v>-708.25316806572334</v>
      </c>
      <c r="O103" s="301">
        <f>E105</f>
        <v>-665.85293248312314</v>
      </c>
      <c r="P103" s="301">
        <f>E106</f>
        <v>-630.63011586953894</v>
      </c>
      <c r="Q103" s="301">
        <f>E107</f>
        <v>-601.01043894330883</v>
      </c>
    </row>
    <row r="104" spans="1:17" ht="18" customHeight="1" x14ac:dyDescent="0.35">
      <c r="A104" s="3"/>
      <c r="B104" s="13"/>
      <c r="C104" s="305">
        <f>D89-0.01</f>
        <v>0.12000999999999999</v>
      </c>
      <c r="D104" s="242">
        <f>IFERROR((SUM($I$77:$M$77)+((D95*(1+0))/(C104-0))/(1+C104)^5+D15+D16)/D19,"–")</f>
        <v>-676.44578918696709</v>
      </c>
      <c r="E104" s="242">
        <f>IFERROR((SUM($I$77:$M$77)+((D95*(1+0.01))/(C104-0.01))/(1+C104)^5+D15+D16)/D19,"–")</f>
        <v>-708.25316806572334</v>
      </c>
      <c r="F104" s="242">
        <f>IFERROR((SUM($I$77:$M$77)+((D95*(1+0.02))/(C104-0.02))/(1+C104)^5+D15+D16)/D19,"–")</f>
        <v>-746.42138663626179</v>
      </c>
      <c r="G104" s="242">
        <f>IFERROR((SUM($I$77:$M$77)+((D95*(1+0.03))/(C104-0.03))/(1+C104)^5+D15+D16)/D19,"–")</f>
        <v>-793.07048923536104</v>
      </c>
      <c r="H104" s="242">
        <f>IFERROR((SUM($I$77:$M$77)+((D95*(1+0.04))/(C104-0.04))/(1+C104)^5+D15+D16)/D19,"–")</f>
        <v>-851.38040988197929</v>
      </c>
      <c r="I104" s="297"/>
      <c r="J104" s="297"/>
      <c r="K104" s="297"/>
      <c r="L104" s="300" t="s">
        <v>197</v>
      </c>
      <c r="M104" s="303">
        <f>F103</f>
        <v>-808.39147618073446</v>
      </c>
      <c r="N104" s="303">
        <f>F104</f>
        <v>-746.42138663626179</v>
      </c>
      <c r="O104" s="301">
        <f>F105</f>
        <v>-696.54925407208441</v>
      </c>
      <c r="P104" s="301">
        <f>F106</f>
        <v>-655.7048447494218</v>
      </c>
      <c r="Q104" s="301">
        <f>F107</f>
        <v>-621.76544203919536</v>
      </c>
    </row>
    <row r="105" spans="1:17" ht="15" customHeight="1" x14ac:dyDescent="0.35">
      <c r="A105" s="3"/>
      <c r="B105" s="13"/>
      <c r="C105" s="305">
        <f>D89</f>
        <v>0.13000999999999999</v>
      </c>
      <c r="D105" s="242">
        <f>IFERROR((SUM($I$77:$M$77)+((D95*(1+0))/(C105-0))/(1+C105)^5+D15+D16)/D19,"–")</f>
        <v>-639.8787586657121</v>
      </c>
      <c r="E105" s="242">
        <f>IFERROR((SUM($I$77:$M$77)+((D95*(1+0.01))/(C105-0.01))/(1+C105)^5+D15+D16)/D19,"–")</f>
        <v>-665.85293248312314</v>
      </c>
      <c r="F105" s="243">
        <f>IFERROR((SUM($I$77:$M$77)+((D95*(1+0.02))/(C105-0.02))/(1+C105)^5+D15+D16)/D19,"–")</f>
        <v>-696.54925407208441</v>
      </c>
      <c r="G105" s="282">
        <f>IFERROR((SUM($I$77:$M$77)+((D95*(1+0.03))/(C105-0.03))/(1+C105)^5+D15+D16)/D19,"–")</f>
        <v>-733.38422611379258</v>
      </c>
      <c r="H105" s="242">
        <f>IFERROR((SUM($I$77:$M$77)+((D95*(1+0.04))/(C105-0.04))/(1+C105)^5+D15+D16)/D19,"–")</f>
        <v>-778.40383809366483</v>
      </c>
      <c r="I105" s="297"/>
      <c r="J105" s="297"/>
      <c r="K105" s="297"/>
      <c r="L105" s="300" t="s">
        <v>198</v>
      </c>
      <c r="M105" s="304">
        <f>G103</f>
        <v>-868.83120209346021</v>
      </c>
      <c r="N105" s="304">
        <f>G104</f>
        <v>-793.07048923536104</v>
      </c>
      <c r="O105" s="299">
        <f>G105</f>
        <v>-733.38422611379258</v>
      </c>
      <c r="P105" s="299">
        <f>G106</f>
        <v>-685.33820082317482</v>
      </c>
      <c r="Q105" s="299">
        <f>G107</f>
        <v>-645.97932407781775</v>
      </c>
    </row>
    <row r="106" spans="1:17" ht="15" customHeight="1" x14ac:dyDescent="0.35">
      <c r="A106" s="3"/>
      <c r="B106" s="13"/>
      <c r="C106" s="305">
        <f>D89+0.01</f>
        <v>0.14001</v>
      </c>
      <c r="D106" s="242">
        <f>IFERROR((SUM($I$77:$M$77)+((D95*(1+0))/(C106-0))/(1+C106)^5+D15+D16)/D19,"–")</f>
        <v>-609.13723526904801</v>
      </c>
      <c r="E106" s="242">
        <f>IFERROR((SUM($I$77:$M$77)+((D95*(1+0.01))/(C106-0.01))/(1+C106)^5+D15+D16)/D19,"–")</f>
        <v>-630.63011586953894</v>
      </c>
      <c r="F106" s="242">
        <f>IFERROR((SUM($I$77:$M$77)+((D95*(1+0.02))/(C106-0.02))/(1+C106)^5+D15+D16)/D19,"–")</f>
        <v>-655.7048447494218</v>
      </c>
      <c r="G106" s="242">
        <f>IFERROR((SUM($I$77:$M$77)+((D95*(1+0.03))/(C106-0.03))/(1+C106)^5+D15+D16)/D19,"–")</f>
        <v>-685.33820082317482</v>
      </c>
      <c r="H106" s="242">
        <f>IFERROR((SUM($I$77:$M$77)+((D95*(1+0.04))/(C106-0.04))/(1+C106)^5+D15+D16)/D19,"–")</f>
        <v>-720.89763550381781</v>
      </c>
      <c r="I106" s="297"/>
      <c r="J106" s="297"/>
      <c r="K106" s="297"/>
      <c r="L106" s="300" t="s">
        <v>199</v>
      </c>
      <c r="M106" s="303">
        <f>H103</f>
        <v>-946.53695454888725</v>
      </c>
      <c r="N106" s="303">
        <f>H104</f>
        <v>-851.38040988197929</v>
      </c>
      <c r="O106" s="301">
        <f>H105</f>
        <v>-778.40383809366483</v>
      </c>
      <c r="P106" s="301">
        <f>H106</f>
        <v>-720.89763550381781</v>
      </c>
      <c r="Q106" s="301">
        <f>H107</f>
        <v>-674.5953299303884</v>
      </c>
    </row>
    <row r="107" spans="1:17" ht="15" customHeight="1" x14ac:dyDescent="0.35">
      <c r="A107" s="3"/>
      <c r="B107" s="13"/>
      <c r="C107" s="305">
        <f>D89+0.02</f>
        <v>0.15000999999999998</v>
      </c>
      <c r="D107" s="242">
        <f>IFERROR((SUM($I$77:$M$77)+((D95*(1+0))/(C107-0))/(1+C107)^5+D15+D16)/D19,"–")</f>
        <v>-583.02258511692253</v>
      </c>
      <c r="E107" s="242">
        <f>IFERROR((SUM($I$77:$M$77)+((D95*(1+0.01))/(C107-0.01))/(1+C107)^5+D15+D16)/D19,"–")</f>
        <v>-601.01043894330883</v>
      </c>
      <c r="F107" s="242">
        <f>IFERROR((SUM($I$77:$M$77)+((D95*(1+0.02))/(C107-0.02))/(1+C107)^5+D15+D16)/D19,"–")</f>
        <v>-621.76544203919536</v>
      </c>
      <c r="G107" s="242">
        <f>IFERROR((SUM($I$77:$M$77)+((D95*(1+0.03))/(C107-0.03))/(1+C107)^5+D15+D16)/D19,"–")</f>
        <v>-645.97932407781775</v>
      </c>
      <c r="H107" s="242">
        <f>IFERROR((SUM($I$77:$M$77)+((D95*(1+0.04))/(C107-0.04))/(1+C107)^5+D15+D16)/D19,"–")</f>
        <v>-674.5953299303884</v>
      </c>
      <c r="I107" s="21"/>
      <c r="J107" s="21"/>
      <c r="K107" s="21"/>
      <c r="L107" s="21"/>
      <c r="M107" s="21"/>
      <c r="N107" s="21"/>
    </row>
    <row r="108" spans="1:17" ht="15" customHeight="1" x14ac:dyDescent="0.35">
      <c r="A108" s="3"/>
      <c r="B108" s="17" t="s">
        <v>508</v>
      </c>
      <c r="C108" s="8"/>
      <c r="D108" s="8"/>
      <c r="E108" s="21"/>
      <c r="F108" s="21"/>
      <c r="G108" s="21"/>
      <c r="H108" s="21"/>
      <c r="I108" s="21"/>
      <c r="J108" s="21"/>
      <c r="K108" s="21"/>
      <c r="L108" s="21"/>
      <c r="M108" s="21"/>
      <c r="N108" s="21"/>
    </row>
    <row r="109" spans="1:17" ht="15" customHeight="1" x14ac:dyDescent="0.35">
      <c r="A109" s="3"/>
      <c r="B109" s="13"/>
      <c r="C109" s="8"/>
      <c r="D109" s="8"/>
      <c r="E109" s="21"/>
      <c r="F109" s="21"/>
      <c r="G109" s="21"/>
      <c r="H109" s="21"/>
      <c r="I109" s="21"/>
      <c r="J109" s="21"/>
      <c r="K109" s="21"/>
      <c r="L109" s="21"/>
      <c r="M109" s="21"/>
      <c r="N109" s="21"/>
    </row>
    <row r="110" spans="1:17" ht="21" x14ac:dyDescent="0.5">
      <c r="A110" s="7"/>
      <c r="B110" s="46" t="s">
        <v>200</v>
      </c>
      <c r="C110" s="41"/>
      <c r="D110" s="41"/>
      <c r="E110" s="22"/>
      <c r="F110" s="22"/>
      <c r="G110" s="22"/>
      <c r="H110" s="22"/>
      <c r="I110" s="22"/>
      <c r="J110" s="22"/>
      <c r="K110" s="22"/>
      <c r="L110" s="22"/>
      <c r="M110" s="22"/>
      <c r="N110" s="22"/>
    </row>
    <row r="111" spans="1:17" ht="15" customHeight="1" x14ac:dyDescent="0.35">
      <c r="A111" s="1"/>
      <c r="B111" s="15" t="s">
        <v>2</v>
      </c>
      <c r="C111" s="80" t="s">
        <v>165</v>
      </c>
      <c r="D111" s="80"/>
      <c r="E111" s="23" t="s">
        <v>201</v>
      </c>
      <c r="F111" s="23" t="s">
        <v>202</v>
      </c>
      <c r="G111" s="23" t="s">
        <v>203</v>
      </c>
      <c r="H111" s="23"/>
      <c r="I111" s="23"/>
      <c r="J111" s="23"/>
      <c r="K111" s="23"/>
      <c r="L111" s="23"/>
      <c r="M111" s="23"/>
    </row>
    <row r="112" spans="1:17" ht="15" customHeight="1" x14ac:dyDescent="0.35">
      <c r="A112" s="3"/>
      <c r="B112" s="16" t="s">
        <v>204</v>
      </c>
      <c r="C112" s="8" t="s">
        <v>69</v>
      </c>
      <c r="D112" s="286">
        <f>D52-0.03</f>
        <v>0.13666666666666674</v>
      </c>
      <c r="E112" s="241">
        <f>D52-0.02</f>
        <v>0.14666666666666675</v>
      </c>
      <c r="F112" s="241">
        <f>D52</f>
        <v>0.16666666666666674</v>
      </c>
      <c r="G112" s="244">
        <f>D52+0.02</f>
        <v>0.18666666666666673</v>
      </c>
      <c r="H112" s="21"/>
      <c r="I112" s="21"/>
      <c r="J112" s="21"/>
      <c r="K112" s="21"/>
      <c r="L112" s="21"/>
      <c r="M112" s="21"/>
    </row>
    <row r="113" spans="1:14" ht="18" customHeight="1" x14ac:dyDescent="0.35">
      <c r="A113" s="3"/>
      <c r="B113" s="16" t="s">
        <v>109</v>
      </c>
      <c r="C113" s="8" t="s">
        <v>69</v>
      </c>
      <c r="D113" s="286" t="str">
        <f>IFERROR(D38/D32-0.03,"–")</f>
        <v>–</v>
      </c>
      <c r="E113" s="241">
        <f>IFERROR(H38/H32-0.02,"–")</f>
        <v>-39.088590476190483</v>
      </c>
      <c r="F113" s="241">
        <f>IFERROR(H38/H32,"–")</f>
        <v>-39.068590476190479</v>
      </c>
      <c r="G113" s="244">
        <f>IFERROR(H38/H32+0.02,"–")</f>
        <v>-39.048590476190476</v>
      </c>
      <c r="H113" s="21"/>
      <c r="I113" s="21"/>
      <c r="J113" s="21"/>
      <c r="K113" s="21"/>
      <c r="L113" s="21"/>
      <c r="M113" s="21"/>
    </row>
    <row r="114" spans="1:14" ht="15" customHeight="1" x14ac:dyDescent="0.35">
      <c r="A114" s="3"/>
      <c r="B114" s="16" t="s">
        <v>78</v>
      </c>
      <c r="C114" s="8" t="s">
        <v>69</v>
      </c>
      <c r="D114" s="286">
        <f>D93-0.01</f>
        <v>1.5000000000000001E-2</v>
      </c>
      <c r="E114" s="241">
        <f>D93-0.01</f>
        <v>1.5000000000000001E-2</v>
      </c>
      <c r="F114" s="241">
        <f>D93</f>
        <v>2.5000000000000001E-2</v>
      </c>
      <c r="G114" s="244">
        <f>D93+0.01</f>
        <v>3.5000000000000003E-2</v>
      </c>
      <c r="H114" s="21"/>
      <c r="I114" s="21"/>
      <c r="J114" s="21"/>
      <c r="K114" s="21"/>
      <c r="L114" s="21"/>
      <c r="M114" s="21"/>
    </row>
    <row r="115" spans="1:14" ht="15" customHeight="1" x14ac:dyDescent="0.35">
      <c r="A115" s="3"/>
      <c r="B115" s="16" t="s">
        <v>77</v>
      </c>
      <c r="C115" s="8" t="s">
        <v>69</v>
      </c>
      <c r="D115" s="286">
        <f>D89+0.01</f>
        <v>0.14001</v>
      </c>
      <c r="E115" s="241">
        <f>D89+0.01</f>
        <v>0.14001</v>
      </c>
      <c r="F115" s="241">
        <f>D89</f>
        <v>0.13000999999999999</v>
      </c>
      <c r="G115" s="244">
        <f>D89-0.01</f>
        <v>0.12000999999999999</v>
      </c>
      <c r="H115" s="21"/>
      <c r="I115" s="21"/>
      <c r="J115" s="21"/>
      <c r="K115" s="21"/>
      <c r="L115" s="21"/>
      <c r="M115" s="21"/>
    </row>
    <row r="116" spans="1:14" ht="15" customHeight="1" x14ac:dyDescent="0.35">
      <c r="A116" s="3"/>
      <c r="B116" s="16" t="s">
        <v>205</v>
      </c>
      <c r="C116" s="8" t="s">
        <v>61</v>
      </c>
      <c r="D116" s="286">
        <f>IFERROR((SUM($I$77:$M$77)+((D95*(1+D114))/(D115-D114))/(1+D115)^5+D15+D16)/D19,"–")</f>
        <v>-642.66602584823966</v>
      </c>
      <c r="E116" s="242">
        <f>IFERROR((SUM($I$77:$M$77)+((D95*(1+E114))/(E115-E114))/(1+E115)^5+D15+D16)/D19,"–")</f>
        <v>-642.66602584823966</v>
      </c>
      <c r="F116" s="245">
        <f>IFERROR((SUM($I$77:$M$77)+((D95*(1+F114))/(F115-F114))/(1+F115)^5+D15+D16)/D19,"–")</f>
        <v>-714.08980046714782</v>
      </c>
      <c r="G116" s="246">
        <f>IFERROR((SUM($I$77:$M$77)+((D95*(1+G114))/(G115-G114))/(1+G115)^5+D15+D16)/D19,"–")</f>
        <v>-820.51065363329019</v>
      </c>
      <c r="H116" s="21"/>
      <c r="I116" s="21"/>
      <c r="J116" s="21"/>
      <c r="K116" s="21"/>
      <c r="L116" s="21"/>
      <c r="M116" s="21"/>
    </row>
    <row r="117" spans="1:14" ht="15" customHeight="1" x14ac:dyDescent="0.35">
      <c r="A117" s="3"/>
      <c r="B117" s="13"/>
      <c r="C117" s="8"/>
      <c r="D117" s="8"/>
      <c r="E117" s="21"/>
      <c r="F117" s="21"/>
      <c r="G117" s="21"/>
      <c r="H117" s="21"/>
      <c r="I117" s="21"/>
      <c r="J117" s="21"/>
      <c r="K117" s="21"/>
      <c r="L117" s="21"/>
      <c r="M117" s="21"/>
      <c r="N117" s="21"/>
    </row>
    <row r="118" spans="1:14" ht="15" customHeight="1" x14ac:dyDescent="0.3">
      <c r="A118" s="81"/>
      <c r="B118" s="83" t="s">
        <v>206</v>
      </c>
      <c r="C118" s="83" t="str">
        <f>TEXT(INPUT!D131+1,"0")&amp;"F"</f>
        <v>2026F</v>
      </c>
      <c r="D118" s="83" t="str">
        <f>TEXT(INPUT!D131+2,"0")&amp;"F"</f>
        <v>2027F</v>
      </c>
      <c r="E118" s="83" t="str">
        <f>TEXT(INPUT!D131+3,"0")&amp;"F"</f>
        <v>2028F</v>
      </c>
      <c r="F118" s="83" t="str">
        <f>TEXT(INPUT!D131+4,"0")&amp;"F"</f>
        <v>2029F</v>
      </c>
      <c r="G118" s="83" t="str">
        <f>TEXT(INPUT!D131+5,"0")&amp;"F"</f>
        <v>2030F</v>
      </c>
      <c r="H118" s="82"/>
      <c r="I118" s="82"/>
      <c r="J118" s="82"/>
      <c r="K118" s="82"/>
      <c r="L118" s="82"/>
      <c r="M118" s="82"/>
      <c r="N118" s="82"/>
    </row>
    <row r="119" spans="1:14" ht="15" customHeight="1" x14ac:dyDescent="0.3">
      <c r="B119" s="44" t="s">
        <v>207</v>
      </c>
      <c r="C119" s="247">
        <f>IF(I73=0,NA(),I73)</f>
        <v>-2308.2767500000004</v>
      </c>
      <c r="D119" s="247">
        <f>IF(J73=0,NA(),J73)</f>
        <v>-2423.6905874999989</v>
      </c>
      <c r="E119" s="247">
        <f>IF(K73=0,NA(),K73)</f>
        <v>-2544.8751168749991</v>
      </c>
      <c r="F119" s="247">
        <f>IF(L73=0,NA(),L73)</f>
        <v>-2672.11887271875</v>
      </c>
      <c r="G119" s="247">
        <f>IF(M73=0,NA(),M73)</f>
        <v>-2805.7248163546865</v>
      </c>
      <c r="H119" s="82"/>
      <c r="I119" s="82"/>
      <c r="J119" s="82"/>
      <c r="K119" s="82"/>
      <c r="L119" s="82"/>
      <c r="M119" s="82"/>
      <c r="N119" s="82"/>
    </row>
    <row r="120" spans="1:14" ht="15" customHeight="1" x14ac:dyDescent="0.3">
      <c r="B120" s="44"/>
      <c r="C120" s="20"/>
      <c r="H120" s="82"/>
      <c r="I120" s="82"/>
      <c r="J120" s="82"/>
      <c r="K120" s="82"/>
      <c r="L120" s="82"/>
      <c r="M120" s="82"/>
      <c r="N120" s="82"/>
    </row>
    <row r="121" spans="1:14" ht="15" customHeight="1" x14ac:dyDescent="0.3">
      <c r="A121" s="81"/>
      <c r="B121" s="83" t="s">
        <v>208</v>
      </c>
      <c r="C121" s="306" t="str">
        <f>IF(I32=0,NA(),C118)</f>
        <v>2026F</v>
      </c>
      <c r="D121" s="306" t="str">
        <f>IF(J32=0,NA(),D118)</f>
        <v>2027F</v>
      </c>
      <c r="E121" s="306" t="str">
        <f>IF(K32=0,NA(),E118)</f>
        <v>2028F</v>
      </c>
      <c r="F121" s="306" t="str">
        <f>IF(L32=0,NA(),F118)</f>
        <v>2029F</v>
      </c>
      <c r="G121" s="306" t="str">
        <f>IF(M32=0,NA(),G118)</f>
        <v>2030F</v>
      </c>
      <c r="H121" s="82"/>
      <c r="I121" s="82"/>
      <c r="J121" s="82"/>
      <c r="K121" s="82"/>
      <c r="L121" s="82"/>
      <c r="M121" s="82"/>
      <c r="N121" s="82"/>
    </row>
    <row r="122" spans="1:14" ht="15" customHeight="1" x14ac:dyDescent="0.3">
      <c r="B122" s="44" t="s">
        <v>7</v>
      </c>
      <c r="C122" s="248">
        <f>IF(I32=0,NA(),I32)</f>
        <v>2205</v>
      </c>
      <c r="D122" s="248">
        <f>IF(J32=0,NA(),J32)</f>
        <v>2315.25</v>
      </c>
      <c r="E122" s="247">
        <f>IF(K32=0,NA(),K32)</f>
        <v>2431.0125000000003</v>
      </c>
      <c r="F122" s="247">
        <f>IF(L32=0,NA(),L32)</f>
        <v>2552.5631250000006</v>
      </c>
      <c r="G122" s="247">
        <f>IF(M32=0,NA(),M32)</f>
        <v>2680.1912812500009</v>
      </c>
      <c r="H122" s="82"/>
      <c r="I122" s="82"/>
      <c r="J122" s="82"/>
      <c r="K122" s="82"/>
      <c r="L122" s="82"/>
      <c r="M122" s="82"/>
      <c r="N122" s="82"/>
    </row>
    <row r="123" spans="1:14" ht="15" customHeight="1" x14ac:dyDescent="0.3">
      <c r="B123" s="44"/>
    </row>
    <row r="124" spans="1:14" ht="15" customHeight="1" x14ac:dyDescent="0.3">
      <c r="B124" s="44"/>
    </row>
    <row r="125" spans="1:14" ht="15" customHeight="1" x14ac:dyDescent="0.3">
      <c r="B125" s="44"/>
    </row>
    <row r="126" spans="1:14" ht="15" customHeight="1" x14ac:dyDescent="0.3"/>
    <row r="127" spans="1:14" ht="15" customHeight="1" x14ac:dyDescent="0.3"/>
    <row r="128" spans="1:14" ht="15" customHeight="1" x14ac:dyDescent="0.3"/>
    <row r="143" spans="1:14" ht="15" x14ac:dyDescent="0.35">
      <c r="A143" s="4"/>
      <c r="B143" s="30" t="s">
        <v>94</v>
      </c>
      <c r="C143" s="4"/>
      <c r="D143" s="4"/>
      <c r="E143" s="31"/>
      <c r="F143" s="31"/>
      <c r="G143" s="31"/>
      <c r="H143" s="31"/>
      <c r="I143" s="31"/>
      <c r="J143" s="31"/>
      <c r="K143" s="31"/>
      <c r="L143" s="31"/>
      <c r="M143" s="31"/>
      <c r="N143" s="31"/>
    </row>
    <row r="144" spans="1:14" ht="15" x14ac:dyDescent="0.35">
      <c r="A144" s="4"/>
      <c r="B144" s="30" t="s">
        <v>95</v>
      </c>
      <c r="C144" s="4"/>
      <c r="D144" s="4"/>
      <c r="E144" s="31"/>
      <c r="F144" s="31"/>
      <c r="G144" s="31"/>
      <c r="H144" s="31"/>
      <c r="I144" s="31"/>
      <c r="J144" s="31"/>
      <c r="K144" s="31"/>
      <c r="L144" s="31"/>
      <c r="M144" s="31"/>
      <c r="N144" s="31"/>
    </row>
    <row r="145" spans="1:14" ht="15" x14ac:dyDescent="0.35">
      <c r="A145" s="4"/>
      <c r="B145" s="30" t="s">
        <v>96</v>
      </c>
      <c r="C145" s="4"/>
      <c r="D145" s="4"/>
      <c r="E145" s="31"/>
      <c r="F145" s="31"/>
      <c r="G145" s="31"/>
      <c r="H145" s="31"/>
      <c r="I145" s="31"/>
      <c r="J145" s="31"/>
      <c r="K145" s="31"/>
      <c r="L145" s="31"/>
      <c r="M145" s="31"/>
      <c r="N145" s="3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32" orientation="landscape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118"/>
  <sheetViews>
    <sheetView showGridLines="0" zoomScale="79" zoomScaleNormal="100" workbookViewId="0">
      <selection activeCell="N20" sqref="N20"/>
    </sheetView>
  </sheetViews>
  <sheetFormatPr baseColWidth="10" defaultRowHeight="14.4" x14ac:dyDescent="0.3"/>
  <cols>
    <col min="1" max="1" width="1.77734375" customWidth="1"/>
    <col min="2" max="2" width="34.88671875" style="18" customWidth="1"/>
    <col min="3" max="3" width="11.6640625" customWidth="1"/>
    <col min="4" max="4" width="13.33203125" style="20" customWidth="1"/>
    <col min="5" max="6" width="14.44140625" style="20" customWidth="1"/>
    <col min="7" max="11" width="12" style="20" customWidth="1"/>
    <col min="12" max="12" width="16.88671875" style="20" customWidth="1"/>
    <col min="13" max="14" width="11.5546875" style="20" customWidth="1"/>
  </cols>
  <sheetData>
    <row r="1" spans="1:15" ht="54.9" customHeight="1" x14ac:dyDescent="0.6">
      <c r="A1" s="5"/>
      <c r="B1" s="96" t="s">
        <v>97</v>
      </c>
      <c r="C1" s="5"/>
      <c r="D1" s="27"/>
      <c r="E1" s="27"/>
      <c r="F1" s="27"/>
      <c r="G1" s="27"/>
      <c r="H1" s="27"/>
      <c r="I1" s="27"/>
      <c r="J1" s="27"/>
      <c r="K1" s="95" t="s">
        <v>209</v>
      </c>
      <c r="L1" s="27"/>
      <c r="M1" s="203"/>
      <c r="N1" s="203"/>
      <c r="O1" s="203"/>
    </row>
    <row r="2" spans="1:15" ht="15" customHeight="1" x14ac:dyDescent="0.35">
      <c r="A2" s="3"/>
      <c r="B2" s="13"/>
      <c r="C2" s="3"/>
      <c r="D2" s="21"/>
      <c r="E2" s="21"/>
      <c r="F2" s="21"/>
      <c r="G2" s="21"/>
      <c r="H2" s="21"/>
      <c r="I2" s="21"/>
      <c r="J2" s="21"/>
      <c r="K2" s="21"/>
      <c r="L2" s="21"/>
    </row>
    <row r="3" spans="1:15" ht="18" customHeight="1" x14ac:dyDescent="0.5">
      <c r="A3" s="22"/>
      <c r="B3" s="14" t="s">
        <v>210</v>
      </c>
      <c r="C3" s="7"/>
      <c r="D3" s="22"/>
      <c r="E3" s="22"/>
      <c r="F3" s="22"/>
      <c r="G3" s="22"/>
      <c r="H3" s="22"/>
      <c r="I3" s="22"/>
      <c r="J3" s="22"/>
      <c r="K3" s="22"/>
      <c r="L3" s="22"/>
      <c r="M3" s="87"/>
      <c r="N3" s="87"/>
    </row>
    <row r="4" spans="1:15" ht="15" customHeight="1" x14ac:dyDescent="0.35">
      <c r="A4" s="3"/>
      <c r="B4" s="11" t="s">
        <v>1</v>
      </c>
      <c r="C4" s="3"/>
      <c r="D4" s="21"/>
      <c r="E4" s="21"/>
      <c r="F4" s="21"/>
      <c r="G4" s="21"/>
      <c r="H4" s="21"/>
      <c r="I4" s="21"/>
      <c r="J4" s="21"/>
      <c r="K4" s="21"/>
      <c r="L4" s="21"/>
    </row>
    <row r="5" spans="1:15" ht="15" customHeight="1" x14ac:dyDescent="0.35">
      <c r="A5" s="3"/>
      <c r="B5" s="13"/>
      <c r="C5" s="3"/>
      <c r="D5" s="21"/>
      <c r="E5" s="21"/>
      <c r="F5" s="21"/>
      <c r="G5" s="21"/>
      <c r="H5" s="21"/>
      <c r="I5" s="21"/>
      <c r="J5" s="21"/>
      <c r="K5" s="21"/>
      <c r="L5" s="21"/>
    </row>
    <row r="6" spans="1:15" ht="18" customHeight="1" x14ac:dyDescent="0.5">
      <c r="A6" s="7"/>
      <c r="B6" s="14" t="s">
        <v>211</v>
      </c>
      <c r="C6" s="7"/>
      <c r="D6" s="22"/>
      <c r="E6" s="22"/>
      <c r="F6" s="22"/>
      <c r="G6" s="22"/>
      <c r="H6" s="22"/>
      <c r="I6" s="22"/>
      <c r="J6" s="22"/>
      <c r="K6" s="22"/>
      <c r="L6" s="22"/>
      <c r="M6" s="87"/>
      <c r="N6" s="87"/>
    </row>
    <row r="7" spans="1:15" ht="15" customHeight="1" x14ac:dyDescent="0.35">
      <c r="A7" s="1"/>
      <c r="B7" s="15"/>
      <c r="C7" s="1"/>
      <c r="D7" s="32" t="s">
        <v>212</v>
      </c>
      <c r="E7" s="32" t="s">
        <v>213</v>
      </c>
      <c r="F7" s="32" t="s">
        <v>214</v>
      </c>
      <c r="G7" s="32" t="s">
        <v>215</v>
      </c>
      <c r="H7" s="32" t="s">
        <v>419</v>
      </c>
      <c r="I7" s="32" t="s">
        <v>420</v>
      </c>
      <c r="J7" s="32" t="s">
        <v>216</v>
      </c>
      <c r="K7" s="32" t="s">
        <v>217</v>
      </c>
      <c r="L7" s="196"/>
    </row>
    <row r="8" spans="1:15" ht="15" customHeight="1" x14ac:dyDescent="0.35">
      <c r="A8" s="202"/>
      <c r="B8" s="26" t="s">
        <v>218</v>
      </c>
      <c r="C8" s="8" t="s">
        <v>219</v>
      </c>
      <c r="D8" s="29" t="s">
        <v>220</v>
      </c>
      <c r="E8" s="29" t="s">
        <v>8</v>
      </c>
      <c r="F8" s="29" t="s">
        <v>8</v>
      </c>
      <c r="G8" s="29" t="s">
        <v>67</v>
      </c>
      <c r="H8" s="29" t="s">
        <v>67</v>
      </c>
      <c r="I8" s="29" t="s">
        <v>69</v>
      </c>
      <c r="J8" s="29" t="s">
        <v>220</v>
      </c>
      <c r="K8" s="29" t="s">
        <v>67</v>
      </c>
    </row>
    <row r="9" spans="1:15" ht="15" customHeight="1" x14ac:dyDescent="0.35">
      <c r="A9" s="3"/>
      <c r="B9" s="36" t="s">
        <v>421</v>
      </c>
      <c r="C9" s="8" t="s">
        <v>422</v>
      </c>
      <c r="D9" s="355">
        <v>78.5</v>
      </c>
      <c r="E9" s="356">
        <v>158200</v>
      </c>
      <c r="F9" s="356">
        <v>24500</v>
      </c>
      <c r="G9" s="399">
        <v>15.2</v>
      </c>
      <c r="H9" s="296">
        <v>1.1000000000000001</v>
      </c>
      <c r="I9" s="294">
        <v>2.8000000000000001E-2</v>
      </c>
      <c r="J9" s="355">
        <v>3.34</v>
      </c>
      <c r="K9" s="296">
        <v>23.5</v>
      </c>
    </row>
    <row r="10" spans="1:15" ht="15" customHeight="1" x14ac:dyDescent="0.35">
      <c r="A10" s="3"/>
      <c r="B10" s="36" t="s">
        <v>423</v>
      </c>
      <c r="C10" s="8" t="s">
        <v>424</v>
      </c>
      <c r="D10" s="355">
        <v>112.3</v>
      </c>
      <c r="E10" s="356">
        <v>88000</v>
      </c>
      <c r="F10" s="356">
        <v>16200</v>
      </c>
      <c r="G10" s="399">
        <v>13.8</v>
      </c>
      <c r="H10" s="296">
        <v>1.05</v>
      </c>
      <c r="I10" s="294">
        <v>3.4000000000000002E-2</v>
      </c>
      <c r="J10" s="355">
        <v>5.44</v>
      </c>
      <c r="K10" s="296">
        <v>20.6</v>
      </c>
    </row>
    <row r="11" spans="1:15" ht="15" customHeight="1" x14ac:dyDescent="0.35">
      <c r="A11" s="3"/>
      <c r="B11" s="36" t="s">
        <v>425</v>
      </c>
      <c r="C11" s="8" t="s">
        <v>426</v>
      </c>
      <c r="D11" s="355">
        <v>88.7</v>
      </c>
      <c r="E11" s="356">
        <v>104300</v>
      </c>
      <c r="F11" s="356">
        <v>25100</v>
      </c>
      <c r="G11" s="399">
        <v>14.1</v>
      </c>
      <c r="H11" s="296">
        <v>1</v>
      </c>
      <c r="I11" s="294">
        <v>3.2000000000000001E-2</v>
      </c>
      <c r="J11" s="355">
        <v>4.12</v>
      </c>
      <c r="K11" s="296">
        <v>21.5</v>
      </c>
    </row>
    <row r="12" spans="1:15" ht="15" customHeight="1" x14ac:dyDescent="0.35">
      <c r="A12" s="3"/>
      <c r="B12" s="36" t="s">
        <v>427</v>
      </c>
      <c r="C12" s="8" t="s">
        <v>428</v>
      </c>
      <c r="D12" s="355">
        <v>18.399999999999999</v>
      </c>
      <c r="E12" s="356">
        <v>56200</v>
      </c>
      <c r="F12" s="356">
        <v>15800</v>
      </c>
      <c r="G12" s="399">
        <v>10.4</v>
      </c>
      <c r="H12" s="296">
        <v>0.92</v>
      </c>
      <c r="I12" s="294">
        <v>4.7E-2</v>
      </c>
      <c r="J12" s="355">
        <v>2.25</v>
      </c>
      <c r="K12" s="296">
        <v>8.1999999999999993</v>
      </c>
    </row>
    <row r="13" spans="1:15" ht="15" customHeight="1" x14ac:dyDescent="0.35">
      <c r="A13" s="3"/>
      <c r="B13" s="36" t="s">
        <v>429</v>
      </c>
      <c r="C13" s="8" t="s">
        <v>430</v>
      </c>
      <c r="D13" s="357">
        <v>96.8</v>
      </c>
      <c r="E13" s="358">
        <v>73400</v>
      </c>
      <c r="F13" s="358">
        <v>20100</v>
      </c>
      <c r="G13" s="400">
        <v>12.9</v>
      </c>
      <c r="H13" s="401">
        <v>0.98</v>
      </c>
      <c r="I13" s="402">
        <v>3.5999999999999997E-2</v>
      </c>
      <c r="J13" s="357">
        <v>5.58</v>
      </c>
      <c r="K13" s="401">
        <v>17.3</v>
      </c>
    </row>
    <row r="14" spans="1:15" ht="15" customHeight="1" x14ac:dyDescent="0.35">
      <c r="A14" s="3"/>
      <c r="B14" s="13"/>
      <c r="C14" s="8"/>
      <c r="D14" s="21"/>
      <c r="E14" s="21"/>
      <c r="F14" s="21"/>
      <c r="G14" s="21"/>
      <c r="H14" s="21"/>
      <c r="I14" s="21"/>
      <c r="J14" s="21"/>
      <c r="K14" s="21"/>
    </row>
    <row r="15" spans="1:15" ht="15" customHeight="1" x14ac:dyDescent="0.35">
      <c r="A15" s="3"/>
      <c r="B15" s="13" t="s">
        <v>221</v>
      </c>
      <c r="C15" s="8"/>
      <c r="D15" s="403">
        <f t="shared" ref="D15:K15" si="0">AVERAGE(D9:D13)</f>
        <v>78.94</v>
      </c>
      <c r="E15" s="212">
        <f t="shared" si="0"/>
        <v>96020</v>
      </c>
      <c r="F15" s="212">
        <f t="shared" si="0"/>
        <v>20340</v>
      </c>
      <c r="G15" s="404">
        <f t="shared" si="0"/>
        <v>13.280000000000001</v>
      </c>
      <c r="H15" s="404">
        <f t="shared" si="0"/>
        <v>1.0100000000000002</v>
      </c>
      <c r="I15" s="241">
        <f t="shared" si="0"/>
        <v>3.5400000000000001E-2</v>
      </c>
      <c r="J15" s="403">
        <f t="shared" si="0"/>
        <v>4.1460000000000008</v>
      </c>
      <c r="K15" s="404">
        <f t="shared" si="0"/>
        <v>18.22</v>
      </c>
    </row>
    <row r="16" spans="1:15" ht="15" customHeight="1" x14ac:dyDescent="0.35">
      <c r="A16" s="3"/>
      <c r="B16" s="13" t="s">
        <v>222</v>
      </c>
      <c r="C16" s="8"/>
      <c r="D16" s="403">
        <f t="shared" ref="D16:K16" si="1">MEDIAN(D9:D13)</f>
        <v>88.7</v>
      </c>
      <c r="E16" s="212">
        <f t="shared" si="1"/>
        <v>88000</v>
      </c>
      <c r="F16" s="212">
        <f t="shared" si="1"/>
        <v>20100</v>
      </c>
      <c r="G16" s="404">
        <f t="shared" si="1"/>
        <v>13.8</v>
      </c>
      <c r="H16" s="404">
        <f t="shared" si="1"/>
        <v>1</v>
      </c>
      <c r="I16" s="241">
        <f t="shared" si="1"/>
        <v>3.4000000000000002E-2</v>
      </c>
      <c r="J16" s="403">
        <f t="shared" si="1"/>
        <v>4.12</v>
      </c>
      <c r="K16" s="404">
        <f t="shared" si="1"/>
        <v>20.6</v>
      </c>
    </row>
    <row r="17" spans="1:14" ht="15" customHeight="1" x14ac:dyDescent="0.35">
      <c r="A17" s="3"/>
      <c r="B17" s="13" t="s">
        <v>223</v>
      </c>
      <c r="C17" s="8"/>
      <c r="D17" s="405">
        <f t="shared" ref="D17:K17" si="2">MAX(D9:D13)</f>
        <v>112.3</v>
      </c>
      <c r="E17" s="406">
        <f t="shared" si="2"/>
        <v>158200</v>
      </c>
      <c r="F17" s="406">
        <f t="shared" si="2"/>
        <v>25100</v>
      </c>
      <c r="G17" s="407">
        <f t="shared" si="2"/>
        <v>15.2</v>
      </c>
      <c r="H17" s="407">
        <f t="shared" si="2"/>
        <v>1.1000000000000001</v>
      </c>
      <c r="I17" s="408">
        <f t="shared" si="2"/>
        <v>4.7E-2</v>
      </c>
      <c r="J17" s="405">
        <f t="shared" si="2"/>
        <v>5.58</v>
      </c>
      <c r="K17" s="407">
        <f t="shared" si="2"/>
        <v>23.5</v>
      </c>
    </row>
    <row r="18" spans="1:14" ht="15" customHeight="1" thickBot="1" x14ac:dyDescent="0.4">
      <c r="A18" s="3"/>
      <c r="B18" s="13" t="s">
        <v>224</v>
      </c>
      <c r="C18" s="8"/>
      <c r="D18" s="409">
        <f t="shared" ref="D18:K18" si="3">MIN(D9:D13)</f>
        <v>18.399999999999999</v>
      </c>
      <c r="E18" s="410">
        <f t="shared" si="3"/>
        <v>56200</v>
      </c>
      <c r="F18" s="410">
        <f t="shared" si="3"/>
        <v>15800</v>
      </c>
      <c r="G18" s="411">
        <f t="shared" si="3"/>
        <v>10.4</v>
      </c>
      <c r="H18" s="411">
        <f t="shared" si="3"/>
        <v>0.92</v>
      </c>
      <c r="I18" s="412">
        <f t="shared" si="3"/>
        <v>2.8000000000000001E-2</v>
      </c>
      <c r="J18" s="409">
        <f t="shared" si="3"/>
        <v>2.25</v>
      </c>
      <c r="K18" s="411">
        <f t="shared" si="3"/>
        <v>8.1999999999999993</v>
      </c>
    </row>
    <row r="19" spans="1:14" ht="15" customHeight="1" x14ac:dyDescent="0.35">
      <c r="A19" s="3"/>
      <c r="B19" s="13"/>
      <c r="C19" s="8"/>
      <c r="D19" s="21"/>
      <c r="E19" s="21"/>
      <c r="F19" s="21"/>
      <c r="G19" s="21"/>
      <c r="H19" s="21"/>
      <c r="I19" s="21"/>
      <c r="J19" s="21"/>
      <c r="K19" s="21"/>
      <c r="L19" s="21"/>
    </row>
    <row r="20" spans="1:14" ht="18" customHeight="1" x14ac:dyDescent="0.5">
      <c r="A20" s="41"/>
      <c r="B20" s="46" t="s">
        <v>225</v>
      </c>
      <c r="C20" s="41"/>
      <c r="D20" s="22"/>
      <c r="E20" s="22"/>
      <c r="F20" s="22"/>
      <c r="G20" s="22"/>
      <c r="H20" s="22"/>
      <c r="I20" s="22"/>
      <c r="J20" s="22"/>
      <c r="K20" s="22"/>
      <c r="L20" s="22"/>
      <c r="M20" s="87"/>
      <c r="N20" s="87"/>
    </row>
    <row r="21" spans="1:14" ht="15" customHeight="1" x14ac:dyDescent="0.35">
      <c r="A21" s="1"/>
      <c r="B21" s="45" t="s">
        <v>226</v>
      </c>
      <c r="C21" s="9"/>
      <c r="D21" s="23" t="str">
        <f>INPUT!H5</f>
        <v>2025 (LTM)</v>
      </c>
      <c r="E21" s="23"/>
      <c r="F21" s="23"/>
      <c r="G21" s="23"/>
      <c r="H21" s="23"/>
      <c r="I21" s="23"/>
      <c r="J21" s="23"/>
      <c r="K21" s="23"/>
      <c r="L21" s="23"/>
      <c r="M21" s="196"/>
      <c r="N21" s="196"/>
    </row>
    <row r="22" spans="1:14" ht="15" customHeight="1" x14ac:dyDescent="0.35">
      <c r="A22" s="3"/>
      <c r="B22" s="16" t="s">
        <v>227</v>
      </c>
      <c r="C22" s="8" t="s">
        <v>8</v>
      </c>
      <c r="D22" s="250">
        <f>INPUT!H9/1000</f>
        <v>2.1</v>
      </c>
      <c r="E22" s="21"/>
      <c r="F22" s="21"/>
      <c r="G22" s="21"/>
      <c r="H22" s="21"/>
      <c r="I22" s="21"/>
      <c r="J22" s="21"/>
      <c r="K22" s="21"/>
      <c r="L22" s="21"/>
    </row>
    <row r="23" spans="1:14" ht="15" customHeight="1" x14ac:dyDescent="0.35">
      <c r="A23" s="3"/>
      <c r="B23" s="16" t="s">
        <v>228</v>
      </c>
      <c r="C23" s="8" t="s">
        <v>8</v>
      </c>
      <c r="D23" s="250">
        <f>INPUT!H30/1000</f>
        <v>-82.04404000000001</v>
      </c>
      <c r="E23" s="21"/>
      <c r="F23" s="21"/>
      <c r="G23" s="21"/>
      <c r="H23" s="21"/>
      <c r="I23" s="21"/>
      <c r="J23" s="21"/>
      <c r="K23" s="21"/>
      <c r="L23" s="21"/>
    </row>
    <row r="24" spans="1:14" ht="15" customHeight="1" x14ac:dyDescent="0.35">
      <c r="A24" s="3"/>
      <c r="B24" s="16" t="s">
        <v>229</v>
      </c>
      <c r="C24" s="8" t="s">
        <v>61</v>
      </c>
      <c r="D24" s="251">
        <f>IFERROR(INPUT!H26/INPUT!H110,"–")</f>
        <v>-2077.0803108808291</v>
      </c>
      <c r="E24" s="21"/>
      <c r="F24" s="21"/>
      <c r="G24" s="21"/>
      <c r="H24" s="21"/>
      <c r="I24" s="21"/>
      <c r="J24" s="21"/>
      <c r="K24" s="21"/>
      <c r="L24" s="21"/>
    </row>
    <row r="25" spans="1:14" ht="15" customHeight="1" x14ac:dyDescent="0.35">
      <c r="A25" s="3"/>
      <c r="B25" s="16" t="s">
        <v>230</v>
      </c>
      <c r="C25" s="8" t="s">
        <v>8</v>
      </c>
      <c r="D25" s="250">
        <f>IFERROR((INPUT!H54+INPUT!H55-INPUT!H34)/1000,"–")</f>
        <v>16.700900000000001</v>
      </c>
      <c r="E25" s="21"/>
      <c r="F25" s="21"/>
      <c r="G25" s="21"/>
      <c r="H25" s="21"/>
      <c r="I25" s="21"/>
      <c r="J25" s="21"/>
      <c r="K25" s="21"/>
      <c r="L25" s="21"/>
    </row>
    <row r="26" spans="1:14" ht="15" customHeight="1" x14ac:dyDescent="0.35">
      <c r="A26" s="3"/>
      <c r="B26" s="16" t="s">
        <v>231</v>
      </c>
      <c r="C26" s="8" t="s">
        <v>63</v>
      </c>
      <c r="D26" s="252">
        <f>INPUT!H110/1000</f>
        <v>4.2459999999999998E-2</v>
      </c>
      <c r="E26" s="21"/>
      <c r="F26" s="21"/>
      <c r="G26" s="21"/>
      <c r="H26" s="21"/>
      <c r="I26" s="21"/>
      <c r="J26" s="21"/>
      <c r="K26" s="21"/>
      <c r="L26" s="21"/>
    </row>
    <row r="27" spans="1:14" ht="15" customHeight="1" x14ac:dyDescent="0.35">
      <c r="A27" s="3"/>
      <c r="B27" s="13"/>
      <c r="C27" s="8"/>
      <c r="D27" s="21"/>
      <c r="E27" s="21"/>
      <c r="F27" s="21"/>
      <c r="G27" s="21"/>
      <c r="H27" s="21"/>
      <c r="I27" s="21"/>
      <c r="J27" s="21"/>
      <c r="K27" s="21"/>
      <c r="L27" s="21"/>
    </row>
    <row r="28" spans="1:14" ht="18" customHeight="1" x14ac:dyDescent="0.5">
      <c r="A28" s="41"/>
      <c r="B28" s="46" t="s">
        <v>232</v>
      </c>
      <c r="C28" s="41"/>
      <c r="D28" s="43"/>
      <c r="E28" s="43"/>
      <c r="F28" s="43"/>
      <c r="G28" s="43"/>
      <c r="H28" s="22"/>
      <c r="I28" s="22"/>
      <c r="J28" s="22"/>
      <c r="K28" s="22"/>
      <c r="L28" s="22"/>
      <c r="M28" s="87"/>
      <c r="N28" s="87"/>
    </row>
    <row r="29" spans="1:14" ht="15" customHeight="1" x14ac:dyDescent="0.35">
      <c r="A29" s="3"/>
      <c r="B29" s="16" t="s">
        <v>233</v>
      </c>
      <c r="C29" s="8"/>
      <c r="D29" s="253">
        <f>IFERROR(D23*H18,"–")</f>
        <v>-75.480516800000018</v>
      </c>
      <c r="E29" s="253">
        <f>IFERROR(D23*H15,"–")</f>
        <v>-82.864480400000033</v>
      </c>
      <c r="F29" s="253">
        <f>IFERROR(D23*H16,"–")</f>
        <v>-82.04404000000001</v>
      </c>
      <c r="G29" s="253">
        <f>IFERROR(D23*H17,"–")</f>
        <v>-90.248444000000021</v>
      </c>
      <c r="H29" s="21"/>
      <c r="I29" s="21"/>
      <c r="J29" s="21"/>
      <c r="K29" s="21"/>
      <c r="L29" s="21"/>
    </row>
    <row r="30" spans="1:14" ht="15" customHeight="1" x14ac:dyDescent="0.35">
      <c r="A30" s="3"/>
      <c r="B30" s="16" t="s">
        <v>431</v>
      </c>
      <c r="C30" s="8"/>
      <c r="D30" s="253">
        <f>IFERROR(D22*I18,"–")</f>
        <v>5.8800000000000005E-2</v>
      </c>
      <c r="E30" s="253">
        <f>IFERROR(D22*I15,"–")</f>
        <v>7.4340000000000003E-2</v>
      </c>
      <c r="F30" s="253">
        <f>IFERROR(D22*I16,"–")</f>
        <v>7.1400000000000005E-2</v>
      </c>
      <c r="G30" s="253">
        <f>IFERROR(D22*I17,"–")</f>
        <v>9.870000000000001E-2</v>
      </c>
      <c r="H30" s="21"/>
      <c r="I30" s="21"/>
      <c r="J30" s="21"/>
      <c r="K30" s="21"/>
      <c r="L30" s="21"/>
    </row>
    <row r="31" spans="1:14" ht="15" customHeight="1" x14ac:dyDescent="0.35">
      <c r="A31" s="3"/>
      <c r="B31" s="16" t="s">
        <v>432</v>
      </c>
      <c r="C31" s="8"/>
      <c r="D31" s="253">
        <f>IFERROR(D24*K18*D26,"–")</f>
        <v>-723.18120599999997</v>
      </c>
      <c r="E31" s="253">
        <f>IFERROR(D24*K15*D26,"–")</f>
        <v>-1606.8733625999996</v>
      </c>
      <c r="F31" s="253">
        <f>IFERROR(D24*K16*D26,"–")</f>
        <v>-1816.7722980000001</v>
      </c>
      <c r="G31" s="253">
        <f>IFERROR(D24*K17*D26,"–")</f>
        <v>-2072.5315049999999</v>
      </c>
      <c r="H31" s="21"/>
      <c r="I31" s="21"/>
      <c r="J31" s="21"/>
      <c r="K31" s="21"/>
      <c r="L31" s="21"/>
    </row>
    <row r="32" spans="1:14" ht="15" customHeight="1" x14ac:dyDescent="0.35">
      <c r="A32" s="3"/>
      <c r="B32" s="16"/>
      <c r="C32" s="8"/>
      <c r="D32" s="53"/>
      <c r="E32" s="21"/>
      <c r="F32" s="21"/>
      <c r="G32" s="53"/>
      <c r="H32" s="21"/>
      <c r="I32" s="21"/>
      <c r="J32" s="21"/>
      <c r="K32" s="21"/>
      <c r="L32" s="21"/>
    </row>
    <row r="33" spans="1:14" ht="15" customHeight="1" x14ac:dyDescent="0.35">
      <c r="A33" s="3"/>
      <c r="B33" s="16" t="s">
        <v>234</v>
      </c>
      <c r="C33" s="8" t="s">
        <v>8</v>
      </c>
      <c r="D33" s="253">
        <f>IFERROR(AVERAGE(D29,D30),"–")</f>
        <v>-37.710858400000006</v>
      </c>
      <c r="E33" s="253">
        <f>IFERROR(AVERAGE(E29,E30),"–")</f>
        <v>-41.395070200000013</v>
      </c>
      <c r="F33" s="253">
        <f>IFERROR(AVERAGE(F29,F30),"–")</f>
        <v>-40.986320000000006</v>
      </c>
      <c r="G33" s="253">
        <f>IFERROR(AVERAGE(G29,G30),"–")</f>
        <v>-45.074872000000013</v>
      </c>
      <c r="H33" s="21"/>
      <c r="I33" s="21"/>
      <c r="J33" s="21"/>
      <c r="K33" s="21"/>
      <c r="L33" s="21"/>
    </row>
    <row r="34" spans="1:14" ht="15" customHeight="1" x14ac:dyDescent="0.35">
      <c r="A34" s="3"/>
      <c r="B34" s="16" t="s">
        <v>235</v>
      </c>
      <c r="C34" s="8" t="s">
        <v>8</v>
      </c>
      <c r="D34" s="253">
        <f>D25</f>
        <v>16.700900000000001</v>
      </c>
      <c r="E34" s="253">
        <f>D25</f>
        <v>16.700900000000001</v>
      </c>
      <c r="F34" s="253">
        <f>D25</f>
        <v>16.700900000000001</v>
      </c>
      <c r="G34" s="253">
        <f>D25</f>
        <v>16.700900000000001</v>
      </c>
      <c r="H34" s="21"/>
      <c r="I34" s="21"/>
      <c r="J34" s="21"/>
      <c r="K34" s="21"/>
      <c r="L34" s="21"/>
    </row>
    <row r="35" spans="1:14" ht="15" customHeight="1" x14ac:dyDescent="0.35">
      <c r="A35" s="3"/>
      <c r="B35" s="16" t="s">
        <v>433</v>
      </c>
      <c r="C35" s="8" t="s">
        <v>8</v>
      </c>
      <c r="D35" s="253">
        <f>IFERROR(D33-D34,"–")</f>
        <v>-54.411758400000011</v>
      </c>
      <c r="E35" s="253">
        <f>IFERROR(E33-E34,"–")</f>
        <v>-58.095970200000011</v>
      </c>
      <c r="F35" s="253">
        <f>IFERROR(F33-F34,"–")</f>
        <v>-57.687220000000011</v>
      </c>
      <c r="G35" s="253">
        <f>IFERROR(G33-G34,"–")</f>
        <v>-61.775772000000018</v>
      </c>
      <c r="H35" s="21"/>
      <c r="I35" s="21"/>
      <c r="J35" s="21"/>
      <c r="K35" s="21"/>
      <c r="L35" s="21"/>
    </row>
    <row r="36" spans="1:14" ht="15" customHeight="1" thickBot="1" x14ac:dyDescent="0.4">
      <c r="A36" s="3"/>
      <c r="B36" s="51" t="s">
        <v>205</v>
      </c>
      <c r="C36" s="10" t="s">
        <v>61</v>
      </c>
      <c r="D36" s="254">
        <f>IFERROR(D35/D26,"–")</f>
        <v>-1281.482769665568</v>
      </c>
      <c r="E36" s="254">
        <f>IFERROR(E35/D26,"–")</f>
        <v>-1368.2517710786626</v>
      </c>
      <c r="F36" s="254">
        <f>IFERROR(F35/D26,"–")</f>
        <v>-1358.6250588789453</v>
      </c>
      <c r="G36" s="254">
        <f>IFERROR(G35/D26,"–")</f>
        <v>-1454.9169100329727</v>
      </c>
      <c r="H36" s="275"/>
      <c r="I36" s="62"/>
      <c r="J36" s="62"/>
      <c r="K36" s="62"/>
      <c r="L36" s="62"/>
    </row>
    <row r="37" spans="1:14" ht="15" customHeight="1" x14ac:dyDescent="0.35">
      <c r="A37" s="3"/>
      <c r="B37" s="16" t="s">
        <v>237</v>
      </c>
      <c r="C37" s="8" t="s">
        <v>61</v>
      </c>
      <c r="D37" s="249">
        <f>INPUT!H109</f>
        <v>0.08</v>
      </c>
      <c r="E37" s="249">
        <f>INPUT!H109</f>
        <v>0.08</v>
      </c>
      <c r="F37" s="249">
        <f>INPUT!H109</f>
        <v>0.08</v>
      </c>
      <c r="G37" s="249">
        <f>INPUT!H109</f>
        <v>0.08</v>
      </c>
      <c r="H37" s="21"/>
      <c r="I37" s="21"/>
      <c r="J37" s="21"/>
      <c r="K37" s="21"/>
      <c r="L37" s="21"/>
    </row>
    <row r="38" spans="1:14" ht="15" customHeight="1" thickBot="1" x14ac:dyDescent="0.4">
      <c r="A38" s="3"/>
      <c r="B38" s="51" t="s">
        <v>238</v>
      </c>
      <c r="C38" s="10"/>
      <c r="D38" s="503">
        <f>IFERROR(D36/D37-1,"–")</f>
        <v>-16019.534620819599</v>
      </c>
      <c r="E38" s="503">
        <f>IFERROR(E36/D37-1,"–")</f>
        <v>-17104.147138483284</v>
      </c>
      <c r="F38" s="503">
        <f>IFERROR(F36/D37-1,"–")</f>
        <v>-16983.813235986818</v>
      </c>
      <c r="G38" s="503">
        <f>IFERROR(G36/D37-1,"–")</f>
        <v>-18187.46137541216</v>
      </c>
      <c r="H38" s="275"/>
      <c r="I38" s="62"/>
      <c r="J38" s="62"/>
      <c r="K38" s="62"/>
      <c r="L38" s="62"/>
    </row>
    <row r="39" spans="1:14" ht="15" customHeight="1" x14ac:dyDescent="0.35">
      <c r="A39" s="3"/>
      <c r="B39" s="51"/>
      <c r="C39" s="10"/>
      <c r="D39" s="502"/>
      <c r="E39" s="502"/>
      <c r="F39" s="502"/>
      <c r="G39" s="502"/>
      <c r="H39" s="275"/>
      <c r="I39" s="275"/>
      <c r="J39" s="275"/>
      <c r="K39" s="275"/>
      <c r="L39" s="275"/>
    </row>
    <row r="40" spans="1:14" ht="15" customHeight="1" x14ac:dyDescent="0.35">
      <c r="A40" s="3"/>
      <c r="B40" s="16"/>
      <c r="C40" s="8"/>
      <c r="D40" s="57"/>
      <c r="E40" s="35"/>
      <c r="F40" s="35"/>
      <c r="G40" s="57"/>
      <c r="H40" s="21"/>
      <c r="I40" s="21"/>
      <c r="J40" s="21"/>
      <c r="K40" s="21"/>
      <c r="L40" s="21"/>
    </row>
    <row r="41" spans="1:14" ht="15" customHeight="1" x14ac:dyDescent="0.35">
      <c r="A41" s="3"/>
      <c r="B41" s="17" t="s">
        <v>239</v>
      </c>
      <c r="C41" s="3"/>
      <c r="D41" s="21"/>
      <c r="E41" s="21"/>
      <c r="F41" s="21"/>
      <c r="G41" s="21"/>
      <c r="H41" s="21"/>
      <c r="I41" s="21"/>
      <c r="J41" s="21"/>
      <c r="K41" s="21"/>
      <c r="L41" s="21"/>
    </row>
    <row r="42" spans="1:14" ht="15" customHeight="1" x14ac:dyDescent="0.35">
      <c r="A42" s="3"/>
      <c r="B42" s="13"/>
      <c r="C42" s="3"/>
      <c r="D42" s="21"/>
      <c r="E42" s="21"/>
      <c r="F42" s="21"/>
      <c r="G42" s="21"/>
      <c r="H42" s="21"/>
      <c r="I42" s="21"/>
      <c r="J42" s="21"/>
      <c r="K42" s="21"/>
      <c r="L42" s="21"/>
    </row>
    <row r="43" spans="1:14" ht="15" customHeight="1" x14ac:dyDescent="0.3">
      <c r="B43" s="44"/>
    </row>
    <row r="44" spans="1:14" ht="15" customHeight="1" x14ac:dyDescent="0.3">
      <c r="A44" s="90"/>
      <c r="B44" s="85" t="s">
        <v>240</v>
      </c>
      <c r="C44" s="86" t="s">
        <v>241</v>
      </c>
      <c r="D44" s="86" t="s">
        <v>242</v>
      </c>
      <c r="E44" s="84" t="s">
        <v>243</v>
      </c>
      <c r="F44" s="84"/>
      <c r="G44" s="84"/>
      <c r="H44" s="84"/>
      <c r="I44" s="84"/>
      <c r="J44" s="84"/>
      <c r="K44" s="84"/>
      <c r="L44" s="84"/>
      <c r="M44" s="204"/>
      <c r="N44" s="204"/>
    </row>
    <row r="45" spans="1:14" ht="15" customHeight="1" x14ac:dyDescent="0.3">
      <c r="B45" s="504" t="s">
        <v>421</v>
      </c>
      <c r="C45" s="506">
        <f>G9</f>
        <v>15.2</v>
      </c>
      <c r="D45" s="506">
        <f>I9</f>
        <v>2.8000000000000001E-2</v>
      </c>
      <c r="E45" s="505">
        <f>K9</f>
        <v>23.5</v>
      </c>
    </row>
    <row r="46" spans="1:14" ht="15" customHeight="1" x14ac:dyDescent="0.3">
      <c r="B46" s="504" t="s">
        <v>423</v>
      </c>
      <c r="C46" s="500">
        <f>G10</f>
        <v>13.8</v>
      </c>
      <c r="D46" s="501">
        <f>I10</f>
        <v>3.4000000000000002E-2</v>
      </c>
      <c r="E46" s="505">
        <f>K10</f>
        <v>20.6</v>
      </c>
    </row>
    <row r="47" spans="1:14" ht="15" customHeight="1" x14ac:dyDescent="0.3">
      <c r="B47" s="504" t="s">
        <v>425</v>
      </c>
      <c r="C47" s="500">
        <f>G11</f>
        <v>14.1</v>
      </c>
      <c r="D47" s="501">
        <f>I11</f>
        <v>3.2000000000000001E-2</v>
      </c>
      <c r="E47" s="505">
        <f>K11</f>
        <v>21.5</v>
      </c>
    </row>
    <row r="48" spans="1:14" ht="15" customHeight="1" x14ac:dyDescent="0.3">
      <c r="B48" s="504" t="s">
        <v>427</v>
      </c>
      <c r="C48" s="500">
        <f>G12</f>
        <v>10.4</v>
      </c>
      <c r="D48" s="501">
        <f>I12</f>
        <v>4.7E-2</v>
      </c>
      <c r="E48" s="505">
        <f>K12</f>
        <v>8.1999999999999993</v>
      </c>
    </row>
    <row r="49" spans="2:12" ht="15" customHeight="1" x14ac:dyDescent="0.3">
      <c r="B49" s="504" t="s">
        <v>429</v>
      </c>
      <c r="C49" s="500">
        <f>G13</f>
        <v>12.9</v>
      </c>
      <c r="D49" s="501">
        <f>I13</f>
        <v>3.5999999999999997E-2</v>
      </c>
      <c r="E49" s="505">
        <f>K13</f>
        <v>17.3</v>
      </c>
    </row>
    <row r="50" spans="2:12" ht="15" customHeight="1" x14ac:dyDescent="0.3">
      <c r="B50" s="504" t="s">
        <v>221</v>
      </c>
      <c r="C50" s="500">
        <f>G15</f>
        <v>13.280000000000001</v>
      </c>
      <c r="D50" s="501">
        <f>I15</f>
        <v>3.5400000000000001E-2</v>
      </c>
      <c r="E50" s="505">
        <f>K15</f>
        <v>18.22</v>
      </c>
    </row>
    <row r="51" spans="2:12" ht="15" customHeight="1" x14ac:dyDescent="0.3">
      <c r="B51" s="280" t="s">
        <v>244</v>
      </c>
      <c r="H51" s="20" t="s">
        <v>245</v>
      </c>
      <c r="I51" s="20" t="s">
        <v>246</v>
      </c>
      <c r="J51" s="20" t="s">
        <v>247</v>
      </c>
      <c r="K51" s="20" t="s">
        <v>248</v>
      </c>
    </row>
    <row r="52" spans="2:12" ht="15" customHeight="1" x14ac:dyDescent="0.3">
      <c r="B52" s="83" t="s">
        <v>245</v>
      </c>
      <c r="C52" s="81" t="s">
        <v>246</v>
      </c>
      <c r="D52" s="84" t="s">
        <v>249</v>
      </c>
      <c r="E52" s="84" t="s">
        <v>247</v>
      </c>
      <c r="H52" s="20" t="s">
        <v>245</v>
      </c>
      <c r="I52" s="20" t="s">
        <v>246</v>
      </c>
      <c r="J52" s="20" t="s">
        <v>247</v>
      </c>
      <c r="K52" s="281" t="s">
        <v>248</v>
      </c>
    </row>
    <row r="53" spans="2:12" ht="15" customHeight="1" x14ac:dyDescent="0.3">
      <c r="B53" s="504" t="str">
        <f>B29</f>
        <v>EV / EBITDA — Implied EV ($M)</v>
      </c>
      <c r="C53" s="359">
        <f>IFERROR(D36,"–")</f>
        <v>-1281.482769665568</v>
      </c>
      <c r="D53" s="360">
        <f>IFERROR(F36,"–")</f>
        <v>-1358.6250588789453</v>
      </c>
      <c r="E53" s="360">
        <f>IFERROR(G36,"–")</f>
        <v>-1454.9169100329727</v>
      </c>
      <c r="F53" s="20" t="s">
        <v>516</v>
      </c>
      <c r="H53" s="20" t="s">
        <v>250</v>
      </c>
      <c r="I53" s="20">
        <f>IFERROR(D36,0)</f>
        <v>-1281.482769665568</v>
      </c>
      <c r="J53" s="20">
        <f>IFERROR(G36,0)</f>
        <v>-1454.9169100329727</v>
      </c>
      <c r="K53" s="281">
        <f>INPUT!H109</f>
        <v>0.08</v>
      </c>
    </row>
    <row r="54" spans="2:12" ht="15" customHeight="1" x14ac:dyDescent="0.3">
      <c r="B54" s="504" t="str">
        <f>B30</f>
        <v>P / RAB — Implied Equity Value ($M)</v>
      </c>
      <c r="C54" s="359">
        <f>IFERROR(D36,"–")</f>
        <v>-1281.482769665568</v>
      </c>
      <c r="D54" s="360">
        <f>IFERROR(F36,"–")</f>
        <v>-1358.6250588789453</v>
      </c>
      <c r="E54" s="360">
        <f>IFERROR(G36,"–")</f>
        <v>-1454.9169100329727</v>
      </c>
      <c r="F54" s="20" t="s">
        <v>251</v>
      </c>
      <c r="H54" s="20" t="s">
        <v>434</v>
      </c>
      <c r="I54" s="20">
        <f>IFERROR(D36,0)</f>
        <v>-1281.482769665568</v>
      </c>
      <c r="J54" s="20">
        <f>IFERROR(G36,0)</f>
        <v>-1454.9169100329727</v>
      </c>
      <c r="K54" s="281">
        <f>INPUT!H109</f>
        <v>0.08</v>
      </c>
    </row>
    <row r="55" spans="2:12" ht="15" customHeight="1" x14ac:dyDescent="0.3">
      <c r="B55" s="44"/>
      <c r="H55" s="20" t="s">
        <v>252</v>
      </c>
    </row>
    <row r="56" spans="2:12" ht="15" customHeight="1" x14ac:dyDescent="0.35">
      <c r="B56" s="30" t="s">
        <v>94</v>
      </c>
      <c r="C56" s="4"/>
      <c r="D56" s="31"/>
      <c r="E56" s="31"/>
      <c r="F56" s="31"/>
      <c r="G56" s="31"/>
      <c r="H56" s="31"/>
      <c r="I56" s="31"/>
      <c r="J56" s="31"/>
      <c r="K56" s="31"/>
      <c r="L56" s="31"/>
    </row>
    <row r="57" spans="2:12" ht="15" customHeight="1" x14ac:dyDescent="0.35">
      <c r="B57" s="30" t="s">
        <v>95</v>
      </c>
      <c r="C57" s="4"/>
      <c r="D57" s="31"/>
      <c r="E57" s="31"/>
      <c r="F57" s="31"/>
      <c r="G57" s="31"/>
      <c r="H57" s="31"/>
      <c r="I57" s="31"/>
      <c r="J57" s="31"/>
      <c r="K57" s="31"/>
      <c r="L57" s="31"/>
    </row>
    <row r="58" spans="2:12" ht="15" customHeight="1" x14ac:dyDescent="0.35">
      <c r="B58" s="30" t="s">
        <v>96</v>
      </c>
      <c r="C58" s="4"/>
      <c r="D58" s="31"/>
      <c r="E58" s="31"/>
      <c r="F58" s="31"/>
      <c r="G58" s="31"/>
      <c r="H58" s="31"/>
      <c r="I58" s="31"/>
      <c r="J58" s="31"/>
      <c r="K58" s="31"/>
      <c r="L58" s="31"/>
    </row>
    <row r="59" spans="2:12" ht="15" customHeight="1" x14ac:dyDescent="0.3">
      <c r="B59" s="44"/>
    </row>
    <row r="60" spans="2:12" ht="15" customHeight="1" x14ac:dyDescent="0.3">
      <c r="B60" s="44"/>
    </row>
    <row r="61" spans="2:12" ht="15" customHeight="1" x14ac:dyDescent="0.3">
      <c r="B61" s="44"/>
    </row>
    <row r="62" spans="2:12" ht="15" customHeight="1" x14ac:dyDescent="0.3">
      <c r="B62" s="44"/>
    </row>
    <row r="63" spans="2:12" ht="15" customHeight="1" x14ac:dyDescent="0.3">
      <c r="B63" s="44"/>
    </row>
    <row r="64" spans="2:12" ht="15" customHeight="1" x14ac:dyDescent="0.3">
      <c r="B64" s="44"/>
    </row>
    <row r="65" spans="2:2" ht="15" customHeight="1" x14ac:dyDescent="0.3">
      <c r="B65" s="44"/>
    </row>
    <row r="66" spans="2:2" ht="15" customHeight="1" x14ac:dyDescent="0.3">
      <c r="B66" s="44"/>
    </row>
    <row r="67" spans="2:2" ht="15" customHeight="1" x14ac:dyDescent="0.3">
      <c r="B67" s="44"/>
    </row>
    <row r="68" spans="2:2" ht="15" customHeight="1" x14ac:dyDescent="0.3">
      <c r="B68" s="44"/>
    </row>
    <row r="69" spans="2:2" ht="15" customHeight="1" x14ac:dyDescent="0.3">
      <c r="B69" s="44"/>
    </row>
    <row r="70" spans="2:2" ht="15" customHeight="1" x14ac:dyDescent="0.3">
      <c r="B70" s="44"/>
    </row>
    <row r="71" spans="2:2" ht="15" customHeight="1" x14ac:dyDescent="0.3">
      <c r="B71" s="44"/>
    </row>
    <row r="72" spans="2:2" ht="15" customHeight="1" x14ac:dyDescent="0.3">
      <c r="B72" s="44"/>
    </row>
    <row r="73" spans="2:2" ht="15" customHeight="1" x14ac:dyDescent="0.3">
      <c r="B73" s="44"/>
    </row>
    <row r="74" spans="2:2" ht="15" customHeight="1" x14ac:dyDescent="0.3">
      <c r="B74" s="44"/>
    </row>
    <row r="75" spans="2:2" ht="15" customHeight="1" x14ac:dyDescent="0.3">
      <c r="B75" s="44"/>
    </row>
    <row r="76" spans="2:2" ht="15" customHeight="1" x14ac:dyDescent="0.3">
      <c r="B76" s="44"/>
    </row>
    <row r="77" spans="2:2" ht="15" customHeight="1" x14ac:dyDescent="0.3">
      <c r="B77" s="44"/>
    </row>
    <row r="78" spans="2:2" ht="15" customHeight="1" x14ac:dyDescent="0.3">
      <c r="B78" s="44"/>
    </row>
    <row r="79" spans="2:2" ht="15" customHeight="1" x14ac:dyDescent="0.3">
      <c r="B79" s="44"/>
    </row>
    <row r="80" spans="2:2" ht="15" customHeight="1" x14ac:dyDescent="0.3">
      <c r="B80" s="44"/>
    </row>
    <row r="81" spans="2:2" ht="15" customHeight="1" x14ac:dyDescent="0.3">
      <c r="B81" s="44"/>
    </row>
    <row r="82" spans="2:2" ht="15" customHeight="1" x14ac:dyDescent="0.3">
      <c r="B82" s="44"/>
    </row>
    <row r="83" spans="2:2" ht="15" customHeight="1" x14ac:dyDescent="0.3">
      <c r="B83" s="44"/>
    </row>
    <row r="84" spans="2:2" ht="15" customHeight="1" x14ac:dyDescent="0.3">
      <c r="B84" s="44"/>
    </row>
    <row r="85" spans="2:2" ht="15" customHeight="1" x14ac:dyDescent="0.3">
      <c r="B85" s="44"/>
    </row>
    <row r="86" spans="2:2" ht="15" customHeight="1" x14ac:dyDescent="0.3">
      <c r="B86" s="44"/>
    </row>
    <row r="87" spans="2:2" ht="15" customHeight="1" x14ac:dyDescent="0.3">
      <c r="B87" s="44"/>
    </row>
    <row r="88" spans="2:2" ht="15" customHeight="1" x14ac:dyDescent="0.3">
      <c r="B88" s="44"/>
    </row>
    <row r="89" spans="2:2" ht="15" customHeight="1" x14ac:dyDescent="0.3">
      <c r="B89" s="44"/>
    </row>
    <row r="90" spans="2:2" ht="15" customHeight="1" x14ac:dyDescent="0.3">
      <c r="B90" s="44"/>
    </row>
    <row r="91" spans="2:2" ht="15" customHeight="1" x14ac:dyDescent="0.3">
      <c r="B91" s="44"/>
    </row>
    <row r="92" spans="2:2" ht="15" customHeight="1" x14ac:dyDescent="0.3">
      <c r="B92" s="44"/>
    </row>
    <row r="93" spans="2:2" ht="15" customHeight="1" x14ac:dyDescent="0.3">
      <c r="B93" s="44"/>
    </row>
    <row r="94" spans="2:2" ht="15" customHeight="1" x14ac:dyDescent="0.3">
      <c r="B94" s="44"/>
    </row>
    <row r="95" spans="2:2" ht="15" customHeight="1" x14ac:dyDescent="0.3">
      <c r="B95" s="44"/>
    </row>
    <row r="96" spans="2:2" ht="15" customHeight="1" x14ac:dyDescent="0.3">
      <c r="B96" s="44"/>
    </row>
    <row r="97" spans="2:2" ht="15" customHeight="1" x14ac:dyDescent="0.3">
      <c r="B97" s="44"/>
    </row>
    <row r="98" spans="2:2" ht="15" customHeight="1" x14ac:dyDescent="0.3">
      <c r="B98" s="44"/>
    </row>
    <row r="99" spans="2:2" ht="15" customHeight="1" x14ac:dyDescent="0.3">
      <c r="B99" s="44"/>
    </row>
    <row r="100" spans="2:2" ht="15" customHeight="1" x14ac:dyDescent="0.3">
      <c r="B100" s="44"/>
    </row>
    <row r="101" spans="2:2" ht="15" customHeight="1" x14ac:dyDescent="0.3">
      <c r="B101" s="44"/>
    </row>
    <row r="102" spans="2:2" ht="15" customHeight="1" x14ac:dyDescent="0.3">
      <c r="B102" s="44"/>
    </row>
    <row r="103" spans="2:2" ht="15" customHeight="1" x14ac:dyDescent="0.3">
      <c r="B103" s="44"/>
    </row>
    <row r="104" spans="2:2" ht="15" customHeight="1" x14ac:dyDescent="0.3">
      <c r="B104" s="44"/>
    </row>
    <row r="105" spans="2:2" ht="15" customHeight="1" x14ac:dyDescent="0.3">
      <c r="B105" s="44"/>
    </row>
    <row r="106" spans="2:2" ht="15" customHeight="1" x14ac:dyDescent="0.3">
      <c r="B106" s="44"/>
    </row>
    <row r="107" spans="2:2" ht="15" customHeight="1" x14ac:dyDescent="0.3">
      <c r="B107" s="44"/>
    </row>
    <row r="108" spans="2:2" ht="15" customHeight="1" x14ac:dyDescent="0.3">
      <c r="B108" s="44"/>
    </row>
    <row r="109" spans="2:2" ht="15" customHeight="1" x14ac:dyDescent="0.3">
      <c r="B109" s="44"/>
    </row>
    <row r="110" spans="2:2" ht="15" customHeight="1" x14ac:dyDescent="0.3">
      <c r="B110" s="44"/>
    </row>
    <row r="111" spans="2:2" ht="15" customHeight="1" x14ac:dyDescent="0.3">
      <c r="B111" s="44"/>
    </row>
    <row r="112" spans="2:2" ht="15" customHeight="1" x14ac:dyDescent="0.3">
      <c r="B112" s="44"/>
    </row>
    <row r="113" spans="2:2" ht="15" customHeight="1" x14ac:dyDescent="0.3">
      <c r="B113" s="44"/>
    </row>
    <row r="114" spans="2:2" ht="15" customHeight="1" x14ac:dyDescent="0.3">
      <c r="B114" s="44"/>
    </row>
    <row r="115" spans="2:2" ht="15" customHeight="1" x14ac:dyDescent="0.3">
      <c r="B115" s="44"/>
    </row>
    <row r="116" spans="2:2" ht="15" customHeight="1" x14ac:dyDescent="0.3">
      <c r="B116" s="44"/>
    </row>
    <row r="117" spans="2:2" ht="15" customHeight="1" x14ac:dyDescent="0.3">
      <c r="B117" s="44"/>
    </row>
    <row r="118" spans="2:2" ht="15" customHeight="1" x14ac:dyDescent="0.3">
      <c r="B118" s="44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129"/>
  <sheetViews>
    <sheetView showGridLines="0" zoomScale="85" zoomScaleNormal="85" workbookViewId="0">
      <selection activeCell="A7" sqref="A7"/>
    </sheetView>
  </sheetViews>
  <sheetFormatPr baseColWidth="10" defaultRowHeight="14.4" x14ac:dyDescent="0.3"/>
  <cols>
    <col min="1" max="1" width="1.77734375" style="369" customWidth="1"/>
    <col min="2" max="2" width="51" style="18" bestFit="1" customWidth="1"/>
    <col min="3" max="3" width="15.6640625" customWidth="1"/>
    <col min="4" max="5" width="13.33203125" style="20" customWidth="1"/>
    <col min="6" max="6" width="13.88671875" style="20" bestFit="1" customWidth="1"/>
    <col min="7" max="7" width="14.44140625" style="20" bestFit="1" customWidth="1"/>
    <col min="8" max="9" width="13.33203125" style="20" customWidth="1"/>
    <col min="10" max="12" width="11" style="20" customWidth="1"/>
    <col min="13" max="13" width="12.6640625" style="20" bestFit="1" customWidth="1"/>
    <col min="14" max="14" width="11.44140625" style="89" customWidth="1"/>
  </cols>
  <sheetData>
    <row r="1" spans="1:14" ht="54.9" customHeight="1" x14ac:dyDescent="0.6">
      <c r="A1" s="96"/>
      <c r="B1" s="96" t="s">
        <v>97</v>
      </c>
      <c r="C1" s="5"/>
      <c r="D1" s="27"/>
      <c r="E1" s="27"/>
      <c r="F1" s="27"/>
      <c r="G1" s="27"/>
      <c r="H1" s="95" t="s">
        <v>253</v>
      </c>
      <c r="I1" s="27"/>
      <c r="J1" s="27"/>
      <c r="K1" s="27"/>
      <c r="L1" s="27"/>
      <c r="M1" s="27"/>
      <c r="N1" s="88"/>
    </row>
    <row r="2" spans="1:14" ht="15" customHeight="1" x14ac:dyDescent="0.35">
      <c r="A2" s="366"/>
      <c r="B2" s="13"/>
      <c r="C2" s="3"/>
      <c r="D2" s="21"/>
      <c r="E2" s="21"/>
      <c r="F2" s="21"/>
      <c r="G2" s="21"/>
      <c r="H2" s="21"/>
      <c r="I2" s="21"/>
      <c r="K2" s="21"/>
      <c r="L2" s="21"/>
      <c r="M2" s="21"/>
    </row>
    <row r="3" spans="1:14" ht="18" customHeight="1" x14ac:dyDescent="0.5">
      <c r="A3" s="7"/>
      <c r="B3" s="14" t="s">
        <v>254</v>
      </c>
      <c r="C3" s="7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1:14" ht="15" customHeight="1" x14ac:dyDescent="0.35">
      <c r="A4" s="366"/>
      <c r="B4" s="11" t="s">
        <v>255</v>
      </c>
      <c r="C4" s="3"/>
      <c r="D4" s="21"/>
      <c r="E4" s="21"/>
      <c r="F4" s="21"/>
      <c r="G4" s="21"/>
      <c r="H4" s="21"/>
      <c r="I4" s="21"/>
      <c r="K4" s="21"/>
      <c r="L4" s="21"/>
      <c r="M4" s="21"/>
    </row>
    <row r="5" spans="1:14" ht="15" customHeight="1" x14ac:dyDescent="0.35">
      <c r="A5" s="15"/>
      <c r="B5" s="15" t="s">
        <v>2</v>
      </c>
      <c r="C5" s="15"/>
      <c r="D5" s="323"/>
      <c r="E5" s="15" t="str">
        <f>TEXT(INPUT!D131-3,"0")</f>
        <v>2022</v>
      </c>
      <c r="F5" s="15" t="str">
        <f>TEXT(INPUT!D131-2,"0")</f>
        <v>2023</v>
      </c>
      <c r="G5" s="15" t="str">
        <f>TEXT(INPUT!D131-1,"0")</f>
        <v>2024</v>
      </c>
      <c r="H5" s="15" t="str">
        <f>INPUT!D131&amp;" (LTM)"</f>
        <v>2025 (LTM)</v>
      </c>
      <c r="I5" s="15" t="str">
        <f>TEXT(INPUT!D131+1,"0")&amp;"F"</f>
        <v>2026F</v>
      </c>
      <c r="J5" s="15" t="str">
        <f>TEXT(INPUT!D131+2,"0")&amp;"F"</f>
        <v>2027F</v>
      </c>
      <c r="K5" s="15" t="str">
        <f>TEXT(INPUT!D131+3,"0")&amp;"F"</f>
        <v>2028F</v>
      </c>
      <c r="L5" s="15" t="str">
        <f>TEXT(INPUT!D131+4,"0")&amp;"F"</f>
        <v>2029F</v>
      </c>
      <c r="M5" s="15" t="str">
        <f>TEXT(INPUT!D131+5,"0")&amp;"F"</f>
        <v>2030F</v>
      </c>
    </row>
    <row r="6" spans="1:14" ht="15" customHeight="1" x14ac:dyDescent="0.35">
      <c r="A6" s="15"/>
      <c r="B6" s="15" t="s">
        <v>256</v>
      </c>
      <c r="C6" s="73"/>
      <c r="D6" s="513" t="s">
        <v>202</v>
      </c>
      <c r="E6" s="75"/>
      <c r="F6" s="74"/>
      <c r="G6" s="75"/>
      <c r="H6" s="74"/>
      <c r="I6" s="74"/>
      <c r="J6" s="74"/>
      <c r="K6" s="74"/>
      <c r="L6" s="74"/>
      <c r="M6" s="74"/>
    </row>
    <row r="7" spans="1:14" ht="18" customHeight="1" x14ac:dyDescent="0.5">
      <c r="A7" s="7"/>
      <c r="B7" s="14" t="s">
        <v>257</v>
      </c>
      <c r="C7" s="7"/>
      <c r="D7" s="22"/>
      <c r="E7" s="22"/>
      <c r="F7" s="22"/>
      <c r="G7" s="22"/>
      <c r="H7" s="22"/>
      <c r="I7" s="22"/>
      <c r="J7" s="22"/>
      <c r="K7" s="22"/>
      <c r="L7" s="22"/>
      <c r="M7" s="22"/>
    </row>
    <row r="8" spans="1:14" ht="15" customHeight="1" x14ac:dyDescent="0.35">
      <c r="A8" s="15"/>
      <c r="B8" s="15" t="s">
        <v>258</v>
      </c>
      <c r="C8" s="15"/>
      <c r="D8" s="15" t="s">
        <v>201</v>
      </c>
      <c r="E8" s="72" t="s">
        <v>202</v>
      </c>
      <c r="F8" s="72" t="s">
        <v>203</v>
      </c>
      <c r="G8" s="23"/>
      <c r="H8" s="23"/>
      <c r="I8" s="23"/>
      <c r="J8" s="23"/>
      <c r="K8" s="23"/>
      <c r="L8" s="23"/>
      <c r="M8" s="23"/>
    </row>
    <row r="9" spans="1:14" ht="15" customHeight="1" x14ac:dyDescent="0.35">
      <c r="A9" s="366"/>
      <c r="B9" s="413" t="s">
        <v>435</v>
      </c>
      <c r="C9" s="189"/>
      <c r="D9" s="240">
        <v>0.03</v>
      </c>
      <c r="E9" s="240">
        <v>0.05</v>
      </c>
      <c r="F9" s="240">
        <v>0.08</v>
      </c>
      <c r="G9" s="199"/>
      <c r="H9" s="198"/>
      <c r="I9" s="200"/>
      <c r="J9" s="201"/>
      <c r="K9" s="201"/>
      <c r="L9" s="201"/>
      <c r="M9" s="201"/>
    </row>
    <row r="10" spans="1:14" ht="15" customHeight="1" x14ac:dyDescent="0.35">
      <c r="A10" s="366"/>
      <c r="B10" s="413" t="s">
        <v>436</v>
      </c>
      <c r="C10" s="189"/>
      <c r="D10" s="240">
        <v>0.09</v>
      </c>
      <c r="E10" s="240">
        <v>9.5000000000000001E-2</v>
      </c>
      <c r="F10" s="240">
        <v>0.1</v>
      </c>
      <c r="G10" s="198"/>
      <c r="H10" s="198"/>
      <c r="I10" s="200"/>
      <c r="J10" s="201"/>
      <c r="K10" s="201"/>
      <c r="L10" s="201"/>
      <c r="M10" s="201"/>
    </row>
    <row r="11" spans="1:14" ht="15" customHeight="1" x14ac:dyDescent="0.35">
      <c r="A11" s="366"/>
      <c r="B11" s="413" t="s">
        <v>437</v>
      </c>
      <c r="C11" s="189"/>
      <c r="D11" s="240">
        <v>0.22</v>
      </c>
      <c r="E11" s="240">
        <v>0.28000000000000003</v>
      </c>
      <c r="F11" s="240">
        <v>0.34</v>
      </c>
      <c r="G11" s="198"/>
      <c r="H11" s="198"/>
      <c r="I11" s="200"/>
      <c r="J11" s="201"/>
      <c r="K11" s="201"/>
      <c r="L11" s="201"/>
      <c r="M11" s="201"/>
    </row>
    <row r="12" spans="1:14" ht="15" customHeight="1" x14ac:dyDescent="0.35">
      <c r="A12" s="366"/>
      <c r="B12" s="413" t="s">
        <v>78</v>
      </c>
      <c r="C12" s="189"/>
      <c r="D12" s="240">
        <v>1.4999999999999999E-2</v>
      </c>
      <c r="E12" s="240">
        <v>0.02</v>
      </c>
      <c r="F12" s="240">
        <v>2.5000000000000001E-2</v>
      </c>
      <c r="G12" s="198"/>
      <c r="H12" s="198"/>
      <c r="I12" s="200"/>
      <c r="J12" s="201"/>
      <c r="K12" s="201"/>
      <c r="L12" s="201"/>
      <c r="M12" s="201"/>
    </row>
    <row r="13" spans="1:14" ht="15" customHeight="1" x14ac:dyDescent="0.35">
      <c r="A13" s="366"/>
      <c r="B13" s="413" t="s">
        <v>77</v>
      </c>
      <c r="C13" s="189"/>
      <c r="D13" s="240">
        <v>6.5000000000000002E-2</v>
      </c>
      <c r="E13" s="240">
        <v>0.06</v>
      </c>
      <c r="F13" s="240">
        <v>5.5E-2</v>
      </c>
      <c r="G13" s="198"/>
      <c r="H13" s="198"/>
      <c r="I13" s="200"/>
      <c r="J13" s="201"/>
      <c r="K13" s="201"/>
      <c r="L13" s="201"/>
      <c r="M13" s="201"/>
    </row>
    <row r="14" spans="1:14" ht="15" customHeight="1" x14ac:dyDescent="0.35">
      <c r="A14" s="74"/>
      <c r="B14" s="414" t="s">
        <v>438</v>
      </c>
      <c r="C14" s="73"/>
      <c r="D14" s="415" t="s">
        <v>368</v>
      </c>
      <c r="E14" s="74"/>
      <c r="F14" s="74"/>
      <c r="G14" s="74"/>
      <c r="H14" s="74"/>
      <c r="I14" s="74"/>
      <c r="J14" s="74"/>
      <c r="K14" s="74"/>
      <c r="L14" s="74"/>
      <c r="M14" s="74"/>
    </row>
    <row r="15" spans="1:14" ht="18" customHeight="1" x14ac:dyDescent="0.5">
      <c r="A15" s="7"/>
      <c r="B15" s="14" t="s">
        <v>260</v>
      </c>
      <c r="C15" s="7"/>
      <c r="D15" s="22"/>
      <c r="E15" s="22"/>
      <c r="F15" s="22"/>
      <c r="G15" s="22"/>
      <c r="H15" s="22"/>
      <c r="I15" s="22"/>
      <c r="J15" s="22"/>
      <c r="K15" s="22"/>
      <c r="L15" s="22"/>
      <c r="M15" s="22"/>
    </row>
    <row r="16" spans="1:14" ht="15" customHeight="1" x14ac:dyDescent="0.35">
      <c r="A16" s="190"/>
      <c r="B16" s="79" t="s">
        <v>2</v>
      </c>
      <c r="C16" s="190" t="s">
        <v>165</v>
      </c>
      <c r="D16" s="307" t="str">
        <f>TEXT(INPUT!D131-3,"0")</f>
        <v>2022</v>
      </c>
      <c r="E16" s="307" t="str">
        <f>TEXT(INPUT!D131-2,"0")</f>
        <v>2023</v>
      </c>
      <c r="F16" s="307" t="str">
        <f>TEXT(INPUT!D131-1,"0")</f>
        <v>2024</v>
      </c>
      <c r="G16" s="15" t="str">
        <f>INPUT!D131&amp;" (LTM)"</f>
        <v>2025 (LTM)</v>
      </c>
      <c r="H16" s="190" t="str">
        <f>TEXT(INPUT!D131+1,"0")&amp;"F"</f>
        <v>2026F</v>
      </c>
      <c r="I16" s="190" t="str">
        <f>TEXT(INPUT!D131+2,"0")&amp;"F"</f>
        <v>2027F</v>
      </c>
      <c r="J16" s="190" t="str">
        <f>TEXT(INPUT!D131+3,"0")&amp;"F"</f>
        <v>2028F</v>
      </c>
      <c r="K16" s="190" t="str">
        <f>TEXT(INPUT!D131+4,"0")&amp;"F"</f>
        <v>2029F</v>
      </c>
      <c r="L16" s="190" t="str">
        <f>TEXT(INPUT!D131+5,"0")&amp;"F"</f>
        <v>2030F</v>
      </c>
      <c r="M16" s="74"/>
    </row>
    <row r="17" spans="1:13" ht="15" customHeight="1" x14ac:dyDescent="0.35">
      <c r="A17" s="366"/>
      <c r="B17" s="67" t="s">
        <v>7</v>
      </c>
      <c r="C17" s="322">
        <v>0</v>
      </c>
      <c r="D17" s="208">
        <f>INPUT!E9</f>
        <v>1200</v>
      </c>
      <c r="E17" s="208">
        <f>INPUT!F9</f>
        <v>1500</v>
      </c>
      <c r="F17" s="208">
        <f>INPUT!G9</f>
        <v>1800</v>
      </c>
      <c r="G17" s="208">
        <f>INPUT!H9</f>
        <v>2100</v>
      </c>
      <c r="H17" s="309">
        <f>INPUT!H9*(1+IF($D$6="Pessimistic",$D$9,IF($D$6="Realistic",$E$9,$F$9)))</f>
        <v>2205</v>
      </c>
      <c r="I17" s="309">
        <f>H17*(1+IF($D$6="Pessimistic",$D$9,IF($D$6="Realistic",$E$9,$F$9)))</f>
        <v>2315.25</v>
      </c>
      <c r="J17" s="309">
        <f>I17*(1+IF($D$6="Pessimistic",$D$9,IF($D$6="Realistic",$E$9,$F$9)))</f>
        <v>2431.0125000000003</v>
      </c>
      <c r="K17" s="309">
        <f>J17*(1+IF($D$6="Pessimistic",$D$9,IF($D$6="Realistic",$E$9,$F$9)))</f>
        <v>2552.5631250000006</v>
      </c>
      <c r="L17" s="309">
        <f>K17*(1+IF($D$6="Pessimistic",$D$9,IF($D$6="Realistic",$E$9,$F$9)))</f>
        <v>2680.1912812500009</v>
      </c>
      <c r="M17" s="89"/>
    </row>
    <row r="18" spans="1:13" ht="15" customHeight="1" x14ac:dyDescent="0.35">
      <c r="A18" s="366"/>
      <c r="B18" s="63" t="s">
        <v>10</v>
      </c>
      <c r="C18" s="322">
        <v>0</v>
      </c>
      <c r="D18" s="208">
        <f>INPUT!E11</f>
        <v>-59409</v>
      </c>
      <c r="E18" s="208">
        <f>INPUT!F11</f>
        <v>-77613</v>
      </c>
      <c r="F18" s="208">
        <f>INPUT!G11</f>
        <v>-78440</v>
      </c>
      <c r="G18" s="208">
        <f>INPUT!H11</f>
        <v>-75633</v>
      </c>
      <c r="H18" s="310">
        <f>H17*IF($D$6="Pessimistic",$D$10,IF($D$6="Realistic",$E$10,$F$10))</f>
        <v>209.47499999999999</v>
      </c>
      <c r="I18" s="309">
        <f>I17*IF($D$6="Pessimistic",$D$10,IF($D$6="Realistic",$E$10,$F$10))</f>
        <v>219.94874999999999</v>
      </c>
      <c r="J18" s="309">
        <f>J17*IF($D$6="Pessimistic",$D$10,IF($D$6="Realistic",$E$10,$F$10))</f>
        <v>230.94618750000004</v>
      </c>
      <c r="K18" s="309">
        <f>K17*IF($D$6="Pessimistic",$D$10,IF($D$6="Realistic",$E$10,$F$10))</f>
        <v>242.49349687500006</v>
      </c>
      <c r="L18" s="309">
        <f>L17*IF($D$6="Pessimistic",$D$10,IF($D$6="Realistic",$E$10,$F$10))</f>
        <v>254.61817171875009</v>
      </c>
      <c r="M18" s="89"/>
    </row>
    <row r="19" spans="1:13" ht="15" customHeight="1" x14ac:dyDescent="0.35">
      <c r="A19" s="366"/>
      <c r="B19" s="63" t="s">
        <v>21</v>
      </c>
      <c r="C19" s="322">
        <v>0</v>
      </c>
      <c r="D19" s="208">
        <f>INPUT!E30</f>
        <v>-62484.09</v>
      </c>
      <c r="E19" s="208">
        <f>INPUT!F30</f>
        <v>-81582.03</v>
      </c>
      <c r="F19" s="208">
        <f>INPUT!G30</f>
        <v>-82980.03</v>
      </c>
      <c r="G19" s="208">
        <f>INPUT!H30</f>
        <v>-82044.040000000008</v>
      </c>
      <c r="H19" s="310">
        <f>H17*IF($D$6="Pessimistic",$D$11,IF($D$6="Realistic",$E$11,$F$11))</f>
        <v>617.40000000000009</v>
      </c>
      <c r="I19" s="309">
        <f>I17*IF($D$6="Pessimistic",$D$11,IF($D$6="Realistic",$E$11,$F$11))</f>
        <v>648.2700000000001</v>
      </c>
      <c r="J19" s="309">
        <f>J17*IF($D$6="Pessimistic",$D$11,IF($D$6="Realistic",$E$11,$F$11))</f>
        <v>680.68350000000009</v>
      </c>
      <c r="K19" s="309">
        <f>K17*IF($D$6="Pessimistic",$D$11,IF($D$6="Realistic",$E$11,$F$11))</f>
        <v>714.71767500000021</v>
      </c>
      <c r="L19" s="309">
        <f>L17*IF($D$6="Pessimistic",$D$11,IF($D$6="Realistic",$E$11,$F$11))</f>
        <v>750.4535587500003</v>
      </c>
      <c r="M19" s="89"/>
    </row>
    <row r="20" spans="1:13" ht="15" customHeight="1" x14ac:dyDescent="0.35">
      <c r="A20" s="366"/>
      <c r="B20" s="67" t="s">
        <v>19</v>
      </c>
      <c r="C20" s="322">
        <v>0</v>
      </c>
      <c r="D20" s="208">
        <f>INPUT!E26</f>
        <v>-66231.89</v>
      </c>
      <c r="E20" s="208">
        <f>INPUT!F26</f>
        <v>-86249.819999999992</v>
      </c>
      <c r="F20" s="208">
        <f>INPUT!G26</f>
        <v>-88348.83</v>
      </c>
      <c r="G20" s="208">
        <f>INPUT!H26</f>
        <v>-88192.83</v>
      </c>
      <c r="H20" s="309">
        <f>H19*0.6</f>
        <v>370.44000000000005</v>
      </c>
      <c r="I20" s="309">
        <f>I19*0.6</f>
        <v>388.96200000000005</v>
      </c>
      <c r="J20" s="309">
        <f>J19*0.6</f>
        <v>408.41010000000006</v>
      </c>
      <c r="K20" s="309">
        <f>K19*0.6</f>
        <v>428.83060500000011</v>
      </c>
      <c r="L20" s="309">
        <f>L19*0.6</f>
        <v>450.27213525000019</v>
      </c>
      <c r="M20" s="89"/>
    </row>
    <row r="21" spans="1:13" ht="15" customHeight="1" x14ac:dyDescent="0.35">
      <c r="A21" s="366"/>
      <c r="B21" s="63" t="s">
        <v>261</v>
      </c>
      <c r="C21" s="322">
        <v>0</v>
      </c>
      <c r="D21" s="308">
        <f>IFERROR(INPUT!E75+INPUT!E78,"–")</f>
        <v>-68092.88</v>
      </c>
      <c r="E21" s="308">
        <f>IFERROR(INPUT!F75+INPUT!F78,"–")</f>
        <v>-89071.829999999987</v>
      </c>
      <c r="F21" s="308">
        <f>IFERROR(INPUT!G75+INPUT!G78,"–")</f>
        <v>-93213.85</v>
      </c>
      <c r="G21" s="308">
        <f>IFERROR(INPUT!H75+INPUT!H78,"–")</f>
        <v>-90929.81</v>
      </c>
      <c r="H21" s="311">
        <f>H19*0.5</f>
        <v>308.70000000000005</v>
      </c>
      <c r="I21" s="311">
        <f>I19*0.5</f>
        <v>324.13500000000005</v>
      </c>
      <c r="J21" s="311">
        <f>J19*0.5</f>
        <v>340.34175000000005</v>
      </c>
      <c r="K21" s="311">
        <f>K19*0.5</f>
        <v>357.35883750000011</v>
      </c>
      <c r="L21" s="311">
        <f>L19*0.5</f>
        <v>375.22677937500015</v>
      </c>
      <c r="M21" s="89"/>
    </row>
    <row r="22" spans="1:13" ht="15" customHeight="1" thickBot="1" x14ac:dyDescent="0.4">
      <c r="A22" s="368"/>
      <c r="B22" s="63" t="s">
        <v>109</v>
      </c>
      <c r="C22" s="191"/>
      <c r="D22" s="256">
        <f>IFERROR(INPUT!E30/INPUT!E9,"–")</f>
        <v>-52.070074999999996</v>
      </c>
      <c r="E22" s="256">
        <f>IFERROR(INPUT!F30/INPUT!F9,"–")</f>
        <v>-54.388019999999997</v>
      </c>
      <c r="F22" s="256">
        <f>IFERROR(INPUT!G30/INPUT!G9,"–")</f>
        <v>-46.100016666666669</v>
      </c>
      <c r="G22" s="256">
        <f>IFERROR(INPUT!H30/INPUT!H9,"–")</f>
        <v>-39.068590476190479</v>
      </c>
      <c r="H22" s="255">
        <f>IFERROR(H19/H17,"–")</f>
        <v>0.28000000000000003</v>
      </c>
      <c r="I22" s="255">
        <f>IFERROR(I19/I17,"–")</f>
        <v>0.28000000000000003</v>
      </c>
      <c r="J22" s="255">
        <f>IFERROR(J19/J17,"–")</f>
        <v>0.28000000000000003</v>
      </c>
      <c r="K22" s="255">
        <f>IFERROR(K19/K17,"–")</f>
        <v>0.28000000000000003</v>
      </c>
      <c r="L22" s="255">
        <f>IFERROR(L19/L17,"–")</f>
        <v>0.28000000000000003</v>
      </c>
      <c r="M22" s="89"/>
    </row>
    <row r="23" spans="1:13" ht="15" customHeight="1" x14ac:dyDescent="0.35">
      <c r="A23" s="366"/>
      <c r="B23" s="65" t="s">
        <v>262</v>
      </c>
      <c r="C23" s="189" t="s">
        <v>61</v>
      </c>
      <c r="D23" s="21"/>
      <c r="E23" s="21"/>
      <c r="F23" s="53"/>
      <c r="G23" s="53"/>
      <c r="H23" s="21"/>
      <c r="I23" s="21"/>
      <c r="J23" s="21"/>
      <c r="K23" s="21"/>
      <c r="L23" s="21"/>
      <c r="M23" s="312" t="str">
        <f>IFERROR("$"&amp;TEXT(IF($D$6="Pessimistic",'RAB SOTP VALUATION'!D20*(1+$D$9+$D$11-$E$9-$E$11)*0.8,IF($D$6="Realistic",'RAB SOTP VALUATION'!D20,'RAB SOTP VALUATION'!D20*(1+$F$9+$F$11-$E$9-$E$11)*1.2)),"#,##0.00"),"–")</f>
        <v>$-714,089.80</v>
      </c>
    </row>
    <row r="24" spans="1:13" ht="18" customHeight="1" x14ac:dyDescent="0.35">
      <c r="B24" s="65"/>
    </row>
    <row r="25" spans="1:13" ht="15" customHeight="1" x14ac:dyDescent="0.35">
      <c r="A25" s="192"/>
      <c r="B25" s="79" t="s">
        <v>264</v>
      </c>
      <c r="C25" s="192"/>
      <c r="D25" s="81" t="s">
        <v>201</v>
      </c>
      <c r="E25" s="192" t="s">
        <v>202</v>
      </c>
      <c r="F25" s="72" t="s">
        <v>203</v>
      </c>
      <c r="G25" s="192"/>
      <c r="H25" s="192"/>
      <c r="I25" s="192"/>
      <c r="J25" s="192"/>
      <c r="K25" s="192"/>
      <c r="L25" s="192"/>
      <c r="M25" s="192"/>
    </row>
    <row r="26" spans="1:13" ht="15" customHeight="1" x14ac:dyDescent="0.35">
      <c r="A26" s="366"/>
      <c r="B26" s="67" t="s">
        <v>265</v>
      </c>
      <c r="C26" s="322">
        <v>0</v>
      </c>
      <c r="D26" s="318">
        <f>INPUT!H9*(1+$D$9)^5</f>
        <v>2434.4755560299996</v>
      </c>
      <c r="E26" s="208">
        <f>INPUT!H9*(1+$E$9)^5</f>
        <v>2680.1912812500004</v>
      </c>
      <c r="F26" s="309">
        <f>INPUT!H9*(1+$F$9)^5</f>
        <v>3085.5889612800006</v>
      </c>
      <c r="G26" s="29"/>
      <c r="H26" s="29"/>
      <c r="I26" s="89"/>
    </row>
    <row r="27" spans="1:13" ht="15" customHeight="1" x14ac:dyDescent="0.35">
      <c r="A27" s="366"/>
      <c r="B27" s="67" t="s">
        <v>266</v>
      </c>
      <c r="C27" s="322">
        <v>0</v>
      </c>
      <c r="D27" s="318">
        <f>D26*$D$11</f>
        <v>535.58462232659986</v>
      </c>
      <c r="E27" s="208">
        <f>E26*$E$11</f>
        <v>750.45355875000018</v>
      </c>
      <c r="F27" s="309">
        <f>F26*$F$11</f>
        <v>1049.1002468352003</v>
      </c>
      <c r="G27" s="29"/>
      <c r="H27" s="29"/>
      <c r="I27" s="89"/>
    </row>
    <row r="28" spans="1:13" ht="15" customHeight="1" x14ac:dyDescent="0.35">
      <c r="A28" s="366"/>
      <c r="B28" s="67" t="s">
        <v>267</v>
      </c>
      <c r="C28" s="322">
        <v>0</v>
      </c>
      <c r="D28" s="318">
        <f>D27*0.6</f>
        <v>321.35077339595989</v>
      </c>
      <c r="E28" s="208">
        <f>E27*0.6</f>
        <v>450.27213525000008</v>
      </c>
      <c r="F28" s="309">
        <f>F27*0.6</f>
        <v>629.46014810112013</v>
      </c>
      <c r="G28" s="29"/>
      <c r="H28" s="29"/>
      <c r="I28" s="89"/>
    </row>
    <row r="29" spans="1:13" ht="15" customHeight="1" x14ac:dyDescent="0.35">
      <c r="A29" s="366"/>
      <c r="B29" s="67" t="s">
        <v>268</v>
      </c>
      <c r="C29" s="322">
        <v>0</v>
      </c>
      <c r="D29" s="318">
        <f>D27*0.5</f>
        <v>267.79231116329993</v>
      </c>
      <c r="E29" s="208">
        <f>E27*0.5</f>
        <v>375.22677937500009</v>
      </c>
      <c r="F29" s="208">
        <f>F27*0.5</f>
        <v>524.55012341760016</v>
      </c>
      <c r="G29" s="29"/>
      <c r="H29" s="29"/>
      <c r="I29" s="89"/>
    </row>
    <row r="30" spans="1:13" ht="15" customHeight="1" x14ac:dyDescent="0.35">
      <c r="A30" s="368"/>
      <c r="B30" s="63" t="s">
        <v>269</v>
      </c>
      <c r="C30" s="10"/>
      <c r="D30" s="319">
        <f>$D$11</f>
        <v>0.22</v>
      </c>
      <c r="E30" s="321">
        <f>$E$11</f>
        <v>0.28000000000000003</v>
      </c>
      <c r="F30" s="321">
        <f>$F$11</f>
        <v>0.34</v>
      </c>
      <c r="G30" s="29"/>
      <c r="H30" s="29"/>
      <c r="I30" s="89"/>
    </row>
    <row r="31" spans="1:13" ht="15" customHeight="1" x14ac:dyDescent="0.35">
      <c r="A31" s="366"/>
      <c r="B31" s="65" t="s">
        <v>262</v>
      </c>
      <c r="C31" s="8" t="s">
        <v>61</v>
      </c>
      <c r="D31" s="320" t="str">
        <f>IFERROR("$"&amp;TEXT('RAB SOTP VALUATION'!D20*(1+$D$9+$D$11-$E$9-$E$11)*0.8,"#,##0.00"),"–")</f>
        <v>$-525,570.09</v>
      </c>
      <c r="E31" s="313" t="str">
        <f>IFERROR("$"&amp;TEXT('RAB SOTP VALUATION'!D20,"#,##0.00"),"–")</f>
        <v>$-714,089.80</v>
      </c>
      <c r="F31" s="313" t="str">
        <f>IFERROR("$"&amp;TEXT('RAB SOTP VALUATION'!D20*(1+$F$9+$F$11-$E$9-$E$11)*1.2,"#,##0.00"),"–")</f>
        <v>$-934,029.46</v>
      </c>
      <c r="G31" s="21"/>
      <c r="H31" s="21"/>
      <c r="I31" s="89"/>
    </row>
    <row r="32" spans="1:13" ht="18" customHeight="1" x14ac:dyDescent="0.5">
      <c r="A32" s="314" t="s">
        <v>5</v>
      </c>
      <c r="B32" s="195" t="s">
        <v>270</v>
      </c>
      <c r="C32" s="103"/>
      <c r="D32" s="321" t="str">
        <f>"—"</f>
        <v>—</v>
      </c>
      <c r="E32" s="321" t="str">
        <f>"—"</f>
        <v>—</v>
      </c>
      <c r="F32" s="321">
        <f>IFERROR(F26/D26-1,"–")</f>
        <v>0.26745530618997004</v>
      </c>
      <c r="G32" s="101"/>
      <c r="H32" s="101"/>
      <c r="I32" s="101"/>
      <c r="J32" s="101"/>
      <c r="K32" s="101"/>
      <c r="L32" s="101"/>
      <c r="M32" s="101"/>
    </row>
    <row r="33" spans="1:13" ht="15" customHeight="1" x14ac:dyDescent="0.35">
      <c r="A33" s="366"/>
      <c r="B33" s="67" t="s">
        <v>7</v>
      </c>
      <c r="C33" s="68"/>
      <c r="D33" s="124"/>
      <c r="E33" s="123"/>
      <c r="F33" s="123"/>
      <c r="G33" s="123"/>
      <c r="H33" s="123"/>
      <c r="I33" s="123"/>
      <c r="J33" s="29"/>
      <c r="K33" s="29"/>
      <c r="L33" s="29"/>
      <c r="M33" s="29"/>
    </row>
    <row r="34" spans="1:13" ht="15" customHeight="1" x14ac:dyDescent="0.35">
      <c r="A34" s="194"/>
      <c r="B34" s="194" t="str">
        <f>"▶ SCÉNARIO SÉLECTIONNÉ : "&amp;$D$6</f>
        <v>▶ SCÉNARIO SÉLECTIONNÉ : Realistic</v>
      </c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</row>
    <row r="35" spans="1:13" ht="15" customHeight="1" x14ac:dyDescent="0.35">
      <c r="A35" s="366"/>
      <c r="B35" s="67"/>
      <c r="C35" s="68"/>
      <c r="D35" s="124"/>
      <c r="E35" s="123"/>
      <c r="F35" s="123"/>
      <c r="G35" s="123"/>
      <c r="H35" s="123"/>
      <c r="I35" s="123"/>
      <c r="J35" s="29"/>
      <c r="K35" s="29"/>
      <c r="L35" s="29"/>
      <c r="M35" s="29"/>
    </row>
    <row r="36" spans="1:13" ht="21" x14ac:dyDescent="0.5">
      <c r="A36" s="14"/>
      <c r="B36" s="14" t="s">
        <v>272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</row>
    <row r="37" spans="1:13" ht="15" customHeight="1" x14ac:dyDescent="0.35">
      <c r="A37" s="79"/>
      <c r="B37" s="79" t="s">
        <v>100</v>
      </c>
      <c r="C37" s="79"/>
      <c r="D37" s="192" t="str">
        <f>TEXT(INPUT!D131+1,"0")&amp;"F"</f>
        <v>2026F</v>
      </c>
      <c r="E37" s="192" t="str">
        <f>TEXT(INPUT!D131+2,"0")&amp;"F"</f>
        <v>2027F</v>
      </c>
      <c r="F37" s="192" t="str">
        <f>TEXT(INPUT!D131+3,"0")&amp;"F"</f>
        <v>2028F</v>
      </c>
      <c r="G37" s="192" t="str">
        <f>TEXT(INPUT!D131+4,"0")&amp;"F"</f>
        <v>2029F</v>
      </c>
      <c r="H37" s="192" t="str">
        <f>TEXT(INPUT!D131+5,"0")&amp;"F"</f>
        <v>2030F</v>
      </c>
      <c r="I37" s="192"/>
      <c r="J37" s="192"/>
      <c r="K37" s="192"/>
      <c r="L37" s="192"/>
      <c r="M37" s="192"/>
    </row>
    <row r="38" spans="1:13" ht="15" customHeight="1" x14ac:dyDescent="0.35">
      <c r="A38" s="366"/>
      <c r="B38" s="67" t="s">
        <v>201</v>
      </c>
      <c r="C38" s="69"/>
      <c r="D38" s="212">
        <f>IF(INPUT!H9="",NA(),INPUT!H9*(1+$D$9))</f>
        <v>2163</v>
      </c>
      <c r="E38" s="213">
        <f>IF(INPUT!H9="",NA(),D38*(1+$D$9))</f>
        <v>2227.89</v>
      </c>
      <c r="F38" s="213">
        <f>IF(INPUT!H9="",NA(),E38*(1+$D$9))</f>
        <v>2294.7266999999997</v>
      </c>
      <c r="G38" s="213">
        <f>IF(INPUT!H9="",NA(),F38*(1+$D$9))</f>
        <v>2363.5685009999997</v>
      </c>
      <c r="H38" s="213">
        <f>IF(INPUT!H9="",NA(),G38*(1+$D$9))</f>
        <v>2434.47555603</v>
      </c>
      <c r="I38" s="122"/>
      <c r="J38" s="29"/>
      <c r="K38" s="29"/>
      <c r="L38" s="29"/>
      <c r="M38" s="29"/>
    </row>
    <row r="39" spans="1:13" ht="15" customHeight="1" x14ac:dyDescent="0.35">
      <c r="A39" s="368"/>
      <c r="B39" s="63" t="s">
        <v>202</v>
      </c>
      <c r="C39" s="64"/>
      <c r="D39" s="212">
        <f>IF(INPUT!H9="",NA(),INPUT!H9*(1+$E$9))</f>
        <v>2205</v>
      </c>
      <c r="E39" s="213">
        <f>IF(INPUT!H9="",NA(),D39*(1+$E$9))</f>
        <v>2315.25</v>
      </c>
      <c r="F39" s="213">
        <f>IF(INPUT!H9="",NA(),E39*(1+$E$9))</f>
        <v>2431.0125000000003</v>
      </c>
      <c r="G39" s="213">
        <f>IF(INPUT!H9="",NA(),F39*(1+$E$9))</f>
        <v>2552.5631250000006</v>
      </c>
      <c r="H39" s="213">
        <f>IF(INPUT!H9="",NA(),G39*(1+$E$9))</f>
        <v>2680.1912812500009</v>
      </c>
      <c r="I39" s="92"/>
      <c r="J39" s="29"/>
      <c r="K39" s="29"/>
      <c r="L39" s="29"/>
      <c r="M39" s="29"/>
    </row>
    <row r="40" spans="1:13" ht="15" customHeight="1" x14ac:dyDescent="0.35">
      <c r="A40" s="366"/>
      <c r="B40" s="70" t="s">
        <v>203</v>
      </c>
      <c r="C40" s="3"/>
      <c r="D40" s="212">
        <f>IF(INPUT!H9="",NA(),INPUT!H9*(1+$F$9))</f>
        <v>2268</v>
      </c>
      <c r="E40" s="212">
        <f>IF(INPUT!H9="",NA(),D40*(1+$F$9))</f>
        <v>2449.44</v>
      </c>
      <c r="F40" s="212">
        <f>IF(INPUT!H9="",NA(),E40*(1+$F$9))</f>
        <v>2645.3952000000004</v>
      </c>
      <c r="G40" s="212">
        <f>IF(INPUT!H9="",NA(),F40*(1+$F$9))</f>
        <v>2857.0268160000005</v>
      </c>
      <c r="H40" s="212">
        <f>IF(INPUT!H9="",NA(),G40*(1+$F$9))</f>
        <v>3085.5889612800006</v>
      </c>
      <c r="I40" s="21"/>
      <c r="J40" s="21"/>
      <c r="K40" s="21"/>
      <c r="L40" s="21"/>
      <c r="M40" s="21"/>
    </row>
    <row r="41" spans="1:13" ht="12.75" customHeight="1" x14ac:dyDescent="0.5">
      <c r="A41" s="314" t="s">
        <v>5</v>
      </c>
      <c r="B41" s="315" t="s">
        <v>263</v>
      </c>
      <c r="C41" s="316"/>
      <c r="D41" s="317"/>
      <c r="E41" s="298"/>
      <c r="F41" s="298"/>
      <c r="G41" s="298"/>
      <c r="H41" s="298"/>
      <c r="I41" s="298"/>
      <c r="J41" s="298"/>
      <c r="K41" s="298"/>
      <c r="L41" s="298"/>
      <c r="M41" s="298"/>
    </row>
    <row r="42" spans="1:13" ht="21" x14ac:dyDescent="0.5">
      <c r="A42" s="14"/>
      <c r="B42" s="14" t="s">
        <v>271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</row>
    <row r="43" spans="1:13" ht="15" customHeight="1" x14ac:dyDescent="0.35">
      <c r="A43" s="79"/>
      <c r="B43" s="15" t="s">
        <v>100</v>
      </c>
      <c r="C43" s="79"/>
      <c r="D43" s="79" t="str">
        <f>TEXT(INPUT!D131+1,"0")&amp;"F"</f>
        <v>2026F</v>
      </c>
      <c r="E43" s="79" t="str">
        <f>TEXT(INPUT!D131+2,"0")&amp;"F"</f>
        <v>2027F</v>
      </c>
      <c r="F43" s="79" t="str">
        <f>TEXT(INPUT!D131+3,"0")&amp;"F"</f>
        <v>2028F</v>
      </c>
      <c r="G43" s="79" t="str">
        <f>TEXT(INPUT!D131+4,"0")&amp;"F"</f>
        <v>2029F</v>
      </c>
      <c r="H43" s="79" t="str">
        <f>TEXT(INPUT!D131+5,"0")&amp;"F"</f>
        <v>2030F</v>
      </c>
      <c r="I43" s="193"/>
      <c r="J43" s="193"/>
      <c r="K43" s="193"/>
      <c r="L43" s="193"/>
      <c r="M43" s="193"/>
    </row>
    <row r="44" spans="1:13" ht="15" customHeight="1" x14ac:dyDescent="0.35">
      <c r="A44" s="366"/>
      <c r="B44" s="70" t="s">
        <v>201</v>
      </c>
      <c r="C44" s="68"/>
      <c r="D44" s="212">
        <f>IF(D39=0,0,D39*$D$11)</f>
        <v>485.1</v>
      </c>
      <c r="E44" s="208">
        <f>IF(E39=0,0,E39*$D$11)</f>
        <v>509.35500000000002</v>
      </c>
      <c r="F44" s="208">
        <f>IF(F39=0,0,F39*$D$11)</f>
        <v>534.82275000000004</v>
      </c>
      <c r="G44" s="208">
        <f>IF(G39=0,0,G39*$D$11)</f>
        <v>561.56388750000008</v>
      </c>
      <c r="H44" s="511">
        <f>IF(H39=0,0,H39*$D$11)</f>
        <v>589.64208187500014</v>
      </c>
      <c r="I44" s="52"/>
      <c r="J44" s="29"/>
      <c r="K44" s="29"/>
      <c r="L44" s="29"/>
      <c r="M44" s="29"/>
    </row>
    <row r="45" spans="1:13" ht="15" customHeight="1" x14ac:dyDescent="0.35">
      <c r="A45" s="366"/>
      <c r="B45" s="70" t="s">
        <v>202</v>
      </c>
      <c r="C45" s="68"/>
      <c r="D45" s="212">
        <f>IF(D40=0,0,D40*$E$11)</f>
        <v>635.04000000000008</v>
      </c>
      <c r="E45" s="208">
        <f>IF(E40=0,0,E40*$E$11)</f>
        <v>685.84320000000002</v>
      </c>
      <c r="F45" s="208">
        <f>IF(F40=0,0,F40*$E$11)</f>
        <v>740.7106560000002</v>
      </c>
      <c r="G45" s="208">
        <f>IF(G40=0,0,G40*$E$11)</f>
        <v>799.96750848000022</v>
      </c>
      <c r="H45" s="511">
        <f>IF(H40=0,0,H40*$E$11)</f>
        <v>863.96490915840025</v>
      </c>
      <c r="I45" s="52"/>
      <c r="J45" s="29"/>
      <c r="K45" s="29"/>
      <c r="L45" s="29"/>
      <c r="M45" s="29"/>
    </row>
    <row r="46" spans="1:13" ht="15" customHeight="1" x14ac:dyDescent="0.35">
      <c r="A46" s="366"/>
      <c r="B46" s="70" t="s">
        <v>203</v>
      </c>
      <c r="C46" s="68"/>
      <c r="D46" s="212">
        <f>IF(D40=0,0,D40*$F$11)</f>
        <v>771.12</v>
      </c>
      <c r="E46" s="208">
        <f>IF(E40=0,0,E40*$F$11)</f>
        <v>832.80960000000005</v>
      </c>
      <c r="F46" s="208">
        <f>IF(F40=0,0,F40*$F$11)</f>
        <v>899.43436800000018</v>
      </c>
      <c r="G46" s="208">
        <f>IF(G40=0,0,G40*$F$11)</f>
        <v>971.38911744000029</v>
      </c>
      <c r="H46" s="511">
        <f>IF(H40=0,0,H40*$F$11)</f>
        <v>1049.1002468352003</v>
      </c>
      <c r="I46" s="52"/>
      <c r="J46" s="29"/>
      <c r="K46" s="29"/>
      <c r="L46" s="29"/>
      <c r="M46" s="29"/>
    </row>
    <row r="47" spans="1:13" ht="15" customHeight="1" x14ac:dyDescent="0.35">
      <c r="A47" s="366"/>
      <c r="B47" s="70" t="s">
        <v>269</v>
      </c>
      <c r="C47" s="69"/>
      <c r="D47" s="507">
        <f>IFERROR(D44/D38,"–")</f>
        <v>0.22427184466019418</v>
      </c>
      <c r="E47" s="508">
        <f>IFERROR(H44/H38,"–")</f>
        <v>0.24220497117521028</v>
      </c>
      <c r="F47" s="508">
        <f>IFERROR(H45/H39,"–")</f>
        <v>0.32235195868388172</v>
      </c>
      <c r="G47" s="508">
        <f>IFERROR(H46/H40,"–")</f>
        <v>0.34</v>
      </c>
      <c r="H47" s="512">
        <f>IFERROR(H46/H40,"–")</f>
        <v>0.34</v>
      </c>
      <c r="I47" s="52"/>
      <c r="J47" s="29"/>
      <c r="K47" s="29"/>
      <c r="L47" s="29"/>
      <c r="M47" s="29"/>
    </row>
    <row r="48" spans="1:13" ht="15" customHeight="1" thickBot="1" x14ac:dyDescent="0.4">
      <c r="A48" s="368"/>
      <c r="B48" s="65" t="s">
        <v>262</v>
      </c>
      <c r="C48" s="64"/>
      <c r="D48" s="509" t="str">
        <f>IFERROR("$"&amp;TEXT('RAB SOTP VALUATION'!D20*(1+$D$9+$D$11-$E$9-$E$11)*0.8,"#,##0.00"),"–")</f>
        <v>$-525,570.09</v>
      </c>
      <c r="E48" s="510" t="str">
        <f>IFERROR("$"&amp;TEXT('RAB SOTP VALUATION'!D20*(1+$D$9+$D$11-$E$9-$E$11)*0.8,"#,##0.00"),"–")</f>
        <v>$-525,570.09</v>
      </c>
      <c r="F48" s="510" t="str">
        <f>IFERROR("$"&amp;TEXT('RAB SOTP VALUATION'!D20,"#,##0.00"),"–")</f>
        <v>$-714,089.80</v>
      </c>
      <c r="G48" s="510" t="str">
        <f>IFERROR("$"&amp;TEXT('RAB SOTP VALUATION'!D20*(1+$F$9+$F$11-$E$9-$E$11)*1.2,"#,##0.00"),"–")</f>
        <v>$-934,029.46</v>
      </c>
      <c r="H48" s="510" t="str">
        <f>IFERROR("$"&amp;TEXT('RAB SOTP VALUATION'!D20*(1+$F$9+$F$11-$E$9-$E$11)*1.2,"#,##0.00"),"–")</f>
        <v>$-934,029.46</v>
      </c>
      <c r="I48" s="56"/>
      <c r="J48" s="29"/>
      <c r="K48" s="29"/>
      <c r="L48" s="29"/>
      <c r="M48" s="29"/>
    </row>
    <row r="49" spans="1:14" ht="15" customHeight="1" x14ac:dyDescent="0.35">
      <c r="A49" s="366"/>
      <c r="B49" s="13"/>
      <c r="C49" s="3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spans="1:14" ht="15" customHeight="1" x14ac:dyDescent="0.35">
      <c r="A50" s="366"/>
      <c r="B50" s="37"/>
      <c r="C50" s="3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spans="1:14" ht="15" customHeight="1" x14ac:dyDescent="0.35">
      <c r="A51" s="366"/>
      <c r="B51" s="37"/>
      <c r="C51" s="3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spans="1:14" ht="15" customHeight="1" x14ac:dyDescent="0.35">
      <c r="A52" s="366"/>
      <c r="B52" s="37"/>
      <c r="C52" s="3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spans="1:14" ht="15" customHeight="1" x14ac:dyDescent="0.35">
      <c r="A53" s="366"/>
      <c r="B53" s="37"/>
      <c r="C53" s="3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spans="1:14" ht="15" customHeight="1" x14ac:dyDescent="0.35">
      <c r="A54" s="366"/>
      <c r="B54" s="37"/>
      <c r="C54" s="3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spans="1:14" ht="15" customHeight="1" x14ac:dyDescent="0.35">
      <c r="A55" s="366"/>
      <c r="B55" s="37"/>
      <c r="C55" s="3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spans="1:14" ht="15" customHeight="1" x14ac:dyDescent="0.35">
      <c r="A56" s="366"/>
      <c r="B56" s="37"/>
      <c r="C56" s="3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spans="1:14" ht="15" customHeight="1" x14ac:dyDescent="0.35">
      <c r="A57" s="366"/>
      <c r="B57" s="37"/>
      <c r="C57" s="3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spans="1:14" ht="15" customHeight="1" x14ac:dyDescent="0.35">
      <c r="A58" s="366"/>
      <c r="B58" s="37"/>
      <c r="C58" s="3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spans="1:14" ht="15" customHeight="1" x14ac:dyDescent="0.35">
      <c r="A59" s="366"/>
      <c r="B59" s="37"/>
      <c r="C59" s="3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spans="1:14" ht="15" customHeight="1" x14ac:dyDescent="0.35">
      <c r="A60" s="366"/>
      <c r="B60" s="37"/>
      <c r="C60" s="3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spans="1:14" ht="15" customHeight="1" x14ac:dyDescent="0.35">
      <c r="A61" s="366"/>
      <c r="B61" s="13"/>
      <c r="C61" s="3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spans="1:14" ht="15" customHeight="1" x14ac:dyDescent="0.35">
      <c r="A62" s="370"/>
      <c r="B62" s="30" t="s">
        <v>94</v>
      </c>
      <c r="C62" s="4"/>
      <c r="D62" s="4"/>
      <c r="E62" s="31"/>
      <c r="F62" s="31"/>
      <c r="G62" s="31"/>
      <c r="H62" s="31"/>
      <c r="I62" s="31"/>
      <c r="J62" s="31"/>
      <c r="K62" s="31"/>
      <c r="L62" s="31"/>
      <c r="M62" s="31"/>
      <c r="N62" s="88"/>
    </row>
    <row r="63" spans="1:14" ht="15" customHeight="1" x14ac:dyDescent="0.35">
      <c r="A63" s="370"/>
      <c r="B63" s="30" t="s">
        <v>95</v>
      </c>
      <c r="C63" s="4"/>
      <c r="D63" s="4"/>
      <c r="E63" s="31"/>
      <c r="F63" s="31"/>
      <c r="G63" s="31"/>
      <c r="H63" s="31"/>
      <c r="I63" s="31"/>
      <c r="J63" s="31"/>
      <c r="K63" s="31"/>
      <c r="L63" s="31"/>
      <c r="M63" s="31"/>
      <c r="N63" s="88"/>
    </row>
    <row r="64" spans="1:14" ht="15" customHeight="1" x14ac:dyDescent="0.35">
      <c r="A64" s="370"/>
      <c r="B64" s="30" t="s">
        <v>96</v>
      </c>
      <c r="C64" s="4"/>
      <c r="D64" s="4"/>
      <c r="E64" s="31"/>
      <c r="F64" s="31"/>
      <c r="G64" s="31"/>
      <c r="H64" s="31"/>
      <c r="I64" s="31"/>
      <c r="J64" s="31"/>
      <c r="K64" s="31"/>
      <c r="L64" s="31"/>
      <c r="M64" s="31"/>
      <c r="N64" s="88"/>
    </row>
    <row r="65" spans="1:14" ht="15" customHeight="1" x14ac:dyDescent="0.35">
      <c r="A65" s="366"/>
      <c r="B65"/>
      <c r="D65"/>
      <c r="E65"/>
      <c r="F65"/>
      <c r="G65"/>
      <c r="H65"/>
      <c r="I65"/>
      <c r="J65"/>
      <c r="K65"/>
      <c r="L65"/>
      <c r="M65"/>
      <c r="N65"/>
    </row>
    <row r="66" spans="1:14" ht="15" customHeight="1" x14ac:dyDescent="0.35">
      <c r="A66" s="367"/>
      <c r="B66"/>
      <c r="D66"/>
      <c r="E66"/>
      <c r="F66"/>
      <c r="G66"/>
      <c r="H66"/>
      <c r="I66"/>
      <c r="J66"/>
      <c r="K66"/>
      <c r="L66"/>
      <c r="M66"/>
      <c r="N66"/>
    </row>
    <row r="67" spans="1:14" ht="15" customHeight="1" x14ac:dyDescent="0.35">
      <c r="A67" s="366"/>
      <c r="B67"/>
      <c r="D67"/>
      <c r="E67"/>
      <c r="F67"/>
      <c r="G67"/>
      <c r="H67"/>
      <c r="I67"/>
      <c r="J67"/>
      <c r="K67"/>
      <c r="L67"/>
      <c r="M67"/>
      <c r="N67"/>
    </row>
    <row r="68" spans="1:14" ht="15" customHeight="1" x14ac:dyDescent="0.35">
      <c r="A68" s="366"/>
      <c r="B68"/>
      <c r="D68"/>
      <c r="E68"/>
      <c r="F68"/>
      <c r="G68"/>
      <c r="H68"/>
      <c r="I68"/>
      <c r="J68"/>
      <c r="K68"/>
      <c r="L68"/>
      <c r="M68"/>
      <c r="N68"/>
    </row>
    <row r="69" spans="1:14" ht="15" customHeight="1" x14ac:dyDescent="0.35">
      <c r="A69" s="366"/>
      <c r="B69"/>
      <c r="D69"/>
      <c r="E69"/>
      <c r="F69"/>
      <c r="G69"/>
      <c r="H69"/>
      <c r="I69"/>
      <c r="J69"/>
      <c r="K69"/>
      <c r="L69"/>
      <c r="M69"/>
      <c r="N69"/>
    </row>
    <row r="70" spans="1:14" ht="15" customHeight="1" x14ac:dyDescent="0.35">
      <c r="A70" s="366"/>
      <c r="B70"/>
      <c r="D70"/>
      <c r="E70"/>
      <c r="F70"/>
      <c r="G70"/>
      <c r="H70"/>
      <c r="I70"/>
      <c r="J70"/>
      <c r="K70"/>
      <c r="L70"/>
      <c r="M70"/>
      <c r="N70"/>
    </row>
    <row r="71" spans="1:14" ht="15" customHeight="1" x14ac:dyDescent="0.35">
      <c r="A71" s="367"/>
      <c r="B71"/>
      <c r="D71"/>
      <c r="E71"/>
      <c r="F71"/>
      <c r="G71"/>
      <c r="H71"/>
      <c r="I71"/>
      <c r="J71"/>
      <c r="K71"/>
      <c r="L71"/>
      <c r="M71"/>
      <c r="N71"/>
    </row>
    <row r="72" spans="1:14" ht="15" customHeight="1" x14ac:dyDescent="0.35">
      <c r="A72" s="366"/>
      <c r="B72"/>
      <c r="D72"/>
      <c r="E72"/>
      <c r="F72"/>
      <c r="G72"/>
      <c r="H72"/>
      <c r="I72"/>
      <c r="J72"/>
      <c r="K72"/>
      <c r="L72"/>
      <c r="M72"/>
      <c r="N72"/>
    </row>
    <row r="73" spans="1:14" ht="15" customHeight="1" x14ac:dyDescent="0.35">
      <c r="A73" s="366"/>
      <c r="B73"/>
      <c r="D73"/>
      <c r="E73"/>
      <c r="F73"/>
      <c r="G73"/>
      <c r="H73"/>
      <c r="I73"/>
      <c r="J73"/>
      <c r="K73"/>
      <c r="L73"/>
      <c r="M73"/>
      <c r="N73"/>
    </row>
    <row r="74" spans="1:14" ht="15" customHeight="1" x14ac:dyDescent="0.35">
      <c r="A74" s="366"/>
      <c r="B74"/>
      <c r="D74"/>
      <c r="E74"/>
      <c r="F74"/>
      <c r="G74"/>
      <c r="H74"/>
      <c r="I74"/>
      <c r="J74"/>
      <c r="K74"/>
      <c r="L74"/>
      <c r="M74"/>
      <c r="N74"/>
    </row>
    <row r="75" spans="1:14" ht="15" customHeight="1" x14ac:dyDescent="0.3">
      <c r="B75"/>
      <c r="D75"/>
      <c r="E75"/>
      <c r="F75"/>
      <c r="G75"/>
      <c r="H75"/>
      <c r="I75"/>
      <c r="J75"/>
      <c r="K75"/>
      <c r="L75"/>
      <c r="M75"/>
      <c r="N75"/>
    </row>
    <row r="76" spans="1:14" ht="15" customHeight="1" x14ac:dyDescent="0.3">
      <c r="B76" s="44"/>
    </row>
    <row r="77" spans="1:14" ht="15" customHeight="1" x14ac:dyDescent="0.3">
      <c r="B77" s="44"/>
    </row>
    <row r="78" spans="1:14" ht="15" customHeight="1" x14ac:dyDescent="0.3">
      <c r="B78" s="44"/>
    </row>
    <row r="79" spans="1:14" ht="15" customHeight="1" x14ac:dyDescent="0.3">
      <c r="B79" s="44"/>
    </row>
    <row r="80" spans="1:14" ht="15" customHeight="1" x14ac:dyDescent="0.3">
      <c r="B80" s="44"/>
    </row>
    <row r="81" spans="2:2" ht="15" customHeight="1" x14ac:dyDescent="0.3">
      <c r="B81" s="44"/>
    </row>
    <row r="82" spans="2:2" ht="15" customHeight="1" x14ac:dyDescent="0.3">
      <c r="B82" s="44"/>
    </row>
    <row r="83" spans="2:2" ht="15" customHeight="1" x14ac:dyDescent="0.3">
      <c r="B83" s="44"/>
    </row>
    <row r="84" spans="2:2" ht="15" customHeight="1" x14ac:dyDescent="0.3">
      <c r="B84" s="44"/>
    </row>
    <row r="85" spans="2:2" ht="15" customHeight="1" x14ac:dyDescent="0.3">
      <c r="B85" s="44"/>
    </row>
    <row r="86" spans="2:2" ht="15" customHeight="1" x14ac:dyDescent="0.3">
      <c r="B86" s="44"/>
    </row>
    <row r="87" spans="2:2" ht="15" customHeight="1" x14ac:dyDescent="0.3">
      <c r="B87" s="44"/>
    </row>
    <row r="88" spans="2:2" ht="15" customHeight="1" x14ac:dyDescent="0.3">
      <c r="B88" s="44"/>
    </row>
    <row r="89" spans="2:2" ht="15" customHeight="1" x14ac:dyDescent="0.3">
      <c r="B89" s="44"/>
    </row>
    <row r="90" spans="2:2" ht="15" customHeight="1" x14ac:dyDescent="0.3">
      <c r="B90" s="44"/>
    </row>
    <row r="91" spans="2:2" ht="15" customHeight="1" x14ac:dyDescent="0.3">
      <c r="B91" s="44"/>
    </row>
    <row r="92" spans="2:2" ht="15" customHeight="1" x14ac:dyDescent="0.3">
      <c r="B92" s="44"/>
    </row>
    <row r="93" spans="2:2" ht="15" customHeight="1" x14ac:dyDescent="0.3">
      <c r="B93" s="44"/>
    </row>
    <row r="94" spans="2:2" ht="15" customHeight="1" x14ac:dyDescent="0.3">
      <c r="B94" s="44"/>
    </row>
    <row r="95" spans="2:2" ht="15" customHeight="1" x14ac:dyDescent="0.3">
      <c r="B95" s="44"/>
    </row>
    <row r="96" spans="2:2" ht="15" customHeight="1" x14ac:dyDescent="0.3">
      <c r="B96" s="44"/>
    </row>
    <row r="97" spans="2:2" ht="15" customHeight="1" x14ac:dyDescent="0.3">
      <c r="B97" s="44"/>
    </row>
    <row r="98" spans="2:2" ht="15" customHeight="1" x14ac:dyDescent="0.3">
      <c r="B98" s="44"/>
    </row>
    <row r="99" spans="2:2" ht="15" customHeight="1" x14ac:dyDescent="0.3">
      <c r="B99" s="44"/>
    </row>
    <row r="100" spans="2:2" ht="15" customHeight="1" x14ac:dyDescent="0.3">
      <c r="B100" s="44"/>
    </row>
    <row r="101" spans="2:2" ht="15" customHeight="1" x14ac:dyDescent="0.3">
      <c r="B101" s="44"/>
    </row>
    <row r="102" spans="2:2" ht="15" customHeight="1" x14ac:dyDescent="0.3">
      <c r="B102" s="44"/>
    </row>
    <row r="103" spans="2:2" ht="15" customHeight="1" x14ac:dyDescent="0.3">
      <c r="B103" s="44"/>
    </row>
    <row r="104" spans="2:2" ht="15" customHeight="1" x14ac:dyDescent="0.3">
      <c r="B104" s="44"/>
    </row>
    <row r="105" spans="2:2" ht="15" customHeight="1" x14ac:dyDescent="0.3">
      <c r="B105" s="44"/>
    </row>
    <row r="106" spans="2:2" ht="15" customHeight="1" x14ac:dyDescent="0.3">
      <c r="B106" s="44"/>
    </row>
    <row r="107" spans="2:2" ht="15" customHeight="1" x14ac:dyDescent="0.3">
      <c r="B107" s="44"/>
    </row>
    <row r="108" spans="2:2" ht="15" customHeight="1" x14ac:dyDescent="0.3">
      <c r="B108" s="44"/>
    </row>
    <row r="109" spans="2:2" ht="15" customHeight="1" x14ac:dyDescent="0.3">
      <c r="B109" s="44"/>
    </row>
    <row r="110" spans="2:2" ht="15" customHeight="1" x14ac:dyDescent="0.3">
      <c r="B110" s="44"/>
    </row>
    <row r="111" spans="2:2" ht="15" customHeight="1" x14ac:dyDescent="0.3">
      <c r="B111" s="44"/>
    </row>
    <row r="112" spans="2:2" ht="15" customHeight="1" x14ac:dyDescent="0.3">
      <c r="B112" s="44"/>
    </row>
    <row r="113" spans="2:2" ht="15" customHeight="1" x14ac:dyDescent="0.3">
      <c r="B113" s="44"/>
    </row>
    <row r="114" spans="2:2" ht="15" customHeight="1" x14ac:dyDescent="0.3">
      <c r="B114" s="44"/>
    </row>
    <row r="115" spans="2:2" ht="15" customHeight="1" x14ac:dyDescent="0.3">
      <c r="B115" s="44"/>
    </row>
    <row r="116" spans="2:2" ht="15" customHeight="1" x14ac:dyDescent="0.3">
      <c r="B116" s="44"/>
    </row>
    <row r="117" spans="2:2" ht="15" customHeight="1" x14ac:dyDescent="0.3">
      <c r="B117" s="44"/>
    </row>
    <row r="118" spans="2:2" ht="15" customHeight="1" x14ac:dyDescent="0.3">
      <c r="B118" s="44"/>
    </row>
    <row r="119" spans="2:2" ht="15" customHeight="1" x14ac:dyDescent="0.3">
      <c r="B119" s="44"/>
    </row>
    <row r="120" spans="2:2" ht="15" customHeight="1" x14ac:dyDescent="0.3">
      <c r="B120" s="44"/>
    </row>
    <row r="121" spans="2:2" ht="15" customHeight="1" x14ac:dyDescent="0.3">
      <c r="B121" s="44"/>
    </row>
    <row r="122" spans="2:2" ht="15" customHeight="1" x14ac:dyDescent="0.3">
      <c r="B122" s="44"/>
    </row>
    <row r="123" spans="2:2" ht="15" customHeight="1" x14ac:dyDescent="0.3">
      <c r="B123" s="44"/>
    </row>
    <row r="124" spans="2:2" ht="15" customHeight="1" x14ac:dyDescent="0.3">
      <c r="B124" s="44"/>
    </row>
    <row r="125" spans="2:2" ht="15" customHeight="1" x14ac:dyDescent="0.3">
      <c r="B125" s="44"/>
    </row>
    <row r="126" spans="2:2" ht="15" customHeight="1" x14ac:dyDescent="0.3">
      <c r="B126" s="44"/>
    </row>
    <row r="127" spans="2:2" ht="15" customHeight="1" x14ac:dyDescent="0.3">
      <c r="B127" s="44"/>
    </row>
    <row r="128" spans="2:2" ht="15" customHeight="1" x14ac:dyDescent="0.3">
      <c r="B128" s="44"/>
    </row>
    <row r="129" spans="2:2" ht="15" customHeight="1" x14ac:dyDescent="0.3">
      <c r="B129" s="44"/>
    </row>
  </sheetData>
  <dataValidations count="1">
    <dataValidation type="list" allowBlank="1" showInputMessage="1" showErrorMessage="1" errorTitle="Invalid Selection" error="Please select Pessimistic, Realistic, or Optimistic" promptTitle="Select Scenario" prompt="Choose: Pessimistic, Realistic, or Optimistic" sqref="D6" xr:uid="{00000000-0002-0000-0600-000000000000}">
      <formula1>"Pessimistic,Realistic,Optimistic"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97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FD120"/>
  <sheetViews>
    <sheetView showGridLines="0" zoomScale="80" zoomScaleNormal="80" workbookViewId="0"/>
  </sheetViews>
  <sheetFormatPr baseColWidth="10" defaultColWidth="11.5546875" defaultRowHeight="14.4" outlineLevelRow="1" x14ac:dyDescent="0.3"/>
  <cols>
    <col min="1" max="1" width="1.77734375" customWidth="1"/>
    <col min="2" max="2" width="13.6640625" style="18" bestFit="1" customWidth="1"/>
    <col min="3" max="3" width="13" customWidth="1"/>
    <col min="4" max="4" width="12" style="20" customWidth="1"/>
    <col min="5" max="5" width="18.5546875" style="20" customWidth="1"/>
    <col min="6" max="6" width="24.6640625" style="20" customWidth="1"/>
    <col min="7" max="7" width="10.109375" style="20" customWidth="1"/>
    <col min="8" max="8" width="29.6640625" style="20" customWidth="1"/>
    <col min="9" max="9" width="14.6640625" style="20" customWidth="1"/>
    <col min="10" max="10" width="16.109375" style="20" customWidth="1"/>
    <col min="11" max="13" width="12.33203125" style="20" bestFit="1" customWidth="1"/>
    <col min="14" max="15" width="11.88671875" style="20" customWidth="1"/>
  </cols>
  <sheetData>
    <row r="1" spans="1:21" ht="50.1" customHeight="1" x14ac:dyDescent="0.6">
      <c r="A1" s="142"/>
      <c r="B1" s="96" t="s">
        <v>97</v>
      </c>
      <c r="C1" s="142"/>
      <c r="D1" s="142"/>
      <c r="E1" s="142"/>
      <c r="F1" s="142"/>
      <c r="G1" s="142"/>
      <c r="H1" s="142"/>
      <c r="I1" s="142"/>
      <c r="J1" s="142"/>
      <c r="K1" s="119"/>
      <c r="L1" s="131"/>
      <c r="M1" s="131"/>
      <c r="N1" s="131"/>
      <c r="Q1" s="344" t="s">
        <v>273</v>
      </c>
      <c r="R1" s="344">
        <v>2022</v>
      </c>
      <c r="S1" s="344">
        <v>2023</v>
      </c>
      <c r="T1" s="344">
        <v>2024</v>
      </c>
      <c r="U1" s="344"/>
    </row>
    <row r="2" spans="1:21" ht="15" customHeight="1" x14ac:dyDescent="0.3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Q2" s="344" t="s">
        <v>273</v>
      </c>
      <c r="R2" s="344" t="s">
        <v>274</v>
      </c>
      <c r="S2" s="344">
        <f>RATIOS!F74</f>
        <v>2700</v>
      </c>
      <c r="T2" s="344">
        <f>RATIOS!G74</f>
        <v>4500</v>
      </c>
      <c r="U2" s="344"/>
    </row>
    <row r="3" spans="1:21" ht="21" customHeight="1" x14ac:dyDescent="0.5">
      <c r="A3" s="141"/>
      <c r="B3" s="121" t="s">
        <v>275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Q3" s="345">
        <f>RATIOS!E70</f>
        <v>2022</v>
      </c>
      <c r="R3" s="344">
        <f>RATIOS!E74</f>
        <v>1200</v>
      </c>
    </row>
    <row r="4" spans="1:21" ht="15" customHeight="1" x14ac:dyDescent="0.35">
      <c r="A4" s="139"/>
      <c r="B4" s="514" t="str">
        <f>"All figures in "&amp;INPUT!D132&amp;" "&amp;INPUT!D133&amp;" unless stated"</f>
        <v>All figures in USD Utility unless stated</v>
      </c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Q4" s="345">
        <f>RATIOS!F70</f>
        <v>2023</v>
      </c>
      <c r="R4" s="344">
        <f>RATIOS!F74</f>
        <v>2700</v>
      </c>
    </row>
    <row r="5" spans="1:21" ht="15" customHeight="1" x14ac:dyDescent="0.3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Q5" s="361">
        <f>RATIOS!G70</f>
        <v>2024</v>
      </c>
      <c r="R5" s="361">
        <f>RATIOS!G74</f>
        <v>4500</v>
      </c>
      <c r="S5" s="361" t="s">
        <v>19</v>
      </c>
      <c r="T5" s="361" t="s">
        <v>276</v>
      </c>
    </row>
    <row r="6" spans="1:21" ht="15" customHeight="1" x14ac:dyDescent="0.35">
      <c r="A6" s="139"/>
      <c r="B6" s="130" t="s">
        <v>277</v>
      </c>
      <c r="C6" s="130"/>
      <c r="D6" s="130"/>
      <c r="E6" s="137"/>
      <c r="F6" s="137"/>
      <c r="G6" s="139"/>
      <c r="H6" s="177" t="s">
        <v>278</v>
      </c>
      <c r="I6" s="176"/>
      <c r="J6" s="176"/>
      <c r="K6" s="176"/>
      <c r="L6" s="176"/>
      <c r="M6" s="176"/>
      <c r="N6" s="139"/>
      <c r="Q6" s="361" t="str">
        <f>RATIOS!H70</f>
        <v>2025 (LTM)</v>
      </c>
      <c r="R6" s="361">
        <f>RATIOS!H74</f>
        <v>6600</v>
      </c>
      <c r="S6" s="361">
        <f>RATIOS!E73</f>
        <v>-86249.819999999992</v>
      </c>
      <c r="T6" s="361">
        <f>RATIOS!E78</f>
        <v>-0.5519324166666667</v>
      </c>
    </row>
    <row r="7" spans="1:21" ht="15" customHeight="1" x14ac:dyDescent="0.35">
      <c r="A7" s="139"/>
      <c r="B7" s="144"/>
      <c r="C7" s="144"/>
      <c r="D7" s="144"/>
      <c r="E7" s="144"/>
      <c r="F7" s="144"/>
      <c r="G7" s="139"/>
      <c r="H7" s="144"/>
      <c r="I7" s="176"/>
      <c r="J7" s="176"/>
      <c r="K7" s="176"/>
      <c r="L7" s="144"/>
      <c r="M7" s="139"/>
      <c r="N7" s="139"/>
      <c r="Q7" s="361">
        <v>2023</v>
      </c>
      <c r="R7" s="361">
        <f>RATIOS!F71</f>
        <v>1500</v>
      </c>
      <c r="S7" s="361">
        <f>RATIOS!F73</f>
        <v>-88348.83</v>
      </c>
      <c r="T7" s="361">
        <f>RATIOS!F78</f>
        <v>-0.57499879999999992</v>
      </c>
    </row>
    <row r="8" spans="1:21" ht="15" customHeight="1" x14ac:dyDescent="0.3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Q8" s="361">
        <v>2024</v>
      </c>
      <c r="R8" s="361">
        <f>RATIOS!G71</f>
        <v>1800</v>
      </c>
      <c r="S8" s="361">
        <f>RATIOS!G73</f>
        <v>-88348.83</v>
      </c>
      <c r="T8" s="361">
        <f>RATIOS!G78</f>
        <v>-0.49082683333333338</v>
      </c>
    </row>
    <row r="9" spans="1:21" ht="15" customHeight="1" x14ac:dyDescent="0.3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Q9" s="361" t="s">
        <v>4</v>
      </c>
      <c r="R9" s="361">
        <f>RATIOS!H71</f>
        <v>2100</v>
      </c>
      <c r="S9" s="361">
        <f>RATIOS!H73</f>
        <v>-88192.83</v>
      </c>
      <c r="T9" s="361">
        <f>RATIOS!H78</f>
        <v>-0.41996585714285717</v>
      </c>
    </row>
    <row r="10" spans="1:21" ht="15" customHeight="1" x14ac:dyDescent="0.3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</row>
    <row r="11" spans="1:21" ht="15" customHeight="1" x14ac:dyDescent="0.3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</row>
    <row r="12" spans="1:21" ht="15" customHeight="1" x14ac:dyDescent="0.3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</row>
    <row r="13" spans="1:21" ht="15" customHeight="1" x14ac:dyDescent="0.3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</row>
    <row r="14" spans="1:21" ht="15" customHeight="1" x14ac:dyDescent="0.35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</row>
    <row r="15" spans="1:21" ht="15" customHeight="1" x14ac:dyDescent="0.3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</row>
    <row r="16" spans="1:21" ht="15" customHeight="1" x14ac:dyDescent="0.35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39"/>
    </row>
    <row r="17" spans="1:14" ht="15" customHeight="1" x14ac:dyDescent="0.35">
      <c r="A17" s="139"/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39"/>
    </row>
    <row r="18" spans="1:14" ht="15" customHeight="1" x14ac:dyDescent="0.35">
      <c r="A18" s="139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</row>
    <row r="19" spans="1:14" ht="15" customHeight="1" x14ac:dyDescent="0.35">
      <c r="A19" s="139"/>
      <c r="B19" s="139"/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39"/>
      <c r="N19" s="139"/>
    </row>
    <row r="20" spans="1:14" ht="15" customHeight="1" x14ac:dyDescent="0.35">
      <c r="A20" s="139"/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</row>
    <row r="21" spans="1:14" ht="15" customHeight="1" x14ac:dyDescent="0.35">
      <c r="A21" s="139"/>
      <c r="B21" s="139"/>
      <c r="C21" s="139"/>
      <c r="D21" s="139"/>
      <c r="E21" s="139"/>
      <c r="F21" s="139"/>
      <c r="G21" s="139"/>
      <c r="H21" s="139"/>
      <c r="I21" s="139"/>
      <c r="J21" s="139"/>
      <c r="K21" s="139"/>
      <c r="L21" s="139"/>
      <c r="M21" s="139"/>
      <c r="N21" s="139"/>
    </row>
    <row r="22" spans="1:14" ht="15" customHeight="1" x14ac:dyDescent="0.35">
      <c r="A22" s="139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39"/>
    </row>
    <row r="23" spans="1:14" ht="15" customHeight="1" x14ac:dyDescent="0.35">
      <c r="A23" s="139"/>
      <c r="B23" s="177" t="s">
        <v>279</v>
      </c>
      <c r="C23" s="177"/>
      <c r="D23" s="177"/>
      <c r="E23" s="177"/>
      <c r="F23" s="178"/>
      <c r="G23" s="139"/>
      <c r="H23" s="177" t="s">
        <v>280</v>
      </c>
      <c r="I23" s="176"/>
      <c r="J23" s="176"/>
      <c r="K23" s="176"/>
      <c r="L23" s="176"/>
      <c r="M23" s="176"/>
      <c r="N23" s="139"/>
    </row>
    <row r="24" spans="1:14" ht="15" customHeight="1" x14ac:dyDescent="0.35">
      <c r="A24" s="139"/>
      <c r="B24" s="144"/>
      <c r="C24" s="144"/>
      <c r="D24" s="144"/>
      <c r="E24" s="144"/>
      <c r="F24" s="144"/>
      <c r="G24" s="139"/>
      <c r="H24" s="144"/>
      <c r="I24" s="144"/>
      <c r="J24" s="144"/>
      <c r="K24" s="144"/>
      <c r="L24" s="144"/>
      <c r="M24" s="139"/>
      <c r="N24" s="139"/>
    </row>
    <row r="25" spans="1:14" ht="15" customHeight="1" x14ac:dyDescent="0.35">
      <c r="A25" s="139"/>
      <c r="B25" s="139"/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M25" s="139"/>
      <c r="N25" s="139"/>
    </row>
    <row r="26" spans="1:14" ht="15" customHeight="1" x14ac:dyDescent="0.35">
      <c r="A26" s="139"/>
      <c r="B26" s="139"/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139"/>
    </row>
    <row r="27" spans="1:14" ht="15" customHeight="1" x14ac:dyDescent="0.35">
      <c r="A27" s="139"/>
      <c r="B27" s="139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</row>
    <row r="28" spans="1:14" ht="15" customHeight="1" x14ac:dyDescent="0.35">
      <c r="A28" s="139"/>
      <c r="B28" s="139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</row>
    <row r="29" spans="1:14" ht="15" customHeight="1" x14ac:dyDescent="0.35">
      <c r="A29" s="139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</row>
    <row r="30" spans="1:14" ht="15" customHeight="1" x14ac:dyDescent="0.35">
      <c r="A30" s="139"/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</row>
    <row r="31" spans="1:14" ht="15" customHeight="1" x14ac:dyDescent="0.35">
      <c r="A31" s="139"/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</row>
    <row r="32" spans="1:14" ht="15" customHeight="1" x14ac:dyDescent="0.35">
      <c r="A32" s="139"/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</row>
    <row r="33" spans="1:16" ht="15" customHeight="1" x14ac:dyDescent="0.35">
      <c r="A33" s="139"/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</row>
    <row r="34" spans="1:16" ht="15" customHeight="1" x14ac:dyDescent="0.35">
      <c r="A34" s="139"/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</row>
    <row r="35" spans="1:16" ht="15" customHeight="1" x14ac:dyDescent="0.35">
      <c r="A35" s="139"/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</row>
    <row r="36" spans="1:16" ht="15" customHeight="1" x14ac:dyDescent="0.35">
      <c r="A36" s="139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</row>
    <row r="37" spans="1:16" ht="15" customHeight="1" x14ac:dyDescent="0.35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</row>
    <row r="38" spans="1:16" ht="15" customHeight="1" x14ac:dyDescent="0.35">
      <c r="A38" s="139"/>
      <c r="B38" s="139"/>
      <c r="C38" s="139"/>
      <c r="D38" s="139"/>
      <c r="E38" s="139"/>
      <c r="F38" s="139"/>
      <c r="G38" s="139"/>
      <c r="H38" s="139"/>
      <c r="I38" s="139"/>
      <c r="J38" s="139"/>
      <c r="K38" s="139"/>
      <c r="L38" s="139"/>
      <c r="M38" s="139"/>
      <c r="N38" s="139"/>
    </row>
    <row r="39" spans="1:16" ht="15" customHeight="1" x14ac:dyDescent="0.35">
      <c r="A39" s="139"/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</row>
    <row r="40" spans="1:16" ht="15" customHeight="1" x14ac:dyDescent="0.35">
      <c r="A40" s="139"/>
      <c r="B40" s="175" t="s">
        <v>281</v>
      </c>
      <c r="C40" s="175"/>
      <c r="D40" s="175"/>
      <c r="E40" s="176"/>
      <c r="G40" s="139"/>
      <c r="H40" s="175" t="s">
        <v>282</v>
      </c>
      <c r="I40" s="176"/>
      <c r="J40" s="176"/>
      <c r="K40" s="176"/>
      <c r="L40" s="176"/>
      <c r="M40" s="176"/>
      <c r="N40" s="139"/>
    </row>
    <row r="41" spans="1:16" ht="15" customHeight="1" x14ac:dyDescent="0.35">
      <c r="A41" s="139"/>
      <c r="B41" s="139"/>
      <c r="C41" s="139"/>
      <c r="D41" s="139"/>
      <c r="E41" s="330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</row>
    <row r="42" spans="1:16" ht="15" customHeight="1" x14ac:dyDescent="0.35">
      <c r="A42" s="139"/>
      <c r="B42" s="139"/>
      <c r="C42" s="154" t="s">
        <v>283</v>
      </c>
      <c r="D42" s="331" t="s">
        <v>284</v>
      </c>
      <c r="E42" s="332"/>
      <c r="F42" s="329"/>
      <c r="H42" s="139"/>
      <c r="I42" s="154" t="s">
        <v>285</v>
      </c>
      <c r="J42" s="154" t="s">
        <v>286</v>
      </c>
      <c r="K42" s="154" t="s">
        <v>287</v>
      </c>
      <c r="L42" s="154" t="s">
        <v>288</v>
      </c>
      <c r="P42" s="139"/>
    </row>
    <row r="43" spans="1:16" ht="15" customHeight="1" outlineLevel="1" x14ac:dyDescent="0.35">
      <c r="A43" s="139"/>
      <c r="B43" s="152" t="s">
        <v>7</v>
      </c>
      <c r="C43" s="342">
        <f>AVERAGE(INPUT!D9:H9)</f>
        <v>1650</v>
      </c>
      <c r="D43" s="519" t="str">
        <f>IF(K43&gt;0,"▲",IF(K43&lt;0,"▼","─"))</f>
        <v>▲</v>
      </c>
      <c r="E43" s="330"/>
      <c r="F43" s="326"/>
      <c r="H43" s="152" t="s">
        <v>7</v>
      </c>
      <c r="I43" s="333">
        <f>INPUT!H9</f>
        <v>2100</v>
      </c>
      <c r="J43" s="333">
        <f>INPUT!G9</f>
        <v>1800</v>
      </c>
      <c r="K43" s="333">
        <f>I43-J43</f>
        <v>300</v>
      </c>
      <c r="L43" s="257">
        <f>IF(J43=0,NA(),K43/ABS(J43))</f>
        <v>0.16666666666666666</v>
      </c>
      <c r="P43" s="139"/>
    </row>
    <row r="44" spans="1:16" ht="15" customHeight="1" x14ac:dyDescent="0.35">
      <c r="A44" s="139"/>
      <c r="B44" s="153"/>
      <c r="C44" s="330"/>
      <c r="D44" s="330"/>
      <c r="E44" s="330"/>
      <c r="F44" s="139"/>
      <c r="H44" s="153"/>
      <c r="I44" s="179"/>
      <c r="J44" s="515"/>
      <c r="K44" s="515"/>
      <c r="L44" s="180"/>
      <c r="P44" s="139"/>
    </row>
    <row r="45" spans="1:16" ht="15" customHeight="1" outlineLevel="1" x14ac:dyDescent="0.35">
      <c r="A45" s="139"/>
      <c r="B45" s="152" t="s">
        <v>289</v>
      </c>
      <c r="C45" s="334">
        <f>ABS(AVERAGE(INPUT!D10:H10))</f>
        <v>74423.75</v>
      </c>
      <c r="D45" s="519" t="str">
        <f>IF(K45&gt;0,"▲",IF(K45&lt;0,"▼","─"))</f>
        <v>▼</v>
      </c>
      <c r="E45" s="330"/>
      <c r="F45" s="326"/>
      <c r="H45" s="152" t="s">
        <v>289</v>
      </c>
      <c r="I45" s="333">
        <f>ABS(INPUT!H10)</f>
        <v>77733</v>
      </c>
      <c r="J45" s="516">
        <f>ABS(INPUT!G10)</f>
        <v>80240</v>
      </c>
      <c r="K45" s="517">
        <f>I45-J45</f>
        <v>-2507</v>
      </c>
      <c r="L45" s="257">
        <f>IF(J45=0,NA(),K45/ABS(J45))</f>
        <v>-3.1243768693918244E-2</v>
      </c>
      <c r="P45" s="139"/>
    </row>
    <row r="46" spans="1:16" ht="15" customHeight="1" x14ac:dyDescent="0.35">
      <c r="A46" s="139"/>
      <c r="B46" s="153"/>
      <c r="C46" s="330"/>
      <c r="D46" s="330"/>
      <c r="E46" s="330"/>
      <c r="F46" s="139"/>
      <c r="H46" s="153"/>
      <c r="I46" s="179"/>
      <c r="J46" s="515"/>
      <c r="K46" s="515"/>
      <c r="L46" s="180"/>
      <c r="P46" s="139"/>
    </row>
    <row r="47" spans="1:16" ht="15" customHeight="1" outlineLevel="1" x14ac:dyDescent="0.35">
      <c r="A47" s="139"/>
      <c r="B47" s="152" t="s">
        <v>290</v>
      </c>
      <c r="C47" s="334">
        <f>ABS(AVERAGE(INPUT!D13:H13))</f>
        <v>7585.0380000000005</v>
      </c>
      <c r="D47" s="520" t="str">
        <f>IF(K47&gt;0,"▲",IF(K47&lt;0,"▼","─"))</f>
        <v>▲</v>
      </c>
      <c r="E47" s="330"/>
      <c r="F47" s="326"/>
      <c r="H47" s="152" t="s">
        <v>290</v>
      </c>
      <c r="I47" s="333">
        <f>ABS(INPUT!H13)</f>
        <v>12559.04</v>
      </c>
      <c r="J47" s="516">
        <f>ABS(INPUT!G13)</f>
        <v>9908.0299999999988</v>
      </c>
      <c r="K47" s="517">
        <f>I47-J47</f>
        <v>2651.010000000002</v>
      </c>
      <c r="L47" s="257">
        <f>IF(J47=0,NA(),K47/ABS(J47))</f>
        <v>0.26756176555783567</v>
      </c>
      <c r="P47" s="139"/>
    </row>
    <row r="48" spans="1:16" ht="15" customHeight="1" x14ac:dyDescent="0.35">
      <c r="A48" s="139"/>
      <c r="B48" s="153"/>
      <c r="C48" s="330"/>
      <c r="D48" s="330"/>
      <c r="E48" s="330"/>
      <c r="F48" s="139"/>
      <c r="H48" s="153"/>
      <c r="I48" s="179"/>
      <c r="J48" s="515"/>
      <c r="K48" s="515"/>
      <c r="L48" s="180"/>
      <c r="P48" s="139"/>
    </row>
    <row r="49" spans="1:16" ht="15" customHeight="1" outlineLevel="1" x14ac:dyDescent="0.35">
      <c r="A49" s="139"/>
      <c r="B49" s="152" t="s">
        <v>19</v>
      </c>
      <c r="C49" s="334">
        <f>AVERAGE(INPUT!D26:H26)</f>
        <v>-65804.673999999999</v>
      </c>
      <c r="D49" s="519" t="str">
        <f>IF(K49&gt;0,"▲",IF(K49&lt;0,"▼","─"))</f>
        <v>▲</v>
      </c>
      <c r="E49" s="330"/>
      <c r="F49" s="326"/>
      <c r="H49" s="152" t="s">
        <v>19</v>
      </c>
      <c r="I49" s="333">
        <f>INPUT!H26</f>
        <v>-88192.83</v>
      </c>
      <c r="J49" s="516">
        <f>INPUT!G26</f>
        <v>-88348.83</v>
      </c>
      <c r="K49" s="517">
        <f>I49-J49</f>
        <v>156</v>
      </c>
      <c r="L49" s="257">
        <f>IF(J49=0,NA(),K49/ABS(J49))</f>
        <v>1.7657279671954909E-3</v>
      </c>
      <c r="P49" s="139"/>
    </row>
    <row r="50" spans="1:16" ht="15" customHeight="1" x14ac:dyDescent="0.35">
      <c r="A50" s="139"/>
      <c r="B50" s="153"/>
      <c r="C50" s="330"/>
      <c r="D50" s="330"/>
      <c r="E50" s="330"/>
      <c r="F50" s="139"/>
      <c r="H50" s="153"/>
      <c r="I50" s="139"/>
      <c r="J50" s="518"/>
      <c r="K50" s="518"/>
      <c r="L50" s="180"/>
      <c r="P50" s="139"/>
    </row>
    <row r="51" spans="1:16" ht="15" customHeight="1" x14ac:dyDescent="0.35">
      <c r="A51" s="139"/>
      <c r="B51" s="152" t="s">
        <v>291</v>
      </c>
      <c r="C51" s="343">
        <f>IFERROR(IF(AVERAGE(INPUT!D9:H9)=0,"–",AVERAGE(INPUT!D26:H26)/AVERAGE(INPUT!D9:H9)),"–")</f>
        <v>-39.881620606060608</v>
      </c>
      <c r="D51" s="519" t="str">
        <f>IF(ISNUMBER(K51),IF(K51&gt;0,"▲",IF(K51&lt;0,"▼","─")),"─")</f>
        <v>▲</v>
      </c>
      <c r="E51" s="330"/>
      <c r="F51" s="328"/>
      <c r="H51" s="152" t="s">
        <v>291</v>
      </c>
      <c r="I51" s="257">
        <f>IFERROR(IF(INPUT!H9=0,"–",INPUT!H26/INPUT!H9),"–")</f>
        <v>-41.996585714285715</v>
      </c>
      <c r="J51" s="257">
        <f>IFERROR(IF(INPUT!G9=0,"–",INPUT!G26/INPUT!G9),"–")</f>
        <v>-49.082683333333335</v>
      </c>
      <c r="K51" s="257">
        <f>IFERROR(IF(ISNUMBER(I51)*ISNUMBER(J51),I51-J51,"–"),"–")</f>
        <v>7.0860976190476208</v>
      </c>
      <c r="L51" s="257">
        <f>IFERROR(IF(ISNUMBER(J51),IF(J51=0,NA(),K51/ABS(J51)),NA()),NA())</f>
        <v>0.14437062397188188</v>
      </c>
      <c r="P51" s="139"/>
    </row>
    <row r="52" spans="1:16" ht="15" customHeight="1" x14ac:dyDescent="0.35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</row>
    <row r="53" spans="1:16" ht="15" customHeight="1" x14ac:dyDescent="0.35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</row>
    <row r="54" spans="1:16" ht="15" customHeight="1" x14ac:dyDescent="0.35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</row>
    <row r="55" spans="1:16" ht="15" customHeight="1" x14ac:dyDescent="0.35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</row>
    <row r="56" spans="1:16" ht="15" customHeight="1" x14ac:dyDescent="0.35">
      <c r="A56" s="139"/>
      <c r="B56" s="175" t="s">
        <v>292</v>
      </c>
      <c r="C56" s="175"/>
      <c r="D56" s="175"/>
      <c r="E56" s="175"/>
      <c r="G56" s="139"/>
      <c r="H56" s="175" t="s">
        <v>293</v>
      </c>
      <c r="I56" s="176"/>
      <c r="J56" s="176"/>
      <c r="K56" s="176"/>
      <c r="L56" s="176"/>
      <c r="M56" s="176"/>
      <c r="N56" s="139"/>
    </row>
    <row r="57" spans="1:16" ht="15" customHeight="1" x14ac:dyDescent="0.35">
      <c r="A57" s="139"/>
      <c r="B57" s="139"/>
      <c r="C57" s="139"/>
      <c r="F57" s="139"/>
      <c r="G57" s="139"/>
      <c r="H57" s="139"/>
      <c r="I57" s="139"/>
      <c r="L57" s="139"/>
      <c r="M57" s="139"/>
    </row>
    <row r="58" spans="1:16" ht="15" customHeight="1" x14ac:dyDescent="0.35">
      <c r="A58" s="139"/>
      <c r="B58" s="139"/>
      <c r="C58" s="139"/>
      <c r="D58" s="523">
        <f>INPUT!G5</f>
        <v>2024</v>
      </c>
      <c r="E58" s="523" t="str">
        <f>INPUT!H5</f>
        <v>2025 (LTM)</v>
      </c>
      <c r="F58" s="139"/>
      <c r="G58" s="92"/>
      <c r="H58" s="139"/>
      <c r="I58" s="139"/>
      <c r="J58" s="529">
        <f>INPUT!G5</f>
        <v>2024</v>
      </c>
      <c r="K58" s="529" t="str">
        <f>INPUT!H5</f>
        <v>2025 (LTM)</v>
      </c>
      <c r="L58" s="139"/>
      <c r="M58" s="139"/>
    </row>
    <row r="59" spans="1:16" ht="15" customHeight="1" x14ac:dyDescent="0.35">
      <c r="A59" s="139"/>
      <c r="B59" s="139"/>
      <c r="C59" s="139"/>
      <c r="D59" s="531"/>
      <c r="E59" s="531"/>
      <c r="F59" s="92"/>
      <c r="G59" s="116"/>
      <c r="H59" s="136" t="s">
        <v>294</v>
      </c>
      <c r="I59" s="139"/>
      <c r="J59" s="530"/>
      <c r="K59" s="530"/>
    </row>
    <row r="60" spans="1:16" ht="15" customHeight="1" x14ac:dyDescent="0.35">
      <c r="A60" s="139"/>
      <c r="B60" s="136" t="s">
        <v>7</v>
      </c>
      <c r="C60" s="139"/>
      <c r="D60" s="524">
        <f>INPUT!G9</f>
        <v>1800</v>
      </c>
      <c r="E60" s="525">
        <f>INPUT!H9</f>
        <v>2100</v>
      </c>
      <c r="F60" s="116"/>
      <c r="G60" s="139"/>
      <c r="H60" s="138" t="s">
        <v>295</v>
      </c>
      <c r="I60" s="139"/>
      <c r="J60" s="341">
        <f>INPUT!G38</f>
        <v>17379.02</v>
      </c>
      <c r="K60" s="528">
        <f>INPUT!H38</f>
        <v>20007.010000000002</v>
      </c>
    </row>
    <row r="61" spans="1:16" ht="15" customHeight="1" x14ac:dyDescent="0.35">
      <c r="A61" s="139"/>
      <c r="B61" s="138" t="s">
        <v>289</v>
      </c>
      <c r="C61" s="139"/>
      <c r="D61" s="340">
        <f>INPUT!G10</f>
        <v>-80240</v>
      </c>
      <c r="E61" s="340">
        <f>INPUT!H10</f>
        <v>-77733</v>
      </c>
      <c r="F61" s="139"/>
      <c r="G61" s="139"/>
      <c r="H61" s="138" t="s">
        <v>296</v>
      </c>
      <c r="I61" s="139"/>
      <c r="J61" s="341">
        <f>SUM(INPUT!G41:G43)</f>
        <v>57191</v>
      </c>
      <c r="K61" s="338">
        <f>SUM(INPUT!H41:H43)</f>
        <v>62233</v>
      </c>
    </row>
    <row r="62" spans="1:16" ht="15" customHeight="1" x14ac:dyDescent="0.35">
      <c r="A62" s="139"/>
      <c r="B62" s="139"/>
      <c r="C62" s="139"/>
      <c r="D62" s="522"/>
      <c r="E62" s="139"/>
      <c r="F62" s="139"/>
      <c r="G62" s="116"/>
      <c r="H62" s="139"/>
      <c r="I62" s="139"/>
      <c r="J62" s="324"/>
      <c r="K62" s="139"/>
    </row>
    <row r="63" spans="1:16" ht="15" customHeight="1" thickBot="1" x14ac:dyDescent="0.4">
      <c r="A63" s="139"/>
      <c r="B63" s="136" t="s">
        <v>290</v>
      </c>
      <c r="C63" s="139"/>
      <c r="D63" s="527"/>
      <c r="E63" s="327"/>
      <c r="F63" s="116"/>
      <c r="G63" s="116"/>
      <c r="H63" s="136" t="s">
        <v>31</v>
      </c>
      <c r="I63" s="139"/>
      <c r="J63" s="521">
        <f>INPUT!G44</f>
        <v>74570.02</v>
      </c>
      <c r="K63" s="521">
        <f>INPUT!H44</f>
        <v>82240.010000000009</v>
      </c>
    </row>
    <row r="64" spans="1:16" ht="15" customHeight="1" x14ac:dyDescent="0.35">
      <c r="A64" s="139"/>
      <c r="B64" s="138" t="s">
        <v>297</v>
      </c>
      <c r="C64" s="139"/>
      <c r="D64" s="341">
        <f>ABS(INPUT!G14)</f>
        <v>0.03</v>
      </c>
      <c r="E64" s="336">
        <f>ABS(INPUT!H14)</f>
        <v>0.04</v>
      </c>
      <c r="F64" s="116"/>
      <c r="G64" s="116"/>
      <c r="H64" s="139"/>
      <c r="I64" s="139"/>
      <c r="J64" s="324"/>
      <c r="K64" s="139"/>
    </row>
    <row r="65" spans="1:15 16369:16369" ht="15" customHeight="1" x14ac:dyDescent="0.35">
      <c r="A65" s="139"/>
      <c r="B65" s="138" t="s">
        <v>298</v>
      </c>
      <c r="C65" s="139"/>
      <c r="D65" s="341">
        <f>ABS(INPUT!G15)</f>
        <v>4540</v>
      </c>
      <c r="E65" s="336">
        <f>ABS(INPUT!H15)</f>
        <v>6411</v>
      </c>
      <c r="F65" s="116"/>
      <c r="G65" s="116"/>
      <c r="H65" s="136" t="s">
        <v>300</v>
      </c>
      <c r="I65" s="139"/>
      <c r="J65" s="526"/>
      <c r="K65" s="327"/>
    </row>
    <row r="66" spans="1:15 16369:16369" ht="15" customHeight="1" x14ac:dyDescent="0.35">
      <c r="A66" s="139"/>
      <c r="B66" s="138" t="s">
        <v>299</v>
      </c>
      <c r="C66" s="139"/>
      <c r="D66" s="341">
        <f>ABS(INPUT!G16)</f>
        <v>5368</v>
      </c>
      <c r="E66" s="336">
        <f>ABS(INPUT!H16)</f>
        <v>6148</v>
      </c>
      <c r="F66" s="116"/>
      <c r="G66" s="116"/>
      <c r="H66" s="138" t="s">
        <v>302</v>
      </c>
      <c r="I66" s="139"/>
      <c r="J66" s="341">
        <f>INPUT!G51</f>
        <v>2922.9</v>
      </c>
      <c r="K66" s="338">
        <f>INPUT!H51</f>
        <v>3532.91</v>
      </c>
    </row>
    <row r="67" spans="1:15 16369:16369" ht="15" customHeight="1" x14ac:dyDescent="0.35">
      <c r="A67" s="139"/>
      <c r="B67" s="138" t="s">
        <v>301</v>
      </c>
      <c r="C67" s="139"/>
      <c r="D67" s="339">
        <f>ABS(INPUT!G20)</f>
        <v>0.8</v>
      </c>
      <c r="E67" s="335">
        <f>ABS(INPUT!H20)</f>
        <v>0.79</v>
      </c>
      <c r="F67" s="116"/>
      <c r="G67" s="139"/>
      <c r="H67" s="3" t="s">
        <v>517</v>
      </c>
      <c r="I67"/>
      <c r="J67" s="485">
        <f>INPUT!G54</f>
        <v>5535</v>
      </c>
      <c r="K67" s="485">
        <f>INPUT!H54</f>
        <v>6584</v>
      </c>
    </row>
    <row r="68" spans="1:15 16369:16369" ht="15" customHeight="1" x14ac:dyDescent="0.35">
      <c r="A68" s="139"/>
      <c r="B68" s="76" t="s">
        <v>303</v>
      </c>
      <c r="D68" s="532">
        <f>SUM(D64:D67)</f>
        <v>9908.8299999999981</v>
      </c>
      <c r="E68" s="532">
        <f>SUM(E64:E67)</f>
        <v>12559.830000000002</v>
      </c>
      <c r="F68" s="139"/>
      <c r="G68" s="139"/>
      <c r="H68" s="76" t="s">
        <v>38</v>
      </c>
      <c r="I68" s="139"/>
      <c r="J68" s="339">
        <f>INPUT!G55</f>
        <v>8457.9</v>
      </c>
      <c r="K68" s="337">
        <f>INPUT!H55</f>
        <v>10116.91</v>
      </c>
    </row>
    <row r="69" spans="1:15 16369:16369" ht="15" customHeight="1" x14ac:dyDescent="0.35">
      <c r="A69" s="139"/>
      <c r="B69" s="139"/>
      <c r="C69" s="139"/>
      <c r="D69" s="324"/>
      <c r="E69" s="139"/>
      <c r="F69" s="139"/>
      <c r="G69" s="92"/>
      <c r="H69" s="139"/>
      <c r="I69" s="139"/>
      <c r="J69" s="527"/>
      <c r="K69" s="327"/>
    </row>
    <row r="70" spans="1:15 16369:16369" ht="15" customHeight="1" thickBot="1" x14ac:dyDescent="0.4">
      <c r="A70" s="139"/>
      <c r="B70" s="139"/>
      <c r="C70" s="139"/>
      <c r="D70" s="325"/>
      <c r="E70" s="325"/>
      <c r="F70" s="92"/>
      <c r="G70" s="139"/>
      <c r="H70" s="136" t="s">
        <v>305</v>
      </c>
      <c r="I70" s="139"/>
      <c r="J70" s="521">
        <f>INPUT!G63</f>
        <v>8445.57</v>
      </c>
      <c r="K70" s="521">
        <f>INPUT!H63</f>
        <v>10104.56</v>
      </c>
    </row>
    <row r="71" spans="1:15 16369:16369" ht="15" customHeight="1" thickBot="1" x14ac:dyDescent="0.4">
      <c r="A71" s="139"/>
      <c r="B71" s="136" t="s">
        <v>304</v>
      </c>
      <c r="C71" s="139"/>
      <c r="D71" s="521">
        <f>D60+D61-D68</f>
        <v>-88348.83</v>
      </c>
      <c r="E71" s="521">
        <f>E60+E61-E68</f>
        <v>-88192.83</v>
      </c>
      <c r="F71" s="139"/>
      <c r="H71" s="139"/>
      <c r="I71" s="139"/>
      <c r="J71" s="139"/>
      <c r="K71" s="139"/>
      <c r="L71" s="139"/>
    </row>
    <row r="72" spans="1:15 16369:16369" ht="15" customHeight="1" x14ac:dyDescent="0.35">
      <c r="B72" s="139"/>
      <c r="C72" s="139"/>
      <c r="D72" s="139"/>
      <c r="E72" s="139"/>
      <c r="L72" s="139"/>
      <c r="XEO72" s="139"/>
    </row>
    <row r="73" spans="1:15 16369:16369" ht="15" customHeight="1" x14ac:dyDescent="0.35">
      <c r="K73" s="139"/>
      <c r="XEO73" s="139"/>
    </row>
    <row r="74" spans="1:15 16369:16369" ht="15" customHeight="1" x14ac:dyDescent="0.35">
      <c r="K74" s="139"/>
    </row>
    <row r="75" spans="1:15 16369:16369" ht="15" customHeight="1" x14ac:dyDescent="0.3"/>
    <row r="76" spans="1:15 16369:16369" ht="15" customHeight="1" x14ac:dyDescent="0.35">
      <c r="G76" s="267"/>
      <c r="N76" s="188"/>
      <c r="O76" s="188"/>
    </row>
    <row r="77" spans="1:15 16369:16369" ht="15" customHeight="1" x14ac:dyDescent="0.35">
      <c r="A77" s="187"/>
      <c r="F77" s="267"/>
      <c r="G77" s="267"/>
      <c r="H77" s="267"/>
      <c r="I77" s="267"/>
      <c r="J77" s="267"/>
      <c r="K77" s="267"/>
      <c r="L77" s="267"/>
      <c r="M77" s="267"/>
      <c r="N77" s="188"/>
      <c r="O77" s="188"/>
    </row>
    <row r="78" spans="1:15 16369:16369" ht="15" customHeight="1" x14ac:dyDescent="0.35">
      <c r="A78" s="18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188"/>
      <c r="N78" s="188"/>
      <c r="O78" s="188"/>
    </row>
    <row r="79" spans="1:15 16369:16369" ht="15" customHeight="1" x14ac:dyDescent="0.35">
      <c r="A79" s="187"/>
      <c r="B79" s="267"/>
      <c r="C79" s="267"/>
      <c r="D79" s="267"/>
      <c r="E79" s="267"/>
      <c r="F79" s="267"/>
      <c r="G79" s="270" t="str">
        <f>INPUT!H5</f>
        <v>2025 (LTM)</v>
      </c>
      <c r="H79" s="267"/>
      <c r="I79" s="267"/>
      <c r="J79" s="267"/>
      <c r="K79" s="267"/>
      <c r="L79" s="267"/>
      <c r="M79" s="188"/>
      <c r="N79" s="271"/>
      <c r="O79" s="188"/>
    </row>
    <row r="80" spans="1:15 16369:16369" ht="15" customHeight="1" x14ac:dyDescent="0.35">
      <c r="A80" s="188"/>
      <c r="B80" s="267"/>
      <c r="C80" s="267"/>
      <c r="D80" s="267"/>
      <c r="E80" s="267"/>
      <c r="F80" s="270">
        <f>INPUT!G5</f>
        <v>2024</v>
      </c>
      <c r="G80" s="271">
        <f>IF(INPUT!H9="",NA(),INPUT!H9)</f>
        <v>2100</v>
      </c>
      <c r="H80" s="271"/>
      <c r="I80" s="270" t="e">
        <f>IF(INPUT!D5="",NA(),INPUT!D5)</f>
        <v>#N/A</v>
      </c>
      <c r="J80" s="270">
        <f>INPUT!E5</f>
        <v>2022</v>
      </c>
      <c r="K80" s="270">
        <f>INPUT!F5</f>
        <v>2023</v>
      </c>
      <c r="L80" s="270">
        <f>INPUT!G5</f>
        <v>2024</v>
      </c>
      <c r="M80" s="270" t="str">
        <f>INPUT!H5</f>
        <v>2025 (LTM)</v>
      </c>
      <c r="N80" s="271"/>
      <c r="O80" s="188"/>
    </row>
    <row r="81" spans="1:15 16373:16384" ht="15" customHeight="1" x14ac:dyDescent="0.3">
      <c r="A81" s="188"/>
      <c r="B81" s="188"/>
      <c r="C81" s="268" t="e">
        <f>IF(INPUT!D5="",NA(),INPUT!D5)</f>
        <v>#N/A</v>
      </c>
      <c r="D81" s="269">
        <f>INPUT!E5</f>
        <v>2022</v>
      </c>
      <c r="E81" s="270">
        <f>INPUT!F5</f>
        <v>2023</v>
      </c>
      <c r="F81" s="271">
        <f>IF(INPUT!G9="",NA(),INPUT!G9)</f>
        <v>1800</v>
      </c>
      <c r="G81" s="271">
        <f>IF(INPUT!G30="",NA(),INPUT!G30)</f>
        <v>-82980.03</v>
      </c>
      <c r="H81" s="271"/>
      <c r="I81" s="271"/>
      <c r="J81" s="271"/>
      <c r="K81" s="271"/>
      <c r="L81" s="271"/>
      <c r="M81" s="271"/>
      <c r="N81" s="271"/>
      <c r="O81" s="271"/>
    </row>
    <row r="82" spans="1:15 16373:16384" ht="15" customHeight="1" x14ac:dyDescent="0.3">
      <c r="A82" s="188"/>
      <c r="B82" s="188" t="s">
        <v>7</v>
      </c>
      <c r="C82" s="272" t="e">
        <f>IF(INPUT!D9="",NA(),INPUT!D9)</f>
        <v>#N/A</v>
      </c>
      <c r="D82" s="188">
        <f>IF(INPUT!E9="",NA(),INPUT!E9)</f>
        <v>1200</v>
      </c>
      <c r="E82" s="271">
        <f>IF(INPUT!F9="",NA(),INPUT!F9)</f>
        <v>1500</v>
      </c>
      <c r="F82" s="271">
        <f>IF(INPUT!F30="",NA(),INPUT!F30)</f>
        <v>-81582.03</v>
      </c>
      <c r="G82" s="271">
        <f>IF(INPUT!G26="",NA(),INPUT!G26)</f>
        <v>-88348.83</v>
      </c>
      <c r="H82" s="271">
        <f>IF(INPUT!H30="",NA(),INPUT!H30)</f>
        <v>-82044.040000000008</v>
      </c>
      <c r="I82" s="271"/>
      <c r="J82" s="271"/>
      <c r="K82" s="271"/>
      <c r="L82" s="271"/>
      <c r="M82" s="271"/>
      <c r="N82" s="271"/>
      <c r="O82" s="271"/>
    </row>
    <row r="83" spans="1:15 16373:16384" ht="15" customHeight="1" x14ac:dyDescent="0.3">
      <c r="A83" s="188"/>
      <c r="B83" s="188"/>
      <c r="C83" s="188" t="s">
        <v>21</v>
      </c>
      <c r="D83" s="272">
        <f>IF(INPUT!D30="",NA(),INPUT!D30)</f>
        <v>0</v>
      </c>
      <c r="E83" s="188">
        <f>IF(INPUT!E30="",NA(),INPUT!E30)</f>
        <v>-62484.09</v>
      </c>
      <c r="F83" s="271">
        <f>IF(INPUT!F26="",NA(),INPUT!F26)</f>
        <v>-86249.819999999992</v>
      </c>
      <c r="G83" s="271"/>
      <c r="H83" s="271">
        <f>IF(INPUT!H26="",NA(),INPUT!H26)</f>
        <v>-88192.83</v>
      </c>
      <c r="I83" s="271"/>
      <c r="J83" s="271"/>
      <c r="K83" s="271">
        <f>RATIOS!E70</f>
        <v>2022</v>
      </c>
      <c r="L83" s="271">
        <f>RATIOS!F70</f>
        <v>2023</v>
      </c>
      <c r="M83" s="271">
        <f>RATIOS!G70</f>
        <v>2024</v>
      </c>
      <c r="N83" s="270" t="str">
        <f>RATIOS!H70</f>
        <v>2025 (LTM)</v>
      </c>
      <c r="O83" s="271"/>
    </row>
    <row r="84" spans="1:15 16373:16384" ht="15" customHeight="1" x14ac:dyDescent="0.3">
      <c r="A84" s="188"/>
      <c r="B84" s="188"/>
      <c r="C84" s="188" t="s">
        <v>19</v>
      </c>
      <c r="D84" s="272">
        <f>IF(INPUT!D26="",NA(),INPUT!D26)</f>
        <v>0</v>
      </c>
      <c r="E84" s="188">
        <f>IF(INPUT!E26="",NA(),INPUT!E26)</f>
        <v>-66231.89</v>
      </c>
      <c r="F84" s="271"/>
      <c r="G84" s="271"/>
      <c r="H84" s="271"/>
      <c r="I84" s="271"/>
      <c r="J84" s="270" t="s">
        <v>170</v>
      </c>
      <c r="K84" s="270">
        <f>IF(INPUT!E9="",NA(),INPUT!E11/INPUT!E9/100)</f>
        <v>-0.49507499999999999</v>
      </c>
      <c r="L84" s="270">
        <f>IF(INPUT!F9="",NA(),INPUT!F11/INPUT!F9/100)</f>
        <v>-0.51741999999999999</v>
      </c>
      <c r="M84" s="270">
        <f>IF(INPUT!G9="",NA(),INPUT!G11/INPUT!G9/100)</f>
        <v>-0.43577777777777776</v>
      </c>
      <c r="N84" s="271">
        <f>IF(INPUT!H9="",NA(),INPUT!H11/INPUT!H9/100)</f>
        <v>-0.3601571428571429</v>
      </c>
      <c r="O84" s="271"/>
    </row>
    <row r="85" spans="1:15 16373:16384" ht="15" customHeight="1" x14ac:dyDescent="0.3">
      <c r="A85" s="188"/>
      <c r="B85" s="188"/>
      <c r="C85" s="188"/>
      <c r="D85" s="272"/>
      <c r="E85" s="188"/>
      <c r="F85" s="271"/>
      <c r="G85" s="271"/>
      <c r="H85" s="271"/>
      <c r="I85" s="271" t="s">
        <v>170</v>
      </c>
      <c r="J85" s="271" t="s">
        <v>109</v>
      </c>
      <c r="K85" s="271">
        <f>IF(INPUT!E9="",NA(),INPUT!E30/INPUT!E9/100)</f>
        <v>-0.52070074999999993</v>
      </c>
      <c r="L85" s="271">
        <f>IF(INPUT!F9="",NA(),INPUT!F30/INPUT!F9/100)</f>
        <v>-0.54388019999999992</v>
      </c>
      <c r="M85" s="271">
        <f>IF(INPUT!G9="",NA(),INPUT!G30/INPUT!G9/100)</f>
        <v>-0.46100016666666671</v>
      </c>
      <c r="N85" s="271">
        <f>IF(INPUT!H9="",NA(),INPUT!H30/INPUT!H9/100)</f>
        <v>-0.39068590476190479</v>
      </c>
      <c r="O85" s="271"/>
    </row>
    <row r="86" spans="1:15 16373:16384" ht="15" customHeight="1" x14ac:dyDescent="0.3">
      <c r="A86" s="188"/>
      <c r="B86" s="188"/>
      <c r="C86" s="188"/>
      <c r="D86" s="272"/>
      <c r="E86" s="188"/>
      <c r="F86" s="271"/>
      <c r="G86" s="270">
        <f>INPUT!G5</f>
        <v>2024</v>
      </c>
      <c r="H86" s="271"/>
      <c r="I86" s="271" t="s">
        <v>109</v>
      </c>
      <c r="J86" s="271" t="s">
        <v>276</v>
      </c>
      <c r="K86" s="271">
        <f>IF(INPUT!E9="",NA(),INPUT!E26/INPUT!E9/100)</f>
        <v>-0.5519324166666667</v>
      </c>
      <c r="L86" s="271">
        <f>IF(INPUT!F9="",NA(),INPUT!F26/INPUT!F9/100)</f>
        <v>-0.57499879999999992</v>
      </c>
      <c r="M86" s="271">
        <f>IF(INPUT!G9="",NA(),INPUT!G26/INPUT!G9/100)</f>
        <v>-0.49082683333333338</v>
      </c>
      <c r="N86" s="271">
        <f>IF(INPUT!H9="",NA(),INPUT!H26/INPUT!H9/100)</f>
        <v>-0.41996585714285717</v>
      </c>
      <c r="O86" s="271"/>
    </row>
    <row r="87" spans="1:15 16373:16384" ht="15" customHeight="1" x14ac:dyDescent="0.3">
      <c r="A87" s="188"/>
      <c r="B87" s="188"/>
      <c r="C87" s="188"/>
      <c r="D87" s="272"/>
      <c r="E87" s="188"/>
      <c r="F87" s="270">
        <f>INPUT!F5</f>
        <v>2023</v>
      </c>
      <c r="G87" s="271">
        <f>IF(INPUT!G9="",NA(),INPUT!G9)</f>
        <v>1800</v>
      </c>
      <c r="H87" s="270" t="str">
        <f>INPUT!H5</f>
        <v>2025 (LTM)</v>
      </c>
      <c r="I87" s="271" t="s">
        <v>276</v>
      </c>
      <c r="J87" s="271" t="e">
        <f>IF(INPUT!D9="",NA(),INPUT!D26/INPUT!D9)</f>
        <v>#N/A</v>
      </c>
      <c r="K87" s="271"/>
      <c r="L87" s="271"/>
      <c r="M87" s="271"/>
      <c r="N87" s="271"/>
      <c r="O87" s="271"/>
    </row>
    <row r="88" spans="1:15 16373:16384" ht="15" customHeight="1" x14ac:dyDescent="0.3">
      <c r="A88" s="188"/>
      <c r="B88" s="188"/>
      <c r="C88" s="188"/>
      <c r="D88" s="268" t="e">
        <f>IF(INPUT!D5="",NA(),INPUT!D5)</f>
        <v>#N/A</v>
      </c>
      <c r="E88" s="269">
        <f>INPUT!E5</f>
        <v>2022</v>
      </c>
      <c r="F88" s="271">
        <f>IF(INPUT!F9="",NA(),INPUT!F9)</f>
        <v>1500</v>
      </c>
      <c r="G88" s="271"/>
      <c r="H88" s="271">
        <f>IF(INPUT!H9="",NA(),INPUT!H9)</f>
        <v>2100</v>
      </c>
      <c r="I88" s="271"/>
      <c r="J88" s="271"/>
      <c r="K88" s="271"/>
      <c r="L88" s="271"/>
      <c r="M88" s="271"/>
      <c r="N88" s="270" t="str">
        <f>INPUT!H5</f>
        <v>2025 (LTM)</v>
      </c>
      <c r="O88" s="271"/>
    </row>
    <row r="89" spans="1:15 16373:16384" ht="15" customHeight="1" x14ac:dyDescent="0.3">
      <c r="A89" s="188"/>
      <c r="B89" s="188"/>
      <c r="C89" s="188" t="s">
        <v>7</v>
      </c>
      <c r="D89" s="272" t="e">
        <f>IF(INPUT!D9="",NA(),INPUT!D9)</f>
        <v>#N/A</v>
      </c>
      <c r="E89" s="188">
        <f>IF(INPUT!E9="",NA(),INPUT!E9)</f>
        <v>1200</v>
      </c>
      <c r="F89" s="271"/>
      <c r="G89" s="271"/>
      <c r="H89" s="271"/>
      <c r="I89" s="271"/>
      <c r="J89" s="270" t="e">
        <f>IF(INPUT!D5="",NA(),INPUT!D5)</f>
        <v>#N/A</v>
      </c>
      <c r="K89" s="270">
        <f>INPUT!E5</f>
        <v>2022</v>
      </c>
      <c r="L89" s="270">
        <f>INPUT!F5</f>
        <v>2023</v>
      </c>
      <c r="M89" s="270">
        <f>INPUT!G5</f>
        <v>2024</v>
      </c>
      <c r="N89" s="271">
        <f>IF(INPUT!H14="",NA(),ABS(INPUT!H14))</f>
        <v>0.04</v>
      </c>
      <c r="O89" s="271"/>
      <c r="XES89" s="44"/>
      <c r="XEU89" s="20"/>
      <c r="XEV89" s="20"/>
      <c r="XEW89" s="20"/>
      <c r="XEX89" s="20"/>
      <c r="XEY89" s="20"/>
      <c r="XEZ89" s="20"/>
      <c r="XFA89" s="20"/>
      <c r="XFB89" s="20"/>
      <c r="XFC89" s="20"/>
      <c r="XFD89" s="20"/>
    </row>
    <row r="90" spans="1:15 16373:16384" ht="15" customHeight="1" x14ac:dyDescent="0.3">
      <c r="A90" s="188"/>
      <c r="B90" s="188"/>
      <c r="C90" s="188"/>
      <c r="D90" s="272"/>
      <c r="E90" s="188"/>
      <c r="F90" s="271"/>
      <c r="G90" s="271"/>
      <c r="H90" s="271"/>
      <c r="I90" s="271" t="s">
        <v>297</v>
      </c>
      <c r="J90" s="271" t="e">
        <f>IF(INPUT!D14="",NA(),ABS(INPUT!D14))</f>
        <v>#N/A</v>
      </c>
      <c r="K90" s="271">
        <f>IF(INPUT!E14="",NA(),ABS(INPUT!E14))</f>
        <v>0.09</v>
      </c>
      <c r="L90" s="271">
        <f>IF(INPUT!F14="",NA(),ABS(INPUT!F14))</f>
        <v>0.03</v>
      </c>
      <c r="M90" s="271">
        <f>IF(INPUT!G14="",NA(),ABS(INPUT!G14))</f>
        <v>0.03</v>
      </c>
      <c r="N90" s="271">
        <f>IF(INPUT!H15="",NA(),ABS(INPUT!H15))</f>
        <v>6411</v>
      </c>
      <c r="O90" s="271"/>
      <c r="XES90" s="44"/>
      <c r="XEU90" s="20"/>
      <c r="XEV90" s="20"/>
      <c r="XEW90" s="20"/>
      <c r="XEX90" s="20"/>
      <c r="XEY90" s="20"/>
      <c r="XEZ90" s="20"/>
      <c r="XFA90" s="20"/>
      <c r="XFB90" s="20"/>
      <c r="XFC90" s="20"/>
      <c r="XFD90" s="20"/>
    </row>
    <row r="91" spans="1:15 16373:16384" ht="15" customHeight="1" x14ac:dyDescent="0.3">
      <c r="A91" s="188"/>
      <c r="B91" s="188"/>
      <c r="C91" s="188"/>
      <c r="D91" s="272"/>
      <c r="E91" s="188"/>
      <c r="F91" s="271"/>
      <c r="G91" s="271"/>
      <c r="H91" s="271"/>
      <c r="I91" s="271" t="s">
        <v>298</v>
      </c>
      <c r="J91" s="271" t="e">
        <f>IF(INPUT!D15="",NA(),ABS(INPUT!D15))</f>
        <v>#N/A</v>
      </c>
      <c r="K91" s="271">
        <f>IF(INPUT!E15="",NA(),ABS(INPUT!E15))</f>
        <v>3075</v>
      </c>
      <c r="L91" s="271">
        <f>IF(INPUT!F15="",NA(),ABS(INPUT!F15))</f>
        <v>3969</v>
      </c>
      <c r="M91" s="271">
        <f>IF(INPUT!G15="",NA(),ABS(INPUT!G15))</f>
        <v>4540</v>
      </c>
      <c r="N91" s="271">
        <f>IF(INPUT!H16="",NA(),ABS(INPUT!H16))</f>
        <v>6148</v>
      </c>
      <c r="O91" s="271"/>
    </row>
    <row r="92" spans="1:15 16373:16384" ht="15" customHeight="1" x14ac:dyDescent="0.3">
      <c r="A92" s="188"/>
      <c r="B92" s="188"/>
      <c r="C92" s="188"/>
      <c r="D92" s="272"/>
      <c r="E92" s="188"/>
      <c r="F92" s="271"/>
      <c r="G92" s="271"/>
      <c r="H92" s="271"/>
      <c r="I92" s="271" t="s">
        <v>299</v>
      </c>
      <c r="J92" s="271" t="e">
        <f>IF(INPUT!D16="",NA(),ABS(INPUT!D16))</f>
        <v>#N/A</v>
      </c>
      <c r="K92" s="271">
        <f>IF(INPUT!E16="",NA(),ABS(INPUT!E16))</f>
        <v>3747</v>
      </c>
      <c r="L92" s="271">
        <f>IF(INPUT!F16="",NA(),ABS(INPUT!F16))</f>
        <v>4667</v>
      </c>
      <c r="M92" s="271">
        <f>IF(INPUT!G16="",NA(),ABS(INPUT!G16))</f>
        <v>5368</v>
      </c>
      <c r="N92" s="271">
        <f>IF(INPUT!H14="",NA(),ABS(INPUT!H20))</f>
        <v>0.79</v>
      </c>
      <c r="O92" s="271"/>
    </row>
    <row r="93" spans="1:15 16373:16384" ht="15" customHeight="1" x14ac:dyDescent="0.3">
      <c r="A93" s="188"/>
      <c r="B93" s="188"/>
      <c r="C93" s="188"/>
      <c r="D93" s="272"/>
      <c r="E93" s="188"/>
      <c r="F93" s="271"/>
      <c r="G93" s="271"/>
      <c r="H93" s="271"/>
      <c r="I93" s="271" t="s">
        <v>301</v>
      </c>
      <c r="J93" s="271" t="e">
        <f>IF(INPUT!D5="",NA(),INPUT!D5)</f>
        <v>#N/A</v>
      </c>
      <c r="K93" s="271">
        <f>IF(INPUT!E14="",NA(),ABS(INPUT!E20))</f>
        <v>0.8</v>
      </c>
      <c r="L93" s="271">
        <f>IF(INPUT!F14="",NA(),ABS(INPUT!F20))</f>
        <v>0.79</v>
      </c>
      <c r="M93" s="271">
        <f>IF(INPUT!G14="",NA(),ABS(INPUT!G20))</f>
        <v>0.8</v>
      </c>
      <c r="N93" s="271"/>
      <c r="O93" s="271"/>
    </row>
    <row r="94" spans="1:15 16373:16384" ht="15" customHeight="1" x14ac:dyDescent="0.3">
      <c r="A94" s="188"/>
      <c r="B94" s="188"/>
      <c r="C94" s="188"/>
      <c r="D94" s="272"/>
      <c r="E94" s="188"/>
      <c r="F94" s="271"/>
      <c r="H94" s="271"/>
      <c r="I94" s="271"/>
      <c r="J94" s="271"/>
      <c r="K94" s="271"/>
      <c r="L94" s="271"/>
      <c r="M94" s="271"/>
    </row>
    <row r="95" spans="1:15 16373:16384" ht="15" customHeight="1" x14ac:dyDescent="0.3">
      <c r="B95" s="188"/>
      <c r="C95" s="188"/>
      <c r="D95" s="272"/>
      <c r="E95" s="188"/>
    </row>
    <row r="96" spans="1:15 16373:16384" ht="15" customHeight="1" x14ac:dyDescent="0.3">
      <c r="B96" s="44"/>
    </row>
    <row r="97" spans="2:2" ht="15" customHeight="1" x14ac:dyDescent="0.3">
      <c r="B97" s="44"/>
    </row>
    <row r="98" spans="2:2" ht="15" customHeight="1" x14ac:dyDescent="0.3">
      <c r="B98" s="44"/>
    </row>
    <row r="99" spans="2:2" ht="15" customHeight="1" x14ac:dyDescent="0.3">
      <c r="B99" s="44"/>
    </row>
    <row r="100" spans="2:2" ht="15" customHeight="1" x14ac:dyDescent="0.3">
      <c r="B100" s="44"/>
    </row>
    <row r="101" spans="2:2" ht="15" customHeight="1" x14ac:dyDescent="0.3">
      <c r="B101" s="44"/>
    </row>
    <row r="102" spans="2:2" ht="15" customHeight="1" x14ac:dyDescent="0.3">
      <c r="B102" s="44"/>
    </row>
    <row r="103" spans="2:2" ht="15" customHeight="1" x14ac:dyDescent="0.3">
      <c r="B103" s="44"/>
    </row>
    <row r="104" spans="2:2" ht="15" customHeight="1" x14ac:dyDescent="0.3">
      <c r="B104" s="44"/>
    </row>
    <row r="105" spans="2:2" ht="15" customHeight="1" x14ac:dyDescent="0.3">
      <c r="B105" s="44"/>
    </row>
    <row r="106" spans="2:2" ht="15" customHeight="1" x14ac:dyDescent="0.3">
      <c r="B106" s="44"/>
    </row>
    <row r="107" spans="2:2" ht="15" customHeight="1" x14ac:dyDescent="0.3">
      <c r="B107" s="44"/>
    </row>
    <row r="108" spans="2:2" ht="15" customHeight="1" x14ac:dyDescent="0.3">
      <c r="B108" s="44"/>
    </row>
    <row r="109" spans="2:2" ht="15" customHeight="1" x14ac:dyDescent="0.3">
      <c r="B109" s="44"/>
    </row>
    <row r="110" spans="2:2" ht="15" customHeight="1" x14ac:dyDescent="0.3">
      <c r="B110" s="44"/>
    </row>
    <row r="111" spans="2:2" ht="15" customHeight="1" x14ac:dyDescent="0.3">
      <c r="B111" s="44"/>
    </row>
    <row r="112" spans="2:2" ht="15" customHeight="1" x14ac:dyDescent="0.3">
      <c r="B112" s="44"/>
    </row>
    <row r="113" spans="2:2" ht="15" customHeight="1" x14ac:dyDescent="0.3">
      <c r="B113" s="44"/>
    </row>
    <row r="114" spans="2:2" ht="15" customHeight="1" x14ac:dyDescent="0.3">
      <c r="B114" s="44"/>
    </row>
    <row r="115" spans="2:2" ht="15" customHeight="1" x14ac:dyDescent="0.3">
      <c r="B115" s="44"/>
    </row>
    <row r="116" spans="2:2" ht="15" customHeight="1" x14ac:dyDescent="0.3">
      <c r="B116" s="44"/>
    </row>
    <row r="117" spans="2:2" ht="15" customHeight="1" x14ac:dyDescent="0.3">
      <c r="B117" s="44"/>
    </row>
    <row r="118" spans="2:2" ht="15" customHeight="1" x14ac:dyDescent="0.3">
      <c r="B118" s="44"/>
    </row>
    <row r="119" spans="2:2" x14ac:dyDescent="0.3">
      <c r="B119" s="44"/>
    </row>
    <row r="120" spans="2:2" x14ac:dyDescent="0.3">
      <c r="B120" s="44"/>
    </row>
  </sheetData>
  <printOptions horizontalCentered="1"/>
  <pageMargins left="5.5555555555555558E-3" right="5.5555555555555558E-3" top="5.5555555555555558E-3" bottom="5.5555555555555558E-3" header="2.7777777777777779E-3" footer="2.7777777777777779E-3"/>
  <pageSetup paperSize="9" scale="40" orientation="landscape"/>
  <rowBreaks count="2" manualBreakCount="2">
    <brk id="22" max="13" man="1"/>
    <brk id="39" max="16383" man="1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8"/>
  <sheetViews>
    <sheetView showGridLines="0" zoomScale="70" zoomScaleNormal="70" workbookViewId="0">
      <selection activeCell="O57" sqref="O57"/>
    </sheetView>
  </sheetViews>
  <sheetFormatPr baseColWidth="10" defaultColWidth="9.109375" defaultRowHeight="15" customHeight="1" x14ac:dyDescent="0.35"/>
  <cols>
    <col min="1" max="1" width="1.77734375" style="127" customWidth="1"/>
    <col min="2" max="2" width="16.6640625" style="127" customWidth="1"/>
    <col min="3" max="3" width="15.88671875" style="127" bestFit="1" customWidth="1"/>
    <col min="4" max="4" width="25.5546875" style="127" bestFit="1" customWidth="1"/>
    <col min="5" max="5" width="13.5546875" style="127" customWidth="1"/>
    <col min="6" max="10" width="12.44140625" style="127" customWidth="1"/>
    <col min="11" max="11" width="13.88671875" style="127" customWidth="1"/>
    <col min="12" max="14" width="12.44140625" style="127" customWidth="1"/>
    <col min="15" max="15" width="13.88671875" style="128" customWidth="1"/>
    <col min="16" max="16" width="13.88671875" style="127" customWidth="1"/>
    <col min="17" max="17" width="12.44140625" style="127" customWidth="1"/>
    <col min="18" max="18" width="16.6640625" style="127" customWidth="1"/>
    <col min="19" max="19" width="17.88671875" style="127" bestFit="1" customWidth="1"/>
    <col min="20" max="20" width="21.6640625" style="127" customWidth="1"/>
    <col min="21" max="21" width="18.33203125" style="127" customWidth="1"/>
    <col min="22" max="22" width="16.109375" style="127" customWidth="1"/>
    <col min="23" max="30" width="12.44140625" style="127" customWidth="1"/>
    <col min="31" max="33" width="9.109375" style="127" customWidth="1"/>
    <col min="34" max="16384" width="9.109375" style="127"/>
  </cols>
  <sheetData>
    <row r="1" spans="1:30" ht="50.1" customHeight="1" x14ac:dyDescent="0.6">
      <c r="A1" s="142"/>
      <c r="B1" s="96" t="s">
        <v>97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 t="str">
        <f>INPUT!D128&amp;" ("&amp;INPUT!D129&amp;")  — "&amp;INPUT!D130</f>
        <v>Nextraction Energy Corp. (NXTFF)  — Utilities / Regulated Electric</v>
      </c>
      <c r="S1" s="142"/>
      <c r="T1" s="142"/>
      <c r="U1" s="142"/>
      <c r="V1" s="142"/>
      <c r="W1" s="142"/>
      <c r="X1" s="142"/>
      <c r="Y1" s="174"/>
      <c r="Z1" s="174"/>
      <c r="AA1" s="174"/>
      <c r="AB1" s="174"/>
      <c r="AC1" s="174"/>
      <c r="AD1" s="174"/>
    </row>
    <row r="2" spans="1:30" ht="15" customHeight="1" x14ac:dyDescent="0.35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30" s="129" customFormat="1" ht="21" customHeight="1" x14ac:dyDescent="0.5">
      <c r="B3" s="120" t="s">
        <v>306</v>
      </c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Q3" s="120" t="s">
        <v>307</v>
      </c>
      <c r="R3" s="125"/>
      <c r="S3" s="125"/>
      <c r="T3" s="125"/>
      <c r="U3" s="125"/>
      <c r="V3" s="125"/>
      <c r="W3" s="125"/>
      <c r="X3" s="125"/>
    </row>
    <row r="4" spans="1:30" s="129" customFormat="1" ht="15" customHeight="1" x14ac:dyDescent="0.35">
      <c r="A4" s="82"/>
      <c r="B4" s="82"/>
      <c r="C4" s="82"/>
      <c r="D4" s="82"/>
      <c r="E4" s="82"/>
      <c r="F4" s="82"/>
      <c r="G4" s="82"/>
      <c r="H4" s="82"/>
      <c r="I4" s="82"/>
      <c r="Q4" s="127"/>
      <c r="R4" s="127"/>
      <c r="S4" s="127"/>
      <c r="T4" s="127"/>
      <c r="U4" s="127"/>
      <c r="V4" s="127"/>
      <c r="W4" s="127"/>
      <c r="X4" s="127"/>
    </row>
    <row r="5" spans="1:30" s="129" customFormat="1" ht="15" customHeight="1" x14ac:dyDescent="0.35">
      <c r="A5" s="82"/>
      <c r="B5" s="143" t="s">
        <v>308</v>
      </c>
      <c r="C5" s="82"/>
      <c r="D5" s="82"/>
      <c r="E5" s="82"/>
      <c r="F5" s="82"/>
      <c r="G5" s="82"/>
      <c r="H5" s="82"/>
      <c r="I5" s="82"/>
      <c r="Q5" s="127"/>
      <c r="R5" s="127"/>
      <c r="S5" s="127"/>
      <c r="T5" s="365" t="s">
        <v>246</v>
      </c>
      <c r="U5" s="145" t="s">
        <v>309</v>
      </c>
      <c r="V5" s="145" t="s">
        <v>247</v>
      </c>
      <c r="W5" s="127"/>
      <c r="X5" s="127"/>
    </row>
    <row r="6" spans="1:30" ht="15" customHeight="1" x14ac:dyDescent="0.35">
      <c r="A6" s="82"/>
      <c r="B6" s="134" t="s">
        <v>310</v>
      </c>
      <c r="O6" s="127"/>
      <c r="Q6" s="148" t="s">
        <v>311</v>
      </c>
      <c r="T6" s="362">
        <f>INPUT!H109*0.75</f>
        <v>0.06</v>
      </c>
      <c r="U6" s="258">
        <f>V6-T6</f>
        <v>5.5999999999999994E-2</v>
      </c>
      <c r="V6" s="258">
        <f>INPUT!H109*1.45</f>
        <v>0.11599999999999999</v>
      </c>
    </row>
    <row r="7" spans="1:30" ht="15" customHeight="1" x14ac:dyDescent="0.35">
      <c r="A7" s="82"/>
      <c r="C7" s="91" t="s">
        <v>82</v>
      </c>
      <c r="D7" s="533" t="str">
        <f>INPUT!D128</f>
        <v>Nextraction Energy Corp.</v>
      </c>
      <c r="O7" s="127"/>
      <c r="Q7" s="148" t="s">
        <v>312</v>
      </c>
      <c r="T7" s="363">
        <f>INPUT!H109*1.1</f>
        <v>8.8000000000000009E-2</v>
      </c>
      <c r="U7" s="260">
        <f>V7-T7</f>
        <v>3.9999999999999994E-2</v>
      </c>
      <c r="V7" s="259">
        <f>INPUT!H109*1.6</f>
        <v>0.128</v>
      </c>
    </row>
    <row r="8" spans="1:30" ht="15" customHeight="1" x14ac:dyDescent="0.35">
      <c r="A8" s="82"/>
      <c r="C8" s="91" t="s">
        <v>85</v>
      </c>
      <c r="D8" s="533" t="str">
        <f>INPUT!D129</f>
        <v>NXTFF</v>
      </c>
      <c r="O8" s="127"/>
      <c r="Q8" s="148" t="s">
        <v>313</v>
      </c>
      <c r="R8" s="129"/>
      <c r="S8" s="129"/>
      <c r="T8" s="363">
        <f>INPUT!H109*1.2</f>
        <v>9.6000000000000002E-2</v>
      </c>
      <c r="U8" s="260">
        <f>V8-T8</f>
        <v>4.4000000000000011E-2</v>
      </c>
      <c r="V8" s="259">
        <f>INPUT!H109*1.75</f>
        <v>0.14000000000000001</v>
      </c>
      <c r="W8" s="129"/>
      <c r="X8" s="129"/>
    </row>
    <row r="9" spans="1:30" ht="15" customHeight="1" x14ac:dyDescent="0.35">
      <c r="A9" s="82"/>
      <c r="C9" s="91" t="s">
        <v>314</v>
      </c>
      <c r="D9" s="533" t="str">
        <f>INPUT!D130</f>
        <v>Utilities / Regulated Electric</v>
      </c>
      <c r="O9" s="127"/>
      <c r="Q9" s="148" t="s">
        <v>315</v>
      </c>
      <c r="R9" s="129"/>
      <c r="S9" s="129"/>
      <c r="T9" s="363">
        <f>INPUT!H109*1.3</f>
        <v>0.10400000000000001</v>
      </c>
      <c r="U9" s="260">
        <f>V9-T9</f>
        <v>4.4000000000000011E-2</v>
      </c>
      <c r="V9" s="259">
        <f>INPUT!H109*1.85</f>
        <v>0.14800000000000002</v>
      </c>
      <c r="W9" s="129"/>
      <c r="X9" s="129"/>
    </row>
    <row r="10" spans="1:30" ht="15" customHeight="1" x14ac:dyDescent="0.35">
      <c r="A10" s="82"/>
      <c r="C10" s="91" t="s">
        <v>88</v>
      </c>
      <c r="D10" s="533">
        <f>INPUT!D131</f>
        <v>2025</v>
      </c>
      <c r="O10" s="127"/>
      <c r="Q10" s="148" t="s">
        <v>316</v>
      </c>
      <c r="R10" s="129"/>
      <c r="S10" s="129"/>
      <c r="T10" s="363">
        <f>INPUT!H109*1.15</f>
        <v>9.1999999999999998E-2</v>
      </c>
      <c r="U10" s="260">
        <f>V10-T10</f>
        <v>4.4000000000000011E-2</v>
      </c>
      <c r="V10" s="259">
        <f>INPUT!H109*1.7</f>
        <v>0.13600000000000001</v>
      </c>
      <c r="W10" s="129"/>
      <c r="X10" s="129"/>
    </row>
    <row r="11" spans="1:30" ht="15" customHeight="1" x14ac:dyDescent="0.35">
      <c r="A11" s="82"/>
      <c r="C11" s="91" t="s">
        <v>89</v>
      </c>
      <c r="D11" s="533" t="str">
        <f>INPUT!D132</f>
        <v>USD</v>
      </c>
      <c r="O11" s="127"/>
      <c r="Q11" s="135" t="s">
        <v>189</v>
      </c>
      <c r="R11" s="129"/>
      <c r="S11" s="129"/>
      <c r="T11" s="364">
        <f>INPUT!H109</f>
        <v>0.08</v>
      </c>
      <c r="U11" s="173"/>
      <c r="V11" s="173"/>
      <c r="W11" s="129"/>
      <c r="X11" s="129"/>
    </row>
    <row r="12" spans="1:30" ht="15" customHeight="1" x14ac:dyDescent="0.35">
      <c r="A12" s="82"/>
      <c r="C12" s="91" t="s">
        <v>92</v>
      </c>
      <c r="D12" s="534">
        <f>INPUT!D134</f>
        <v>45835</v>
      </c>
      <c r="O12" s="127"/>
      <c r="Q12" s="129"/>
      <c r="R12" s="129"/>
      <c r="S12" s="129"/>
      <c r="T12" s="129"/>
      <c r="U12" s="129"/>
      <c r="V12" s="129"/>
      <c r="W12" s="129"/>
      <c r="X12" s="129"/>
    </row>
    <row r="13" spans="1:30" ht="15" customHeight="1" x14ac:dyDescent="0.35">
      <c r="A13" s="82"/>
      <c r="O13" s="127"/>
      <c r="Q13" s="129"/>
      <c r="R13" s="129"/>
      <c r="S13" s="129"/>
      <c r="T13" s="129"/>
      <c r="U13" s="129"/>
      <c r="V13" s="129"/>
      <c r="W13" s="129"/>
      <c r="X13" s="129"/>
    </row>
    <row r="14" spans="1:30" ht="21" customHeight="1" x14ac:dyDescent="0.3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129"/>
      <c r="R14" s="129"/>
      <c r="S14" s="129"/>
      <c r="T14" s="129"/>
      <c r="U14" s="129"/>
      <c r="V14" s="129"/>
      <c r="W14" s="129"/>
      <c r="X14" s="129"/>
    </row>
    <row r="15" spans="1:30" ht="15" customHeight="1" x14ac:dyDescent="0.5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Q15" s="120" t="s">
        <v>317</v>
      </c>
      <c r="R15" s="125"/>
      <c r="S15" s="125"/>
      <c r="T15" s="125"/>
      <c r="U15" s="125"/>
      <c r="V15" s="125"/>
      <c r="W15" s="125"/>
      <c r="X15" s="125"/>
    </row>
    <row r="16" spans="1:30" ht="15" customHeight="1" x14ac:dyDescent="0.35">
      <c r="A16" s="82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Q16" s="129"/>
      <c r="R16" s="129"/>
      <c r="S16" s="129"/>
      <c r="T16" s="129"/>
      <c r="U16" s="129"/>
      <c r="V16" s="129"/>
      <c r="W16" s="129"/>
      <c r="X16" s="129"/>
    </row>
    <row r="17" spans="1:23" ht="15" customHeight="1" x14ac:dyDescent="0.35">
      <c r="A17" s="82"/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Q17" s="133" t="s">
        <v>308</v>
      </c>
      <c r="R17" s="126"/>
      <c r="S17" s="126"/>
      <c r="T17" s="537">
        <f>INPUT!E5</f>
        <v>2022</v>
      </c>
      <c r="U17" s="537">
        <f>INPUT!F5</f>
        <v>2023</v>
      </c>
      <c r="V17" s="537">
        <f>INPUT!G5</f>
        <v>2024</v>
      </c>
      <c r="W17" s="537" t="str">
        <f>INPUT!H5</f>
        <v>2025 (LTM)</v>
      </c>
    </row>
    <row r="18" spans="1:23" ht="15" customHeight="1" x14ac:dyDescent="0.35">
      <c r="A18" s="82"/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Q18" s="126"/>
      <c r="R18" s="126"/>
      <c r="S18" s="126"/>
      <c r="T18" s="126"/>
      <c r="U18" s="126"/>
      <c r="V18" s="126"/>
      <c r="W18" s="126"/>
    </row>
    <row r="19" spans="1:23" s="129" customFormat="1" ht="15" customHeight="1" x14ac:dyDescent="0.35">
      <c r="A19" s="82"/>
      <c r="B19" s="177" t="s">
        <v>318</v>
      </c>
      <c r="C19" s="181"/>
      <c r="D19" s="181"/>
      <c r="E19" s="181"/>
      <c r="F19" s="181"/>
      <c r="G19" s="181"/>
      <c r="H19" s="82"/>
      <c r="I19" s="177" t="s">
        <v>319</v>
      </c>
      <c r="J19" s="181"/>
      <c r="K19" s="181"/>
      <c r="L19" s="181"/>
      <c r="M19" s="181"/>
      <c r="N19" s="181"/>
      <c r="O19" s="181"/>
      <c r="Q19" s="140" t="s">
        <v>320</v>
      </c>
      <c r="R19" s="126"/>
      <c r="S19" s="126"/>
      <c r="T19" s="535" t="s">
        <v>518</v>
      </c>
      <c r="U19" s="261">
        <f>IF(INPUT!E9=0,"",INPUT!F9/INPUT!E9-1)</f>
        <v>0.25</v>
      </c>
      <c r="V19" s="261">
        <f>IF(INPUT!F9=0,"",INPUT!G9/INPUT!F9-1)</f>
        <v>0.19999999999999996</v>
      </c>
      <c r="W19" s="261">
        <f>IF(INPUT!G9=0,"",INPUT!H9/INPUT!G9-1)</f>
        <v>0.16666666666666674</v>
      </c>
    </row>
    <row r="20" spans="1:23" s="129" customFormat="1" ht="15" customHeight="1" x14ac:dyDescent="0.35">
      <c r="A20" s="82"/>
      <c r="B20" s="14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Q20" s="147" t="s">
        <v>321</v>
      </c>
      <c r="R20" s="126"/>
      <c r="S20" s="126"/>
      <c r="T20" s="536" t="s">
        <v>518</v>
      </c>
      <c r="U20" s="261">
        <f>IF(INPUT!E30=0,"",INPUT!F30/INPUT!E30-1)</f>
        <v>0.30564484495173105</v>
      </c>
      <c r="V20" s="261">
        <f>IF(INPUT!E30=0,"",INPUT!G30/INPUT!F30-1)</f>
        <v>1.7136126669071716E-2</v>
      </c>
      <c r="W20" s="261">
        <f>IF(INPUT!F30=0,"",INPUT!H30/INPUT!G30-1)</f>
        <v>-1.1279701875258286E-2</v>
      </c>
    </row>
    <row r="21" spans="1:23" s="129" customFormat="1" ht="15" customHeight="1" x14ac:dyDescent="0.35">
      <c r="A21" s="82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Q21" s="126"/>
      <c r="R21" s="126"/>
      <c r="S21" s="126"/>
      <c r="T21" s="126"/>
      <c r="U21" s="126"/>
      <c r="V21" s="126"/>
      <c r="W21" s="126"/>
    </row>
    <row r="22" spans="1:23" s="129" customFormat="1" ht="15" customHeight="1" x14ac:dyDescent="0.3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Q22" s="134" t="s">
        <v>7</v>
      </c>
      <c r="R22" s="126"/>
      <c r="S22" s="126"/>
      <c r="T22" s="126"/>
      <c r="U22" s="126"/>
      <c r="V22" s="126"/>
      <c r="W22" s="126"/>
    </row>
    <row r="23" spans="1:23" s="129" customFormat="1" ht="15" customHeight="1" x14ac:dyDescent="0.35">
      <c r="A23" s="82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Q23" s="150" t="s">
        <v>322</v>
      </c>
      <c r="R23" s="126"/>
      <c r="S23" s="126"/>
      <c r="T23" s="262">
        <f>INPUT!E9</f>
        <v>1200</v>
      </c>
      <c r="U23" s="262">
        <f>INPUT!F9</f>
        <v>1500</v>
      </c>
      <c r="V23" s="262">
        <f>INPUT!G9</f>
        <v>1800</v>
      </c>
      <c r="W23" s="262">
        <f>INPUT!H9</f>
        <v>2100</v>
      </c>
    </row>
    <row r="24" spans="1:23" s="129" customFormat="1" ht="15" customHeight="1" x14ac:dyDescent="0.35">
      <c r="A24" s="82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Q24" s="150" t="s">
        <v>323</v>
      </c>
      <c r="R24" s="126"/>
      <c r="S24" s="126"/>
      <c r="T24" s="262">
        <f>ABS(INPUT!E10)</f>
        <v>60609</v>
      </c>
      <c r="U24" s="262">
        <f>ABS(INPUT!F10)</f>
        <v>79113</v>
      </c>
      <c r="V24" s="262">
        <f>ABS(INPUT!G10)</f>
        <v>80240</v>
      </c>
      <c r="W24" s="262">
        <f>ABS(INPUT!H10)</f>
        <v>77733</v>
      </c>
    </row>
    <row r="25" spans="1:23" s="129" customFormat="1" ht="15" customHeight="1" x14ac:dyDescent="0.3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Q25" s="150" t="s">
        <v>10</v>
      </c>
      <c r="R25" s="126"/>
      <c r="S25" s="126"/>
      <c r="T25" s="263">
        <f>INPUT!E11</f>
        <v>-59409</v>
      </c>
      <c r="U25" s="263">
        <f>INPUT!F11</f>
        <v>-77613</v>
      </c>
      <c r="V25" s="263">
        <f>INPUT!G11</f>
        <v>-78440</v>
      </c>
      <c r="W25" s="263">
        <f>INPUT!H11</f>
        <v>-75633</v>
      </c>
    </row>
    <row r="26" spans="1:23" s="129" customFormat="1" ht="21" customHeight="1" x14ac:dyDescent="0.35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Q26" s="150" t="s">
        <v>297</v>
      </c>
      <c r="R26" s="126"/>
      <c r="S26" s="126"/>
      <c r="T26" s="262">
        <f>ABS(INPUT!E14)</f>
        <v>0.09</v>
      </c>
      <c r="U26" s="262">
        <f>ABS(INPUT!F14)</f>
        <v>0.03</v>
      </c>
      <c r="V26" s="262">
        <f>ABS(INPUT!G14)</f>
        <v>0.03</v>
      </c>
      <c r="W26" s="262">
        <f>ABS(INPUT!H14)</f>
        <v>0.04</v>
      </c>
    </row>
    <row r="27" spans="1:23" s="129" customFormat="1" ht="15" customHeight="1" x14ac:dyDescent="0.3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Q27" s="150" t="s">
        <v>324</v>
      </c>
      <c r="R27" s="126"/>
      <c r="S27" s="126"/>
      <c r="T27" s="264">
        <f>INPUT!E9</f>
        <v>1200</v>
      </c>
      <c r="U27" s="264">
        <f>INPUT!F9</f>
        <v>1500</v>
      </c>
      <c r="V27" s="264">
        <f>INPUT!G9</f>
        <v>1800</v>
      </c>
      <c r="W27" s="264">
        <f>INPUT!H9</f>
        <v>2100</v>
      </c>
    </row>
    <row r="28" spans="1:23" s="126" customFormat="1" ht="15" customHeight="1" x14ac:dyDescent="0.3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T28" s="173"/>
      <c r="U28" s="173"/>
      <c r="V28" s="173"/>
      <c r="W28" s="173"/>
    </row>
    <row r="29" spans="1:23" s="126" customFormat="1" ht="15" customHeight="1" x14ac:dyDescent="0.35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Q29" s="150" t="s">
        <v>21</v>
      </c>
      <c r="T29" s="262">
        <f>INPUT!E30</f>
        <v>-62484.09</v>
      </c>
      <c r="U29" s="262">
        <f>INPUT!F30</f>
        <v>-81582.03</v>
      </c>
      <c r="V29" s="262">
        <f>INPUT!G30</f>
        <v>-82980.03</v>
      </c>
      <c r="W29" s="262">
        <f>INPUT!H30</f>
        <v>-82044.040000000008</v>
      </c>
    </row>
    <row r="30" spans="1:23" s="126" customFormat="1" ht="1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Q30" s="150" t="s">
        <v>325</v>
      </c>
      <c r="T30" s="262">
        <f>INPUT!E75</f>
        <v>-60920.88</v>
      </c>
      <c r="U30" s="262">
        <f>INPUT!F75</f>
        <v>-80172.829999999987</v>
      </c>
      <c r="V30" s="262">
        <f>INPUT!G75</f>
        <v>-81871.850000000006</v>
      </c>
      <c r="W30" s="262">
        <f>INPUT!H75</f>
        <v>-82402.81</v>
      </c>
    </row>
    <row r="31" spans="1:23" s="126" customFormat="1" ht="15" customHeight="1" x14ac:dyDescent="0.3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Q31" s="150" t="s">
        <v>19</v>
      </c>
      <c r="T31" s="262">
        <f>INPUT!E26</f>
        <v>-66231.89</v>
      </c>
      <c r="U31" s="262">
        <f>INPUT!F26</f>
        <v>-86249.819999999992</v>
      </c>
      <c r="V31" s="262">
        <f>INPUT!G26</f>
        <v>-88348.83</v>
      </c>
      <c r="W31" s="262">
        <f>INPUT!H26</f>
        <v>-88192.83</v>
      </c>
    </row>
    <row r="32" spans="1:23" s="126" customFormat="1" ht="15" customHeight="1" x14ac:dyDescent="0.35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28" s="126" customFormat="1" ht="15" customHeight="1" x14ac:dyDescent="0.35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</row>
    <row r="34" spans="1:28" s="126" customFormat="1" ht="15" customHeight="1" x14ac:dyDescent="0.35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</row>
    <row r="35" spans="1:28" s="126" customFormat="1" ht="15" customHeight="1" x14ac:dyDescent="0.3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</row>
    <row r="36" spans="1:28" s="126" customFormat="1" ht="15" customHeight="1" x14ac:dyDescent="0.35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</row>
    <row r="37" spans="1:28" s="126" customFormat="1" ht="15" customHeight="1" x14ac:dyDescent="0.35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</row>
    <row r="38" spans="1:28" s="126" customFormat="1" ht="15" customHeight="1" x14ac:dyDescent="0.3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</row>
    <row r="39" spans="1:28" s="126" customFormat="1" ht="15" customHeight="1" x14ac:dyDescent="0.35">
      <c r="B39" s="177" t="s">
        <v>326</v>
      </c>
      <c r="C39" s="181"/>
      <c r="D39" s="181"/>
      <c r="E39" s="181"/>
      <c r="F39" s="181"/>
      <c r="G39" s="181"/>
      <c r="H39" s="82"/>
      <c r="I39" s="177" t="s">
        <v>327</v>
      </c>
      <c r="J39" s="181"/>
      <c r="K39" s="181"/>
      <c r="L39" s="181"/>
      <c r="M39" s="181"/>
      <c r="N39" s="181"/>
      <c r="O39" s="181"/>
    </row>
    <row r="40" spans="1:28" s="126" customFormat="1" ht="15" customHeight="1" x14ac:dyDescent="0.35"/>
    <row r="41" spans="1:28" s="126" customFormat="1" ht="15" customHeight="1" x14ac:dyDescent="0.35"/>
    <row r="42" spans="1:28" s="126" customFormat="1" ht="15" customHeight="1" x14ac:dyDescent="0.35"/>
    <row r="43" spans="1:28" s="126" customFormat="1" ht="15" customHeight="1" x14ac:dyDescent="0.35"/>
    <row r="44" spans="1:28" s="126" customFormat="1" ht="15" customHeight="1" x14ac:dyDescent="0.4">
      <c r="Q44" s="151"/>
    </row>
    <row r="45" spans="1:28" s="126" customFormat="1" ht="15" customHeight="1" x14ac:dyDescent="0.35">
      <c r="AB45" s="132"/>
    </row>
    <row r="46" spans="1:28" s="126" customFormat="1" ht="15" customHeight="1" x14ac:dyDescent="0.35">
      <c r="AB46" s="132"/>
    </row>
    <row r="47" spans="1:28" s="126" customFormat="1" ht="15" customHeight="1" x14ac:dyDescent="0.35"/>
    <row r="48" spans="1:28" s="126" customFormat="1" ht="15" customHeight="1" x14ac:dyDescent="0.35"/>
    <row r="49" spans="17:24" s="126" customFormat="1" ht="15" customHeight="1" x14ac:dyDescent="0.35"/>
    <row r="50" spans="17:24" s="126" customFormat="1" ht="15" customHeight="1" x14ac:dyDescent="0.35"/>
    <row r="51" spans="17:24" s="126" customFormat="1" ht="15" customHeight="1" x14ac:dyDescent="0.35">
      <c r="Q51" s="127"/>
      <c r="R51" s="127"/>
      <c r="S51" s="127"/>
      <c r="T51" s="127"/>
      <c r="U51" s="127"/>
      <c r="V51" s="127"/>
      <c r="W51" s="127"/>
      <c r="X51" s="127"/>
    </row>
    <row r="52" spans="17:24" s="126" customFormat="1" ht="15" customHeight="1" x14ac:dyDescent="0.35">
      <c r="Q52" s="127"/>
      <c r="R52" s="127"/>
      <c r="S52" s="127"/>
      <c r="T52" s="127"/>
      <c r="U52" s="127"/>
      <c r="V52" s="127"/>
      <c r="W52" s="127"/>
      <c r="X52" s="127"/>
    </row>
    <row r="53" spans="17:24" s="126" customFormat="1" ht="15" customHeight="1" x14ac:dyDescent="0.35">
      <c r="Q53" s="127"/>
      <c r="R53" s="127"/>
      <c r="S53" s="127"/>
      <c r="T53" s="127"/>
      <c r="U53" s="127"/>
      <c r="V53" s="127"/>
      <c r="W53" s="127"/>
      <c r="X53" s="127"/>
    </row>
    <row r="54" spans="17:24" s="126" customFormat="1" ht="15" customHeight="1" x14ac:dyDescent="0.35">
      <c r="Q54" s="127"/>
      <c r="R54" s="127"/>
      <c r="S54" s="127"/>
      <c r="T54" s="127"/>
      <c r="U54" s="127"/>
      <c r="V54" s="127"/>
      <c r="W54" s="127"/>
      <c r="X54" s="127"/>
    </row>
    <row r="55" spans="17:24" s="126" customFormat="1" ht="15" customHeight="1" x14ac:dyDescent="0.35">
      <c r="Q55" s="127"/>
      <c r="R55" s="127"/>
      <c r="S55" s="127"/>
      <c r="T55" s="127"/>
      <c r="U55" s="127"/>
      <c r="V55" s="127"/>
      <c r="W55" s="127"/>
      <c r="X55" s="127"/>
    </row>
    <row r="56" spans="17:24" s="126" customFormat="1" ht="15" customHeight="1" x14ac:dyDescent="0.35">
      <c r="Q56" s="127"/>
      <c r="R56" s="127"/>
      <c r="S56" s="127"/>
      <c r="T56" s="127"/>
      <c r="U56" s="127"/>
      <c r="V56" s="127"/>
      <c r="W56" s="127"/>
      <c r="X56" s="127"/>
    </row>
    <row r="57" spans="17:24" s="126" customFormat="1" ht="15" customHeight="1" x14ac:dyDescent="0.4">
      <c r="Q57" s="160"/>
      <c r="R57" s="160"/>
      <c r="S57" s="129"/>
      <c r="T57" s="127"/>
      <c r="U57" s="127"/>
      <c r="V57" s="127"/>
      <c r="W57" s="127"/>
      <c r="X57" s="127"/>
    </row>
    <row r="58" spans="17:24" s="126" customFormat="1" ht="15" customHeight="1" x14ac:dyDescent="0.4">
      <c r="Q58" s="160"/>
      <c r="R58" s="160"/>
      <c r="S58" s="129"/>
      <c r="T58" s="127"/>
      <c r="U58" s="127"/>
      <c r="V58" s="127"/>
      <c r="W58" s="127"/>
      <c r="X58" s="127"/>
    </row>
    <row r="59" spans="17:24" s="126" customFormat="1" ht="15" customHeight="1" x14ac:dyDescent="0.35">
      <c r="Q59" s="129"/>
      <c r="R59" s="129"/>
      <c r="S59" s="129"/>
      <c r="T59" s="127"/>
      <c r="U59" s="127"/>
      <c r="V59" s="127"/>
      <c r="W59" s="127"/>
      <c r="X59" s="127"/>
    </row>
    <row r="60" spans="17:24" s="126" customFormat="1" ht="15" customHeight="1" x14ac:dyDescent="0.35">
      <c r="Q60" s="129"/>
      <c r="R60" s="129"/>
      <c r="S60" s="129"/>
      <c r="T60" s="127"/>
      <c r="U60" s="127"/>
      <c r="V60" s="127"/>
      <c r="W60" s="127"/>
      <c r="X60" s="127"/>
    </row>
    <row r="61" spans="17:24" s="126" customFormat="1" ht="15" customHeight="1" x14ac:dyDescent="0.35">
      <c r="Q61" s="129"/>
      <c r="R61" s="129"/>
      <c r="S61" s="129"/>
      <c r="T61" s="127"/>
      <c r="U61" s="127"/>
      <c r="V61" s="127"/>
      <c r="W61" s="127"/>
      <c r="X61" s="127"/>
    </row>
    <row r="62" spans="17:24" ht="15" customHeight="1" x14ac:dyDescent="0.35">
      <c r="Q62" s="129"/>
      <c r="R62" s="129"/>
      <c r="S62" s="129"/>
    </row>
    <row r="63" spans="17:24" ht="15" customHeight="1" x14ac:dyDescent="0.35">
      <c r="Q63" s="129"/>
      <c r="R63" s="129"/>
      <c r="S63" s="129"/>
    </row>
    <row r="64" spans="17:24" ht="15" customHeight="1" x14ac:dyDescent="0.35">
      <c r="Q64" s="129"/>
      <c r="R64" s="129"/>
      <c r="S64" s="129"/>
    </row>
    <row r="65" spans="2:24" ht="15" customHeight="1" x14ac:dyDescent="0.35">
      <c r="Q65" s="129"/>
      <c r="R65" s="129"/>
      <c r="S65" s="129"/>
    </row>
    <row r="66" spans="2:24" ht="15" customHeight="1" x14ac:dyDescent="0.35">
      <c r="Q66" s="126"/>
      <c r="R66" s="126"/>
      <c r="S66" s="126"/>
    </row>
    <row r="67" spans="2:24" ht="15" customHeight="1" x14ac:dyDescent="0.4">
      <c r="C67" s="158"/>
      <c r="D67" s="158"/>
      <c r="E67" s="158"/>
      <c r="F67" s="158"/>
      <c r="G67" s="158"/>
      <c r="H67" s="158"/>
      <c r="I67" s="158"/>
      <c r="J67" s="158"/>
      <c r="K67" s="158"/>
      <c r="O67" s="127"/>
      <c r="Q67" s="126"/>
      <c r="R67" s="126"/>
      <c r="S67" s="126"/>
    </row>
    <row r="68" spans="2:24" ht="15" customHeight="1" x14ac:dyDescent="0.4">
      <c r="B68" s="129"/>
      <c r="C68" s="159"/>
      <c r="D68" s="160"/>
      <c r="E68" s="160"/>
      <c r="F68" s="160"/>
      <c r="G68" s="160"/>
      <c r="H68" s="160"/>
      <c r="I68" s="160"/>
      <c r="J68" s="160"/>
      <c r="K68" s="129"/>
      <c r="L68" s="161"/>
      <c r="M68" s="160"/>
      <c r="N68" s="160"/>
      <c r="O68" s="160"/>
      <c r="P68" s="160"/>
      <c r="Q68" s="126"/>
      <c r="R68" s="126"/>
      <c r="S68" s="126"/>
    </row>
    <row r="69" spans="2:24" ht="15" customHeight="1" x14ac:dyDescent="0.4">
      <c r="B69" s="129"/>
      <c r="C69" s="158"/>
      <c r="D69" s="158"/>
      <c r="E69" s="158"/>
      <c r="F69" s="158"/>
      <c r="G69" s="158"/>
      <c r="H69" s="162"/>
      <c r="I69" s="158"/>
      <c r="J69" s="158"/>
      <c r="K69" s="129"/>
      <c r="L69" s="161"/>
      <c r="M69" s="160"/>
      <c r="O69" s="160"/>
      <c r="P69" s="160"/>
      <c r="Q69" s="126"/>
      <c r="R69" s="126"/>
      <c r="S69" s="126"/>
    </row>
    <row r="70" spans="2:24" ht="15" customHeight="1" x14ac:dyDescent="0.4">
      <c r="B70" s="129"/>
      <c r="C70" s="158"/>
      <c r="D70" s="158"/>
      <c r="E70" s="158"/>
      <c r="F70" s="158"/>
      <c r="G70" s="158"/>
      <c r="H70" s="146"/>
      <c r="I70" s="158"/>
      <c r="J70" s="129"/>
      <c r="K70" s="129"/>
      <c r="L70" s="129"/>
      <c r="M70" s="129"/>
      <c r="N70" s="129"/>
      <c r="O70" s="129"/>
      <c r="P70" s="129"/>
      <c r="Q70" s="126"/>
      <c r="R70" s="126"/>
      <c r="S70" s="126"/>
    </row>
    <row r="71" spans="2:24" ht="15" customHeight="1" x14ac:dyDescent="0.4">
      <c r="B71" s="129"/>
      <c r="C71" s="158"/>
      <c r="D71" s="158"/>
      <c r="E71" s="158"/>
      <c r="F71" s="158"/>
      <c r="G71" s="158"/>
      <c r="H71" s="146"/>
      <c r="I71" s="158"/>
      <c r="J71" s="129"/>
      <c r="K71" s="129"/>
      <c r="L71" s="129"/>
      <c r="M71" s="129"/>
      <c r="N71" s="129"/>
      <c r="O71" s="129"/>
      <c r="P71" s="129"/>
      <c r="Q71" s="126"/>
      <c r="R71" s="126"/>
      <c r="S71" s="126"/>
    </row>
    <row r="72" spans="2:24" ht="15" customHeight="1" x14ac:dyDescent="0.4">
      <c r="B72" s="126"/>
      <c r="C72" s="158"/>
      <c r="D72" s="158"/>
      <c r="E72" s="158"/>
      <c r="F72" s="158"/>
      <c r="G72" s="158"/>
      <c r="H72" s="146"/>
      <c r="I72" s="158"/>
      <c r="J72" s="129"/>
      <c r="K72" s="129"/>
      <c r="L72" s="129"/>
      <c r="M72" s="129"/>
      <c r="N72" s="129"/>
      <c r="O72" s="129"/>
      <c r="P72" s="129"/>
      <c r="Q72" s="126"/>
      <c r="R72" s="126"/>
      <c r="S72" s="126"/>
    </row>
    <row r="73" spans="2:24" ht="15" customHeight="1" x14ac:dyDescent="0.4">
      <c r="B73" s="129"/>
      <c r="C73" s="158"/>
      <c r="D73" s="158"/>
      <c r="E73" s="158"/>
      <c r="F73" s="158"/>
      <c r="G73" s="158"/>
      <c r="H73" s="163"/>
      <c r="I73" s="158"/>
      <c r="J73" s="129"/>
      <c r="K73" s="129"/>
      <c r="L73" s="129"/>
      <c r="M73" s="129"/>
      <c r="N73" s="129"/>
      <c r="O73" s="129"/>
      <c r="P73" s="129"/>
      <c r="Q73" s="126"/>
      <c r="R73" s="126"/>
      <c r="S73" s="126"/>
    </row>
    <row r="74" spans="2:24" ht="15" customHeight="1" x14ac:dyDescent="0.4">
      <c r="B74" s="129"/>
      <c r="C74" s="158"/>
      <c r="D74" s="158"/>
      <c r="E74" s="158"/>
      <c r="F74" s="158"/>
      <c r="G74" s="158"/>
      <c r="H74" s="158"/>
      <c r="I74" s="158"/>
      <c r="J74" s="129"/>
      <c r="K74" s="129"/>
      <c r="L74" s="129"/>
      <c r="M74" s="129"/>
      <c r="N74" s="129"/>
      <c r="O74" s="129"/>
      <c r="P74" s="129"/>
      <c r="Q74" s="126"/>
      <c r="R74" s="126"/>
      <c r="S74" s="126"/>
    </row>
    <row r="75" spans="2:24" ht="15" customHeight="1" x14ac:dyDescent="0.4">
      <c r="B75" s="129"/>
      <c r="C75" s="158"/>
      <c r="D75" s="158"/>
      <c r="E75" s="158"/>
      <c r="F75" s="158"/>
      <c r="G75" s="158"/>
      <c r="H75" s="158"/>
      <c r="I75" s="164"/>
      <c r="J75" s="129"/>
      <c r="K75" s="129"/>
      <c r="L75" s="129"/>
      <c r="M75" s="129"/>
      <c r="N75" s="129"/>
      <c r="O75" s="129"/>
      <c r="P75" s="129"/>
      <c r="Q75" s="126"/>
      <c r="R75" s="126"/>
      <c r="S75" s="126"/>
    </row>
    <row r="76" spans="2:24" ht="15" customHeight="1" x14ac:dyDescent="0.4">
      <c r="B76" s="129"/>
      <c r="C76" s="158"/>
      <c r="D76" s="158"/>
      <c r="E76" s="158"/>
      <c r="F76" s="158"/>
      <c r="G76" s="158"/>
      <c r="H76" s="158"/>
      <c r="I76" s="165"/>
      <c r="J76" s="129"/>
      <c r="K76" s="129"/>
      <c r="L76" s="129"/>
      <c r="M76" s="129"/>
      <c r="N76" s="129"/>
      <c r="O76" s="129"/>
      <c r="P76" s="129"/>
      <c r="Q76" s="165"/>
      <c r="R76" s="166"/>
      <c r="S76" s="126"/>
    </row>
    <row r="77" spans="2:24" ht="15" customHeight="1" x14ac:dyDescent="0.4">
      <c r="B77" s="126"/>
      <c r="C77" s="158"/>
      <c r="D77" s="158"/>
      <c r="E77" s="158"/>
      <c r="F77" s="158"/>
      <c r="G77" s="158"/>
      <c r="H77" s="158"/>
      <c r="I77" s="165"/>
      <c r="J77" s="126"/>
      <c r="K77" s="126"/>
      <c r="L77" s="126"/>
      <c r="M77" s="126"/>
      <c r="N77" s="126"/>
      <c r="O77" s="126"/>
      <c r="P77" s="126"/>
      <c r="Q77" s="169"/>
      <c r="R77" s="169"/>
      <c r="S77" s="126"/>
    </row>
    <row r="78" spans="2:24" ht="15" customHeight="1" x14ac:dyDescent="0.4">
      <c r="B78" s="126"/>
      <c r="C78" s="158"/>
      <c r="D78" s="158"/>
      <c r="E78" s="158"/>
      <c r="F78" s="158"/>
      <c r="G78" s="158"/>
      <c r="H78" s="158"/>
      <c r="I78" s="165"/>
      <c r="J78" s="126"/>
      <c r="K78" s="126"/>
      <c r="L78" s="126"/>
      <c r="M78" s="126"/>
      <c r="N78" s="126"/>
      <c r="O78" s="126"/>
      <c r="P78" s="126"/>
      <c r="Q78" s="171"/>
      <c r="R78" s="171"/>
      <c r="S78" s="170"/>
      <c r="T78" s="170"/>
      <c r="U78" s="170"/>
      <c r="V78" s="170"/>
      <c r="W78" s="170"/>
      <c r="X78" s="170"/>
    </row>
    <row r="79" spans="2:24" ht="15" customHeight="1" x14ac:dyDescent="0.4">
      <c r="B79" s="126"/>
      <c r="C79" s="158"/>
      <c r="D79" s="158"/>
      <c r="E79" s="158"/>
      <c r="F79" s="158"/>
      <c r="G79" s="158"/>
      <c r="H79" s="158"/>
      <c r="I79" s="165"/>
      <c r="J79" s="126"/>
      <c r="K79" s="126"/>
      <c r="L79" s="126"/>
      <c r="M79" s="126"/>
      <c r="N79" s="126"/>
      <c r="O79" s="126"/>
      <c r="P79" s="126"/>
      <c r="Q79" s="172"/>
      <c r="R79" s="170"/>
      <c r="S79" s="170"/>
      <c r="T79" s="170"/>
      <c r="U79" s="170"/>
      <c r="V79" s="170"/>
      <c r="W79" s="170"/>
      <c r="X79" s="170"/>
    </row>
    <row r="80" spans="2:24" ht="15" customHeight="1" x14ac:dyDescent="0.4">
      <c r="B80" s="126"/>
      <c r="C80" s="158"/>
      <c r="D80" s="158"/>
      <c r="E80" s="158"/>
      <c r="F80" s="158"/>
      <c r="G80" s="158"/>
      <c r="H80" s="158"/>
      <c r="I80" s="165"/>
      <c r="J80" s="126"/>
      <c r="K80" s="126"/>
      <c r="L80" s="126"/>
      <c r="M80" s="126"/>
      <c r="N80" s="126"/>
      <c r="O80" s="126"/>
      <c r="P80" s="126"/>
      <c r="Q80" s="172"/>
      <c r="R80" s="170"/>
      <c r="S80" s="170"/>
      <c r="T80" s="170"/>
      <c r="U80" s="170"/>
      <c r="V80" s="170"/>
      <c r="W80" s="170"/>
      <c r="X80" s="170"/>
    </row>
    <row r="81" spans="1:29" ht="15" customHeight="1" x14ac:dyDescent="0.4">
      <c r="B81" s="126"/>
      <c r="C81" s="158"/>
      <c r="D81" s="158"/>
      <c r="E81" s="158"/>
      <c r="F81" s="158"/>
      <c r="G81" s="165"/>
      <c r="H81" s="158"/>
      <c r="I81" s="158"/>
      <c r="J81" s="126"/>
      <c r="K81" s="126"/>
      <c r="L81" s="126"/>
      <c r="M81" s="126"/>
      <c r="N81" s="126"/>
      <c r="O81" s="126"/>
      <c r="P81" s="126"/>
      <c r="Q81" s="172"/>
      <c r="R81" s="170"/>
      <c r="S81" s="170"/>
      <c r="T81" s="170"/>
      <c r="U81" s="170"/>
      <c r="V81" s="170"/>
      <c r="W81" s="170"/>
      <c r="X81" s="170"/>
    </row>
    <row r="82" spans="1:29" ht="15" customHeight="1" x14ac:dyDescent="0.4">
      <c r="B82" s="126"/>
      <c r="C82" s="158"/>
      <c r="D82" s="158"/>
      <c r="E82" s="158"/>
      <c r="F82" s="158"/>
      <c r="G82" s="158"/>
      <c r="H82" s="158"/>
      <c r="I82" s="158"/>
      <c r="J82" s="158"/>
      <c r="K82" s="158"/>
      <c r="L82" s="126"/>
      <c r="M82" s="126"/>
      <c r="N82" s="126"/>
      <c r="O82" s="126"/>
      <c r="P82" s="126"/>
      <c r="Q82" s="172"/>
      <c r="R82" s="170"/>
      <c r="S82" s="170"/>
      <c r="T82" s="170"/>
      <c r="U82" s="170"/>
      <c r="V82" s="170"/>
      <c r="W82" s="170"/>
      <c r="X82" s="170"/>
    </row>
    <row r="83" spans="1:29" ht="15" customHeight="1" x14ac:dyDescent="0.4">
      <c r="B83" s="126"/>
      <c r="C83" s="158"/>
      <c r="D83" s="158"/>
      <c r="E83" s="158"/>
      <c r="F83" s="158"/>
      <c r="G83" s="158"/>
      <c r="H83" s="158"/>
      <c r="I83" s="158"/>
      <c r="J83" s="158"/>
      <c r="K83" s="158"/>
      <c r="L83" s="126"/>
      <c r="M83" s="126"/>
      <c r="N83" s="126"/>
      <c r="O83" s="126"/>
      <c r="P83" s="126"/>
      <c r="Q83" s="371"/>
      <c r="R83" s="371"/>
      <c r="S83" s="371"/>
      <c r="T83" s="371"/>
      <c r="U83" s="371"/>
      <c r="V83" s="371"/>
      <c r="W83" s="371"/>
      <c r="X83" s="371"/>
    </row>
    <row r="84" spans="1:29" ht="15" customHeight="1" x14ac:dyDescent="0.4">
      <c r="B84" s="126"/>
      <c r="C84" s="158"/>
      <c r="D84" s="158"/>
      <c r="E84" s="158"/>
      <c r="F84" s="158"/>
      <c r="G84" s="158"/>
      <c r="H84" s="158"/>
      <c r="I84" s="158"/>
      <c r="J84" s="158"/>
      <c r="K84" s="158"/>
      <c r="L84" s="126"/>
      <c r="M84" s="126"/>
      <c r="N84" s="126"/>
      <c r="O84" s="126"/>
      <c r="P84" s="126"/>
      <c r="Q84" s="371"/>
      <c r="R84" s="371"/>
      <c r="S84" s="371"/>
      <c r="T84" s="371"/>
      <c r="U84" s="371"/>
      <c r="V84" s="371" t="s">
        <v>328</v>
      </c>
      <c r="W84" s="371" t="s">
        <v>329</v>
      </c>
      <c r="X84" s="371" t="s">
        <v>330</v>
      </c>
    </row>
    <row r="85" spans="1:29" ht="15" customHeight="1" x14ac:dyDescent="0.4">
      <c r="B85" s="126"/>
      <c r="C85" s="158"/>
      <c r="D85" s="158"/>
      <c r="E85" s="158"/>
      <c r="F85" s="158"/>
      <c r="G85" s="158"/>
      <c r="H85" s="158"/>
      <c r="I85" s="158"/>
      <c r="J85" s="158"/>
      <c r="K85" s="158"/>
      <c r="L85" s="126"/>
      <c r="M85" s="126"/>
      <c r="N85" s="126"/>
      <c r="O85" s="126"/>
      <c r="P85" s="126"/>
      <c r="Q85" s="371"/>
      <c r="R85" s="371"/>
      <c r="S85" s="371" t="s">
        <v>311</v>
      </c>
      <c r="T85" s="371"/>
      <c r="U85" s="371"/>
      <c r="V85" s="371">
        <f t="shared" ref="V85:X89" si="0">T6</f>
        <v>0.06</v>
      </c>
      <c r="W85" s="371">
        <f t="shared" si="0"/>
        <v>5.5999999999999994E-2</v>
      </c>
      <c r="X85" s="371">
        <f t="shared" si="0"/>
        <v>0.11599999999999999</v>
      </c>
    </row>
    <row r="86" spans="1:29" ht="15" customHeight="1" x14ac:dyDescent="0.35"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371"/>
      <c r="R86" s="371"/>
      <c r="S86" s="371" t="s">
        <v>312</v>
      </c>
      <c r="T86" s="371"/>
      <c r="U86" s="371"/>
      <c r="V86" s="371">
        <f t="shared" si="0"/>
        <v>8.8000000000000009E-2</v>
      </c>
      <c r="W86" s="371">
        <f t="shared" si="0"/>
        <v>3.9999999999999994E-2</v>
      </c>
      <c r="X86" s="371">
        <f t="shared" si="0"/>
        <v>0.128</v>
      </c>
    </row>
    <row r="87" spans="1:29" ht="15" customHeight="1" x14ac:dyDescent="0.4">
      <c r="B87" s="126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371"/>
      <c r="R87" s="371"/>
      <c r="S87" s="371" t="s">
        <v>331</v>
      </c>
      <c r="T87" s="371"/>
      <c r="U87" s="371"/>
      <c r="V87" s="371">
        <f t="shared" si="0"/>
        <v>9.6000000000000002E-2</v>
      </c>
      <c r="W87" s="371">
        <f t="shared" si="0"/>
        <v>4.4000000000000011E-2</v>
      </c>
      <c r="X87" s="371">
        <f t="shared" si="0"/>
        <v>0.14000000000000001</v>
      </c>
    </row>
    <row r="88" spans="1:29" ht="15" customHeight="1" x14ac:dyDescent="0.4">
      <c r="B88" s="126"/>
      <c r="C88" s="167"/>
      <c r="D88" s="168"/>
      <c r="E88" s="168"/>
      <c r="F88" s="169"/>
      <c r="G88" s="169"/>
      <c r="H88" s="169"/>
      <c r="I88" s="169"/>
      <c r="J88" s="169"/>
      <c r="K88" s="158"/>
      <c r="L88" s="167"/>
      <c r="M88" s="168"/>
      <c r="N88" s="168"/>
      <c r="O88" s="169"/>
      <c r="P88" s="169"/>
      <c r="Q88" s="371"/>
      <c r="R88" s="371"/>
      <c r="S88" s="371" t="s">
        <v>315</v>
      </c>
      <c r="T88" s="371"/>
      <c r="U88" s="371"/>
      <c r="V88" s="371">
        <f t="shared" si="0"/>
        <v>0.10400000000000001</v>
      </c>
      <c r="W88" s="371">
        <f t="shared" si="0"/>
        <v>4.4000000000000011E-2</v>
      </c>
      <c r="X88" s="371">
        <f t="shared" si="0"/>
        <v>0.14800000000000002</v>
      </c>
    </row>
    <row r="89" spans="1:29" ht="15" customHeight="1" x14ac:dyDescent="0.4">
      <c r="A89" s="170"/>
      <c r="B89" s="170"/>
      <c r="C89" s="171"/>
      <c r="D89" s="171"/>
      <c r="E89" s="171"/>
      <c r="F89" s="171"/>
      <c r="G89" s="171"/>
      <c r="H89" s="171"/>
      <c r="I89" s="171"/>
      <c r="J89" s="171"/>
      <c r="K89" s="170"/>
      <c r="L89" s="171"/>
      <c r="M89" s="171"/>
      <c r="N89" s="171"/>
      <c r="O89" s="171"/>
      <c r="P89" s="171"/>
      <c r="Q89" s="371"/>
      <c r="R89" s="371"/>
      <c r="S89" s="371" t="s">
        <v>316</v>
      </c>
      <c r="T89" s="371"/>
      <c r="U89" s="371"/>
      <c r="V89" s="371">
        <f t="shared" si="0"/>
        <v>9.1999999999999998E-2</v>
      </c>
      <c r="W89" s="371">
        <f t="shared" si="0"/>
        <v>4.4000000000000011E-2</v>
      </c>
      <c r="X89" s="371">
        <f t="shared" si="0"/>
        <v>0.13600000000000001</v>
      </c>
      <c r="Y89" s="170"/>
      <c r="Z89" s="170"/>
      <c r="AA89" s="170"/>
      <c r="AB89" s="170"/>
      <c r="AC89" s="170"/>
    </row>
    <row r="90" spans="1:29" ht="15" customHeight="1" x14ac:dyDescent="0.4">
      <c r="A90" s="170"/>
      <c r="B90" s="170"/>
      <c r="C90" s="170"/>
      <c r="D90" s="170"/>
      <c r="E90" s="170"/>
      <c r="F90" s="170"/>
      <c r="G90" s="170"/>
      <c r="H90" s="170"/>
      <c r="I90" s="170"/>
      <c r="J90" s="170"/>
      <c r="K90" s="170"/>
      <c r="L90" s="171"/>
      <c r="M90" s="171"/>
      <c r="N90" s="171"/>
      <c r="O90" s="171"/>
      <c r="P90" s="171"/>
      <c r="Q90" s="371"/>
      <c r="R90" s="371"/>
      <c r="S90" s="371"/>
      <c r="T90" s="371"/>
      <c r="U90" s="371"/>
      <c r="V90" s="371"/>
      <c r="W90" s="371"/>
      <c r="X90" s="371"/>
      <c r="Y90" s="170"/>
      <c r="Z90" s="170"/>
      <c r="AA90" s="170"/>
      <c r="AB90" s="170"/>
      <c r="AC90" s="170"/>
    </row>
    <row r="91" spans="1:29" ht="15" customHeight="1" x14ac:dyDescent="0.4">
      <c r="A91" s="170"/>
      <c r="B91" s="170"/>
      <c r="C91" s="170"/>
      <c r="D91" s="170"/>
      <c r="E91" s="170"/>
      <c r="F91" s="170"/>
      <c r="G91" s="170"/>
      <c r="H91" s="170"/>
      <c r="I91" s="170"/>
      <c r="J91" s="170"/>
      <c r="K91" s="170"/>
      <c r="L91" s="171"/>
      <c r="M91" s="171"/>
      <c r="N91" s="171"/>
      <c r="O91" s="171"/>
      <c r="P91" s="171"/>
      <c r="Q91" s="371"/>
      <c r="R91" s="371"/>
      <c r="S91" s="371"/>
      <c r="T91" s="371"/>
      <c r="U91" s="371"/>
      <c r="V91" s="371"/>
      <c r="W91" s="371"/>
      <c r="X91" s="371"/>
      <c r="Y91" s="170"/>
      <c r="Z91" s="170"/>
      <c r="AA91" s="170"/>
      <c r="AB91" s="170"/>
      <c r="AC91" s="170"/>
    </row>
    <row r="92" spans="1:29" ht="15" customHeight="1" x14ac:dyDescent="0.4">
      <c r="A92" s="170"/>
      <c r="B92" s="170"/>
      <c r="C92" s="170"/>
      <c r="D92" s="170"/>
      <c r="E92" s="170"/>
      <c r="F92" s="170"/>
      <c r="G92" s="170"/>
      <c r="H92" s="170"/>
      <c r="I92" s="170"/>
      <c r="J92" s="170"/>
      <c r="K92" s="170"/>
      <c r="L92" s="171"/>
      <c r="M92" s="171"/>
      <c r="N92" s="171"/>
      <c r="O92" s="171"/>
      <c r="P92" s="171"/>
      <c r="Q92" s="371">
        <f>K103</f>
        <v>2022</v>
      </c>
      <c r="R92" s="371">
        <f>L103</f>
        <v>2023</v>
      </c>
      <c r="S92" s="371">
        <f>M103</f>
        <v>2024</v>
      </c>
      <c r="T92" s="371" t="str">
        <f>N103</f>
        <v>2025 (LTM)</v>
      </c>
      <c r="U92" s="371"/>
      <c r="V92" s="371"/>
      <c r="W92" s="371"/>
      <c r="X92" s="371"/>
      <c r="Y92" s="170"/>
      <c r="Z92" s="170"/>
      <c r="AA92" s="170"/>
      <c r="AB92" s="170"/>
      <c r="AC92" s="170"/>
    </row>
    <row r="93" spans="1:29" ht="15" customHeight="1" x14ac:dyDescent="0.4">
      <c r="A93" s="170"/>
      <c r="B93" s="170"/>
      <c r="C93" s="170"/>
      <c r="D93" s="170"/>
      <c r="E93" s="170"/>
      <c r="F93" s="170"/>
      <c r="G93" s="170"/>
      <c r="H93" s="170"/>
      <c r="I93" s="170"/>
      <c r="J93" s="170"/>
      <c r="K93" s="170"/>
      <c r="L93" s="171"/>
      <c r="M93" s="171"/>
      <c r="N93" s="171"/>
      <c r="O93" s="171"/>
      <c r="P93" s="171"/>
      <c r="Q93" s="371">
        <f>IF(INPUT!E9="",NA(),INPUT!E30/1000)</f>
        <v>-62.484089999999995</v>
      </c>
      <c r="R93" s="371">
        <f>IF(INPUT!F9="",NA(),INPUT!F30/1000)</f>
        <v>-81.582030000000003</v>
      </c>
      <c r="S93" s="371">
        <f>IF(INPUT!G9="",NA(),INPUT!G30/1000)</f>
        <v>-82.980029999999999</v>
      </c>
      <c r="T93" s="371">
        <f>IF(INPUT!H9="",NA(),INPUT!H30/1000)</f>
        <v>-82.04404000000001</v>
      </c>
      <c r="U93" s="371"/>
      <c r="V93" s="371"/>
      <c r="W93" s="371"/>
      <c r="X93" s="371"/>
      <c r="Y93" s="170"/>
      <c r="Z93" s="170"/>
      <c r="AA93" s="170"/>
      <c r="AB93" s="170"/>
      <c r="AC93" s="170"/>
    </row>
    <row r="94" spans="1:29" s="372" customFormat="1" ht="15" customHeight="1" x14ac:dyDescent="0.35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>
        <f>IF(INPUT!E9="",NA(),INPUT!E75/1000)</f>
        <v>-60.920879999999997</v>
      </c>
      <c r="R94" s="371">
        <f>IF(INPUT!F9="",NA(),INPUT!F75/1000)</f>
        <v>-80.17282999999999</v>
      </c>
      <c r="S94" s="371">
        <f>IF(INPUT!G9="",NA(),INPUT!G75/1000)</f>
        <v>-81.871850000000009</v>
      </c>
      <c r="T94" s="371">
        <f>IF(INPUT!H9="",NA(),INPUT!H75/1000)</f>
        <v>-82.402810000000002</v>
      </c>
      <c r="U94" s="371"/>
      <c r="V94" s="371"/>
      <c r="W94" s="371"/>
      <c r="X94" s="371"/>
      <c r="Y94" s="371"/>
      <c r="Z94" s="371"/>
      <c r="AA94" s="371"/>
      <c r="AB94" s="371"/>
      <c r="AC94" s="371"/>
    </row>
    <row r="95" spans="1:29" s="372" customFormat="1" ht="15" customHeight="1" x14ac:dyDescent="0.3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>
        <f>IF(INPUT!E9="",NA(),INPUT!E26/1000)</f>
        <v>-66.231889999999993</v>
      </c>
      <c r="R95" s="376"/>
      <c r="S95" s="376">
        <v>2022</v>
      </c>
      <c r="T95" s="376">
        <v>2023</v>
      </c>
      <c r="U95" s="376">
        <v>2024</v>
      </c>
      <c r="V95" s="376" t="s">
        <v>4</v>
      </c>
      <c r="W95" s="371"/>
      <c r="X95" s="371"/>
      <c r="Y95" s="371"/>
      <c r="Z95" s="371"/>
      <c r="AA95" s="371"/>
      <c r="AB95" s="371"/>
      <c r="AC95" s="371"/>
    </row>
    <row r="96" spans="1:29" s="372" customFormat="1" ht="15" customHeight="1" x14ac:dyDescent="0.35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4"/>
      <c r="R96" s="376" t="s">
        <v>21</v>
      </c>
      <c r="S96" s="376">
        <f t="shared" ref="S96:V98" si="1">T29</f>
        <v>-62484.09</v>
      </c>
      <c r="T96" s="376">
        <f t="shared" si="1"/>
        <v>-81582.03</v>
      </c>
      <c r="U96" s="376">
        <f t="shared" si="1"/>
        <v>-82980.03</v>
      </c>
      <c r="V96" s="376">
        <f t="shared" si="1"/>
        <v>-82044.040000000008</v>
      </c>
      <c r="Y96" s="371"/>
      <c r="Z96" s="371"/>
      <c r="AA96" s="371"/>
      <c r="AB96" s="371"/>
      <c r="AC96" s="371"/>
    </row>
    <row r="97" spans="1:29" s="372" customFormat="1" ht="15" customHeight="1" x14ac:dyDescent="0.35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R97" s="376" t="s">
        <v>332</v>
      </c>
      <c r="S97" s="376">
        <f t="shared" si="1"/>
        <v>-60920.88</v>
      </c>
      <c r="T97" s="376">
        <f t="shared" si="1"/>
        <v>-80172.829999999987</v>
      </c>
      <c r="U97" s="376">
        <f t="shared" si="1"/>
        <v>-81871.850000000006</v>
      </c>
      <c r="V97" s="376">
        <f t="shared" si="1"/>
        <v>-82402.81</v>
      </c>
      <c r="Y97" s="371"/>
      <c r="Z97" s="371"/>
      <c r="AA97" s="371"/>
      <c r="AB97" s="371"/>
      <c r="AC97" s="371"/>
    </row>
    <row r="98" spans="1:29" s="372" customFormat="1" ht="15" customHeight="1" x14ac:dyDescent="0.35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127"/>
      <c r="R98" s="376" t="s">
        <v>19</v>
      </c>
      <c r="S98" s="376">
        <f t="shared" si="1"/>
        <v>-66231.89</v>
      </c>
      <c r="T98" s="376">
        <f t="shared" si="1"/>
        <v>-86249.819999999992</v>
      </c>
      <c r="U98" s="376">
        <f t="shared" si="1"/>
        <v>-88348.83</v>
      </c>
      <c r="V98" s="376">
        <f t="shared" si="1"/>
        <v>-88192.83</v>
      </c>
      <c r="W98" s="127"/>
      <c r="X98" s="127"/>
      <c r="Y98" s="371"/>
      <c r="Z98" s="371"/>
      <c r="AA98" s="371"/>
      <c r="AB98" s="371"/>
      <c r="AC98" s="371"/>
    </row>
    <row r="99" spans="1:29" s="372" customFormat="1" ht="15" customHeight="1" x14ac:dyDescent="0.35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127"/>
      <c r="R99" s="127"/>
      <c r="S99" s="127"/>
      <c r="T99" s="127"/>
      <c r="U99" s="127"/>
      <c r="V99" s="127"/>
      <c r="W99" s="127"/>
      <c r="X99" s="127"/>
      <c r="Y99" s="371"/>
      <c r="Z99" s="371"/>
      <c r="AA99" s="371"/>
      <c r="AB99" s="371"/>
      <c r="AC99" s="371"/>
    </row>
    <row r="100" spans="1:29" s="372" customFormat="1" ht="15" customHeight="1" x14ac:dyDescent="0.35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127"/>
      <c r="R100" s="127"/>
      <c r="S100" s="127"/>
      <c r="T100" s="127"/>
      <c r="U100" s="127"/>
      <c r="V100" s="127"/>
      <c r="W100" s="127"/>
      <c r="X100" s="127"/>
      <c r="Y100" s="371"/>
      <c r="Z100" s="371"/>
      <c r="AA100" s="371"/>
      <c r="AB100" s="371"/>
      <c r="AC100" s="371"/>
    </row>
    <row r="101" spans="1:29" s="372" customFormat="1" ht="15" customHeight="1" x14ac:dyDescent="0.35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127"/>
      <c r="R101" s="127"/>
      <c r="S101" s="127"/>
      <c r="T101" s="127"/>
      <c r="U101" s="127"/>
      <c r="V101" s="127"/>
      <c r="W101" s="127"/>
      <c r="X101" s="127"/>
      <c r="Y101" s="371"/>
      <c r="Z101" s="371"/>
      <c r="AA101" s="371"/>
      <c r="AB101" s="371"/>
      <c r="AC101" s="371"/>
    </row>
    <row r="102" spans="1:29" s="372" customFormat="1" ht="15" customHeight="1" x14ac:dyDescent="0.35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127"/>
      <c r="R102" s="127"/>
      <c r="S102" s="127"/>
      <c r="T102" s="127"/>
      <c r="U102" s="127"/>
      <c r="V102" s="127"/>
      <c r="W102" s="127"/>
      <c r="X102" s="127"/>
      <c r="Y102" s="371"/>
      <c r="Z102" s="371"/>
      <c r="AA102" s="371"/>
      <c r="AB102" s="371"/>
      <c r="AC102" s="371"/>
    </row>
    <row r="103" spans="1:29" s="372" customFormat="1" ht="15" customHeight="1" x14ac:dyDescent="0.35">
      <c r="A103" s="371"/>
      <c r="B103" s="371" t="s">
        <v>100</v>
      </c>
      <c r="C103" s="371" t="str">
        <f>IF(INPUT!D9="","",INPUT!D5)</f>
        <v/>
      </c>
      <c r="D103" s="371">
        <f>IF(INPUT!E9="",NA(),'DASHBOARD 2'!T17)</f>
        <v>2022</v>
      </c>
      <c r="E103" s="371">
        <f>IF(INPUT!F9="",NA(),'DASHBOARD 2'!U17)</f>
        <v>2023</v>
      </c>
      <c r="F103" s="371">
        <f>IF(INPUT!G9="",NA(),'DASHBOARD 2'!V17)</f>
        <v>2024</v>
      </c>
      <c r="G103" s="371" t="str">
        <f>IF(INPUT!H9="",NA(),'DASHBOARD 2'!W17)</f>
        <v>2025 (LTM)</v>
      </c>
      <c r="H103" s="371"/>
      <c r="I103" s="371" t="s">
        <v>100</v>
      </c>
      <c r="J103" s="371" t="str">
        <f>IF(INPUT!D9="","",INPUT!D5)</f>
        <v/>
      </c>
      <c r="K103" s="371">
        <f>IF(INPUT!E9="",NA(),'DASHBOARD 2'!T17)</f>
        <v>2022</v>
      </c>
      <c r="L103" s="371">
        <f>IF(INPUT!F9="",NA(),'DASHBOARD 2'!U17)</f>
        <v>2023</v>
      </c>
      <c r="M103" s="371">
        <f>IF(INPUT!G9="",NA(),'DASHBOARD 2'!V17)</f>
        <v>2024</v>
      </c>
      <c r="N103" s="371" t="str">
        <f>IF(INPUT!H9="",NA(),'DASHBOARD 2'!W17)</f>
        <v>2025 (LTM)</v>
      </c>
      <c r="O103" s="371"/>
      <c r="P103" s="371" t="str">
        <f>J103</f>
        <v/>
      </c>
      <c r="Q103" s="127"/>
      <c r="R103" s="127"/>
      <c r="S103" s="127"/>
      <c r="T103" s="127"/>
      <c r="U103" s="127"/>
      <c r="V103" s="127"/>
      <c r="W103" s="127"/>
      <c r="X103" s="127"/>
      <c r="Y103" s="371"/>
      <c r="Z103" s="371"/>
      <c r="AA103" s="371"/>
      <c r="AB103" s="371"/>
      <c r="AC103" s="371"/>
    </row>
    <row r="104" spans="1:29" s="372" customFormat="1" ht="15" customHeight="1" x14ac:dyDescent="0.35">
      <c r="A104" s="371"/>
      <c r="B104" s="371" t="s">
        <v>320</v>
      </c>
      <c r="C104" s="371" t="str">
        <f>""</f>
        <v/>
      </c>
      <c r="D104" s="371" t="str">
        <f>IF(INPUT!E9="",NA(),'DASHBOARD 2'!T19)</f>
        <v>-</v>
      </c>
      <c r="E104" s="371">
        <f>IF(INPUT!F9="",NA(),'DASHBOARD 2'!U19)</f>
        <v>0.25</v>
      </c>
      <c r="F104" s="371">
        <f>IF(INPUT!G9="",NA(),'DASHBOARD 2'!V19)</f>
        <v>0.19999999999999996</v>
      </c>
      <c r="G104" s="371">
        <f>IF(INPUT!H9="",NA(),'DASHBOARD 2'!W19)</f>
        <v>0.16666666666666674</v>
      </c>
      <c r="H104" s="371"/>
      <c r="I104" s="371" t="s">
        <v>142</v>
      </c>
      <c r="J104" s="371" t="str">
        <f>IF(INPUT!D9="","",INPUT!D30)</f>
        <v/>
      </c>
      <c r="K104" s="371">
        <f>IF(INPUT!E9="",NA(),INPUT!E30)</f>
        <v>-62484.09</v>
      </c>
      <c r="L104" s="371">
        <f>IF(INPUT!F9="",NA(),INPUT!F30)</f>
        <v>-81582.03</v>
      </c>
      <c r="M104" s="371">
        <f>IF(INPUT!G9="",NA(),INPUT!G30)</f>
        <v>-82980.03</v>
      </c>
      <c r="N104" s="371">
        <f>IF(INPUT!H9="",NA(),INPUT!H30)</f>
        <v>-82044.040000000008</v>
      </c>
      <c r="O104" s="371"/>
      <c r="P104" s="371" t="e">
        <f>IF(INPUT!D9="",NA(),INPUT!D30/1000)</f>
        <v>#N/A</v>
      </c>
      <c r="Q104" s="127"/>
      <c r="R104" s="127"/>
      <c r="S104" s="127"/>
      <c r="T104" s="127"/>
      <c r="U104" s="127"/>
      <c r="V104" s="127"/>
      <c r="W104" s="127"/>
      <c r="X104" s="127"/>
      <c r="Y104" s="371"/>
      <c r="Z104" s="371"/>
      <c r="AA104" s="371"/>
      <c r="AB104" s="371"/>
      <c r="AC104" s="371"/>
    </row>
    <row r="105" spans="1:29" s="372" customFormat="1" ht="15" customHeight="1" x14ac:dyDescent="0.4">
      <c r="A105" s="371"/>
      <c r="B105" s="371" t="s">
        <v>326</v>
      </c>
      <c r="C105" s="373" t="str">
        <f>IF(INPUT!D9="","",INPUT!D9)</f>
        <v/>
      </c>
      <c r="D105" s="373">
        <f>IF(INPUT!E9="",NA(),INPUT!E9)</f>
        <v>1200</v>
      </c>
      <c r="E105" s="373">
        <f>IF(INPUT!F9="",NA(),INPUT!F9)</f>
        <v>1500</v>
      </c>
      <c r="F105" s="373">
        <f>IF(INPUT!G9="",NA(),INPUT!G9)</f>
        <v>1800</v>
      </c>
      <c r="G105" s="373">
        <f>IF(INPUT!H9="",NA(),INPUT!H9)</f>
        <v>2100</v>
      </c>
      <c r="H105" s="373"/>
      <c r="I105" s="371" t="s">
        <v>333</v>
      </c>
      <c r="J105" s="371" t="str">
        <f>IF(INPUT!D9="","",INPUT!D75)</f>
        <v/>
      </c>
      <c r="K105" s="371">
        <f>IF(INPUT!E9="",NA(),INPUT!E75)</f>
        <v>-60920.88</v>
      </c>
      <c r="L105" s="371">
        <f>IF(INPUT!F9="",NA(),INPUT!F75)</f>
        <v>-80172.829999999987</v>
      </c>
      <c r="M105" s="371">
        <f>IF(INPUT!G9="",NA(),INPUT!G75)</f>
        <v>-81871.850000000006</v>
      </c>
      <c r="N105" s="371">
        <f>IF(INPUT!H9="",NA(),INPUT!H75)</f>
        <v>-82402.81</v>
      </c>
      <c r="O105" s="371"/>
      <c r="P105" s="371" t="e">
        <f>IF(INPUT!D9="",NA(),INPUT!D75/1000)</f>
        <v>#N/A</v>
      </c>
      <c r="Q105" s="127"/>
      <c r="R105" s="127"/>
      <c r="S105" s="127"/>
      <c r="T105" s="127"/>
      <c r="U105" s="127"/>
      <c r="V105" s="127"/>
      <c r="W105" s="127"/>
      <c r="X105" s="127"/>
      <c r="Y105" s="371"/>
      <c r="Z105" s="371"/>
      <c r="AA105" s="371"/>
      <c r="AB105" s="371"/>
      <c r="AC105" s="371"/>
    </row>
    <row r="106" spans="1:29" s="372" customFormat="1" ht="15" customHeight="1" x14ac:dyDescent="0.35">
      <c r="A106" s="371" t="s">
        <v>7</v>
      </c>
      <c r="B106" s="371"/>
      <c r="C106" s="371"/>
      <c r="D106" s="371"/>
      <c r="E106" s="371"/>
      <c r="F106" s="371"/>
      <c r="G106" s="371"/>
      <c r="H106" s="371"/>
      <c r="I106" s="371" t="s">
        <v>143</v>
      </c>
      <c r="J106" s="371" t="str">
        <f>IF(INPUT!D9="","",INPUT!D26)</f>
        <v/>
      </c>
      <c r="K106" s="371">
        <f>IF(INPUT!E9="",NA(),INPUT!E26)</f>
        <v>-66231.89</v>
      </c>
      <c r="L106" s="371">
        <f>IF(INPUT!F9="",NA(),INPUT!F26)</f>
        <v>-86249.819999999992</v>
      </c>
      <c r="M106" s="371">
        <f>IF(INPUT!G9="",NA(),INPUT!G26)</f>
        <v>-88348.83</v>
      </c>
      <c r="N106" s="371">
        <f>IF(INPUT!H9="",NA(),INPUT!H26)</f>
        <v>-88192.83</v>
      </c>
      <c r="O106" s="371"/>
      <c r="P106" s="371" t="e">
        <f>IF(INPUT!D9="",NA(),INPUT!D26/1000)</f>
        <v>#N/A</v>
      </c>
      <c r="Q106" s="127"/>
      <c r="R106" s="127"/>
      <c r="S106" s="127"/>
      <c r="T106" s="127"/>
      <c r="U106" s="127"/>
      <c r="V106" s="127"/>
      <c r="W106" s="127"/>
      <c r="X106" s="127"/>
      <c r="Y106" s="371"/>
      <c r="Z106" s="371"/>
      <c r="AA106" s="371"/>
      <c r="AB106" s="371"/>
      <c r="AC106" s="371"/>
    </row>
    <row r="107" spans="1:29" s="372" customFormat="1" ht="15" customHeight="1" x14ac:dyDescent="0.35">
      <c r="B107" s="374"/>
      <c r="C107" s="374"/>
      <c r="D107" s="374"/>
      <c r="E107" s="374"/>
      <c r="F107" s="374"/>
      <c r="G107" s="374"/>
      <c r="H107" s="374"/>
      <c r="I107" s="374"/>
      <c r="J107" s="374"/>
      <c r="K107" s="374"/>
      <c r="L107" s="374"/>
      <c r="M107" s="374"/>
      <c r="N107" s="374"/>
      <c r="O107" s="374"/>
      <c r="P107" s="374"/>
      <c r="Q107" s="127"/>
      <c r="R107" s="127"/>
      <c r="S107" s="127"/>
      <c r="T107" s="127"/>
      <c r="U107" s="127"/>
      <c r="V107" s="127"/>
      <c r="W107" s="127"/>
      <c r="X107" s="127"/>
    </row>
    <row r="108" spans="1:29" s="372" customFormat="1" ht="15" customHeight="1" x14ac:dyDescent="0.35">
      <c r="O108" s="375"/>
      <c r="Q108" s="127"/>
      <c r="R108" s="127"/>
      <c r="S108" s="127"/>
      <c r="T108" s="127"/>
      <c r="U108" s="127"/>
      <c r="V108" s="127"/>
      <c r="W108" s="127"/>
      <c r="X108" s="127"/>
    </row>
  </sheetData>
  <pageMargins left="5.5555555555555558E-3" right="5.5555555555555558E-3" top="5.5555555555555558E-3" bottom="5.5555555555555558E-3" header="0.3" footer="0.3"/>
  <pageSetup paperSize="9"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7"/>
  <sheetViews>
    <sheetView workbookViewId="0">
      <selection activeCell="E32" sqref="E32"/>
    </sheetView>
  </sheetViews>
  <sheetFormatPr baseColWidth="10" defaultRowHeight="14.4" x14ac:dyDescent="0.3"/>
  <cols>
    <col min="1" max="1" width="55.33203125" bestFit="1" customWidth="1"/>
    <col min="2" max="2" width="6.6640625" bestFit="1" customWidth="1"/>
    <col min="3" max="3" width="14.109375" bestFit="1" customWidth="1"/>
    <col min="4" max="4" width="12.6640625" bestFit="1" customWidth="1"/>
  </cols>
  <sheetData>
    <row r="1" spans="1:3" x14ac:dyDescent="0.3">
      <c r="A1" s="155" t="s">
        <v>334</v>
      </c>
      <c r="B1" s="155"/>
      <c r="C1" s="155"/>
    </row>
    <row r="2" spans="1:3" x14ac:dyDescent="0.3">
      <c r="A2" s="156" t="s">
        <v>335</v>
      </c>
      <c r="B2" s="156" t="s">
        <v>336</v>
      </c>
      <c r="C2" s="156" t="s">
        <v>337</v>
      </c>
    </row>
    <row r="3" spans="1:3" x14ac:dyDescent="0.3">
      <c r="A3" s="224">
        <v>1</v>
      </c>
      <c r="B3" t="s">
        <v>338</v>
      </c>
      <c r="C3" s="265">
        <v>0</v>
      </c>
    </row>
    <row r="4" spans="1:3" x14ac:dyDescent="0.3">
      <c r="A4" s="224">
        <v>2</v>
      </c>
      <c r="B4" t="s">
        <v>339</v>
      </c>
      <c r="C4" s="265">
        <v>0</v>
      </c>
    </row>
    <row r="5" spans="1:3" x14ac:dyDescent="0.3">
      <c r="A5" s="224">
        <v>3</v>
      </c>
      <c r="B5" t="s">
        <v>340</v>
      </c>
      <c r="C5" s="265">
        <v>0</v>
      </c>
    </row>
    <row r="6" spans="1:3" x14ac:dyDescent="0.3">
      <c r="A6" s="224">
        <v>4</v>
      </c>
      <c r="B6" t="s">
        <v>341</v>
      </c>
      <c r="C6" s="265">
        <v>0</v>
      </c>
    </row>
    <row r="7" spans="1:3" x14ac:dyDescent="0.3">
      <c r="A7" s="224">
        <v>5</v>
      </c>
      <c r="B7" t="s">
        <v>342</v>
      </c>
      <c r="C7" s="265">
        <v>0</v>
      </c>
    </row>
    <row r="8" spans="1:3" x14ac:dyDescent="0.3">
      <c r="A8" s="224">
        <v>6</v>
      </c>
      <c r="B8" t="s">
        <v>343</v>
      </c>
      <c r="C8" s="265">
        <v>0</v>
      </c>
    </row>
    <row r="9" spans="1:3" x14ac:dyDescent="0.3">
      <c r="A9" s="224">
        <v>7</v>
      </c>
      <c r="B9" t="s">
        <v>344</v>
      </c>
      <c r="C9" s="265">
        <v>0</v>
      </c>
    </row>
    <row r="10" spans="1:3" x14ac:dyDescent="0.3">
      <c r="A10" s="224">
        <v>8</v>
      </c>
      <c r="B10" t="s">
        <v>345</v>
      </c>
      <c r="C10" s="265">
        <v>0</v>
      </c>
    </row>
    <row r="11" spans="1:3" x14ac:dyDescent="0.3">
      <c r="A11" s="224">
        <v>9</v>
      </c>
      <c r="B11" t="s">
        <v>346</v>
      </c>
      <c r="C11" s="265">
        <v>0</v>
      </c>
    </row>
    <row r="12" spans="1:3" x14ac:dyDescent="0.3">
      <c r="A12" s="224">
        <v>10</v>
      </c>
      <c r="B12" t="s">
        <v>347</v>
      </c>
      <c r="C12" s="265">
        <v>0</v>
      </c>
    </row>
    <row r="13" spans="1:3" x14ac:dyDescent="0.3">
      <c r="A13" s="224">
        <v>11</v>
      </c>
      <c r="B13" t="s">
        <v>348</v>
      </c>
      <c r="C13" s="265">
        <v>0</v>
      </c>
    </row>
    <row r="14" spans="1:3" x14ac:dyDescent="0.3">
      <c r="A14" s="224">
        <v>12</v>
      </c>
      <c r="B14" t="s">
        <v>349</v>
      </c>
      <c r="C14" s="265">
        <v>0</v>
      </c>
    </row>
    <row r="15" spans="1:3" x14ac:dyDescent="0.3">
      <c r="A15" s="224">
        <v>13</v>
      </c>
      <c r="C15" s="265"/>
    </row>
    <row r="17" spans="1:1" x14ac:dyDescent="0.3">
      <c r="A17" s="157" t="s">
        <v>350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E61"/>
  <sheetViews>
    <sheetView topLeftCell="A38" workbookViewId="0"/>
  </sheetViews>
  <sheetFormatPr baseColWidth="10" defaultRowHeight="14.4" x14ac:dyDescent="0.3"/>
  <cols>
    <col min="1" max="1" width="23.109375" bestFit="1" customWidth="1"/>
    <col min="2" max="2" width="28.109375" bestFit="1" customWidth="1"/>
    <col min="3" max="3" width="11" bestFit="1" customWidth="1"/>
    <col min="4" max="4" width="8.44140625" bestFit="1" customWidth="1"/>
    <col min="5" max="5" width="10" bestFit="1" customWidth="1"/>
  </cols>
  <sheetData>
    <row r="1" spans="1:5" x14ac:dyDescent="0.3">
      <c r="A1" s="155" t="s">
        <v>351</v>
      </c>
      <c r="B1" s="155" t="s">
        <v>352</v>
      </c>
      <c r="C1" s="155" t="s">
        <v>353</v>
      </c>
      <c r="D1" s="155" t="s">
        <v>354</v>
      </c>
      <c r="E1" s="155" t="s">
        <v>355</v>
      </c>
    </row>
    <row r="2" spans="1:5" ht="15" customHeight="1" x14ac:dyDescent="0.35">
      <c r="A2" s="3" t="s">
        <v>356</v>
      </c>
      <c r="B2" s="3" t="s">
        <v>259</v>
      </c>
      <c r="C2" s="266">
        <v>0.05</v>
      </c>
      <c r="D2" s="266">
        <v>0.12</v>
      </c>
      <c r="E2" s="266">
        <v>0.22</v>
      </c>
    </row>
    <row r="3" spans="1:5" ht="15" customHeight="1" x14ac:dyDescent="0.35">
      <c r="A3" s="3" t="s">
        <v>356</v>
      </c>
      <c r="B3" s="3" t="s">
        <v>170</v>
      </c>
      <c r="C3" s="266">
        <v>0.55000000000000004</v>
      </c>
      <c r="D3" s="266">
        <v>0.68</v>
      </c>
      <c r="E3" s="266">
        <v>0.78</v>
      </c>
    </row>
    <row r="4" spans="1:5" ht="15" customHeight="1" x14ac:dyDescent="0.35">
      <c r="A4" s="3" t="s">
        <v>356</v>
      </c>
      <c r="B4" s="3" t="s">
        <v>109</v>
      </c>
      <c r="C4" s="266">
        <v>0.08</v>
      </c>
      <c r="D4" s="266">
        <v>0.18</v>
      </c>
      <c r="E4" s="266">
        <v>0.28000000000000003</v>
      </c>
    </row>
    <row r="5" spans="1:5" ht="15" customHeight="1" x14ac:dyDescent="0.35">
      <c r="A5" s="3" t="s">
        <v>356</v>
      </c>
      <c r="B5" s="3" t="s">
        <v>357</v>
      </c>
      <c r="C5" s="266">
        <v>0.3</v>
      </c>
      <c r="D5" s="266">
        <v>0.22</v>
      </c>
      <c r="E5" s="266">
        <v>0.15</v>
      </c>
    </row>
    <row r="6" spans="1:5" ht="15" customHeight="1" x14ac:dyDescent="0.35">
      <c r="A6" s="3" t="s">
        <v>356</v>
      </c>
      <c r="B6" s="3" t="s">
        <v>358</v>
      </c>
      <c r="C6" s="266">
        <v>0.18</v>
      </c>
      <c r="D6" s="266">
        <v>0.12</v>
      </c>
      <c r="E6" s="266">
        <v>0.08</v>
      </c>
    </row>
    <row r="7" spans="1:5" ht="15" customHeight="1" x14ac:dyDescent="0.35">
      <c r="A7" s="3" t="s">
        <v>356</v>
      </c>
      <c r="B7" s="3" t="s">
        <v>359</v>
      </c>
      <c r="C7" s="266">
        <v>0.08</v>
      </c>
      <c r="D7" s="266">
        <v>0.05</v>
      </c>
      <c r="E7" s="266">
        <v>0.03</v>
      </c>
    </row>
    <row r="8" spans="1:5" ht="15" customHeight="1" x14ac:dyDescent="0.35">
      <c r="A8" s="3" t="s">
        <v>356</v>
      </c>
      <c r="B8" s="3" t="s">
        <v>360</v>
      </c>
      <c r="C8" s="266">
        <v>0.05</v>
      </c>
      <c r="D8" s="266">
        <v>0.03</v>
      </c>
      <c r="E8" s="266">
        <v>0.02</v>
      </c>
    </row>
    <row r="9" spans="1:5" ht="15" customHeight="1" x14ac:dyDescent="0.35">
      <c r="A9" s="3" t="s">
        <v>356</v>
      </c>
      <c r="B9" s="3" t="s">
        <v>78</v>
      </c>
      <c r="C9" s="266">
        <v>0.02</v>
      </c>
      <c r="D9" s="266">
        <v>0.03</v>
      </c>
      <c r="E9" s="266">
        <v>0.04</v>
      </c>
    </row>
    <row r="10" spans="1:5" ht="15" customHeight="1" x14ac:dyDescent="0.35">
      <c r="A10" s="3" t="s">
        <v>356</v>
      </c>
      <c r="B10" s="3" t="s">
        <v>77</v>
      </c>
      <c r="C10" s="266">
        <v>0.11</v>
      </c>
      <c r="D10" s="266">
        <v>0.09</v>
      </c>
      <c r="E10" s="266">
        <v>7.0000000000000007E-2</v>
      </c>
    </row>
    <row r="11" spans="1:5" ht="15" customHeight="1" x14ac:dyDescent="0.35">
      <c r="A11" s="3" t="s">
        <v>356</v>
      </c>
      <c r="B11" s="3" t="s">
        <v>361</v>
      </c>
      <c r="C11" s="266">
        <v>12</v>
      </c>
      <c r="D11" s="266">
        <v>16</v>
      </c>
      <c r="E11" s="266">
        <v>22</v>
      </c>
    </row>
    <row r="12" spans="1:5" ht="15" customHeight="1" x14ac:dyDescent="0.35">
      <c r="A12" s="3" t="s">
        <v>362</v>
      </c>
      <c r="B12" s="3" t="s">
        <v>259</v>
      </c>
      <c r="C12" s="266">
        <v>0.01</v>
      </c>
      <c r="D12" s="266">
        <v>0.04</v>
      </c>
      <c r="E12" s="266">
        <v>7.0000000000000007E-2</v>
      </c>
    </row>
    <row r="13" spans="1:5" ht="15" customHeight="1" x14ac:dyDescent="0.35">
      <c r="A13" s="3" t="s">
        <v>362</v>
      </c>
      <c r="B13" s="3" t="s">
        <v>170</v>
      </c>
      <c r="C13" s="266">
        <v>0.18</v>
      </c>
      <c r="D13" s="266">
        <v>0.25</v>
      </c>
      <c r="E13" s="266">
        <v>0.32</v>
      </c>
    </row>
    <row r="14" spans="1:5" ht="15" customHeight="1" x14ac:dyDescent="0.35">
      <c r="A14" s="3" t="s">
        <v>362</v>
      </c>
      <c r="B14" s="3" t="s">
        <v>109</v>
      </c>
      <c r="C14" s="266">
        <v>0.06</v>
      </c>
      <c r="D14" s="266">
        <v>0.12</v>
      </c>
      <c r="E14" s="266">
        <v>0.18</v>
      </c>
    </row>
    <row r="15" spans="1:5" ht="15" customHeight="1" x14ac:dyDescent="0.35">
      <c r="A15" s="3" t="s">
        <v>362</v>
      </c>
      <c r="B15" s="3" t="s">
        <v>357</v>
      </c>
      <c r="C15" s="266">
        <v>0.1</v>
      </c>
      <c r="D15" s="266">
        <v>0.08</v>
      </c>
      <c r="E15" s="266">
        <v>0.06</v>
      </c>
    </row>
    <row r="16" spans="1:5" ht="15" customHeight="1" x14ac:dyDescent="0.35">
      <c r="A16" s="3" t="s">
        <v>362</v>
      </c>
      <c r="B16" s="3" t="s">
        <v>358</v>
      </c>
      <c r="C16" s="266">
        <v>0.03</v>
      </c>
      <c r="D16" s="266">
        <v>0.02</v>
      </c>
      <c r="E16" s="266">
        <v>0.01</v>
      </c>
    </row>
    <row r="17" spans="1:5" ht="15" customHeight="1" x14ac:dyDescent="0.35">
      <c r="A17" s="3" t="s">
        <v>362</v>
      </c>
      <c r="B17" s="3" t="s">
        <v>359</v>
      </c>
      <c r="C17" s="266">
        <v>0.1</v>
      </c>
      <c r="D17" s="266">
        <v>7.0000000000000007E-2</v>
      </c>
      <c r="E17" s="266">
        <v>0.04</v>
      </c>
    </row>
    <row r="18" spans="1:5" ht="15" customHeight="1" x14ac:dyDescent="0.35">
      <c r="A18" s="3" t="s">
        <v>362</v>
      </c>
      <c r="B18" s="3" t="s">
        <v>360</v>
      </c>
      <c r="C18" s="266">
        <v>0.12</v>
      </c>
      <c r="D18" s="266">
        <v>0.08</v>
      </c>
      <c r="E18" s="266">
        <v>0.05</v>
      </c>
    </row>
    <row r="19" spans="1:5" ht="15" customHeight="1" x14ac:dyDescent="0.35">
      <c r="A19" s="3" t="s">
        <v>362</v>
      </c>
      <c r="B19" s="3" t="s">
        <v>78</v>
      </c>
      <c r="C19" s="266">
        <v>0</v>
      </c>
      <c r="D19" s="266">
        <v>0.01</v>
      </c>
      <c r="E19" s="266">
        <v>0.02</v>
      </c>
    </row>
    <row r="20" spans="1:5" ht="15" customHeight="1" x14ac:dyDescent="0.35">
      <c r="A20" s="3" t="s">
        <v>362</v>
      </c>
      <c r="B20" s="3" t="s">
        <v>77</v>
      </c>
      <c r="C20" s="266">
        <v>0.09</v>
      </c>
      <c r="D20" s="266">
        <v>0.08</v>
      </c>
      <c r="E20" s="266">
        <v>0.06</v>
      </c>
    </row>
    <row r="21" spans="1:5" ht="15" customHeight="1" x14ac:dyDescent="0.35">
      <c r="A21" s="3" t="s">
        <v>362</v>
      </c>
      <c r="B21" s="3" t="s">
        <v>361</v>
      </c>
      <c r="C21" s="266">
        <v>5</v>
      </c>
      <c r="D21" s="266">
        <v>7</v>
      </c>
      <c r="E21" s="266">
        <v>10</v>
      </c>
    </row>
    <row r="22" spans="1:5" ht="15" customHeight="1" x14ac:dyDescent="0.35">
      <c r="A22" s="3" t="s">
        <v>363</v>
      </c>
      <c r="B22" s="3" t="s">
        <v>259</v>
      </c>
      <c r="C22" s="266">
        <v>0.01</v>
      </c>
      <c r="D22" s="266">
        <v>0.04</v>
      </c>
      <c r="E22" s="266">
        <v>0.08</v>
      </c>
    </row>
    <row r="23" spans="1:5" ht="15" customHeight="1" x14ac:dyDescent="0.35">
      <c r="A23" s="3" t="s">
        <v>363</v>
      </c>
      <c r="B23" s="3" t="s">
        <v>170</v>
      </c>
      <c r="C23" s="266">
        <v>0.25</v>
      </c>
      <c r="D23" s="266">
        <v>0.35</v>
      </c>
      <c r="E23" s="266">
        <v>0.45</v>
      </c>
    </row>
    <row r="24" spans="1:5" ht="15" customHeight="1" x14ac:dyDescent="0.35">
      <c r="A24" s="3" t="s">
        <v>363</v>
      </c>
      <c r="B24" s="3" t="s">
        <v>109</v>
      </c>
      <c r="C24" s="266">
        <v>0.04</v>
      </c>
      <c r="D24" s="266">
        <v>0.09</v>
      </c>
      <c r="E24" s="266">
        <v>0.14000000000000001</v>
      </c>
    </row>
    <row r="25" spans="1:5" ht="15" customHeight="1" x14ac:dyDescent="0.35">
      <c r="A25" s="3" t="s">
        <v>363</v>
      </c>
      <c r="B25" s="3" t="s">
        <v>357</v>
      </c>
      <c r="C25" s="266">
        <v>0.18</v>
      </c>
      <c r="D25" s="266">
        <v>0.14000000000000001</v>
      </c>
      <c r="E25" s="266">
        <v>0.1</v>
      </c>
    </row>
    <row r="26" spans="1:5" ht="15" customHeight="1" x14ac:dyDescent="0.35">
      <c r="A26" s="3" t="s">
        <v>363</v>
      </c>
      <c r="B26" s="3" t="s">
        <v>358</v>
      </c>
      <c r="C26" s="266">
        <v>0.01</v>
      </c>
      <c r="D26" s="266">
        <v>0.01</v>
      </c>
      <c r="E26" s="266">
        <v>0</v>
      </c>
    </row>
    <row r="27" spans="1:5" ht="15" customHeight="1" x14ac:dyDescent="0.35">
      <c r="A27" s="3" t="s">
        <v>363</v>
      </c>
      <c r="B27" s="3" t="s">
        <v>359</v>
      </c>
      <c r="C27" s="266">
        <v>0.05</v>
      </c>
      <c r="D27" s="266">
        <v>0.03</v>
      </c>
      <c r="E27" s="266">
        <v>0.02</v>
      </c>
    </row>
    <row r="28" spans="1:5" ht="15" customHeight="1" x14ac:dyDescent="0.35">
      <c r="A28" s="3" t="s">
        <v>363</v>
      </c>
      <c r="B28" s="3" t="s">
        <v>360</v>
      </c>
      <c r="C28" s="266">
        <v>0.1</v>
      </c>
      <c r="D28" s="266">
        <v>7.0000000000000007E-2</v>
      </c>
      <c r="E28" s="266">
        <v>0.04</v>
      </c>
    </row>
    <row r="29" spans="1:5" ht="15" customHeight="1" x14ac:dyDescent="0.35">
      <c r="A29" s="3" t="s">
        <v>363</v>
      </c>
      <c r="B29" s="3" t="s">
        <v>78</v>
      </c>
      <c r="C29" s="266">
        <v>0</v>
      </c>
      <c r="D29" s="266">
        <v>0.01</v>
      </c>
      <c r="E29" s="266">
        <v>0.02</v>
      </c>
    </row>
    <row r="30" spans="1:5" ht="15" customHeight="1" x14ac:dyDescent="0.35">
      <c r="A30" s="3" t="s">
        <v>363</v>
      </c>
      <c r="B30" s="3" t="s">
        <v>77</v>
      </c>
      <c r="C30" s="266">
        <v>0.09</v>
      </c>
      <c r="D30" s="266">
        <v>0.08</v>
      </c>
      <c r="E30" s="266">
        <v>0.06</v>
      </c>
    </row>
    <row r="31" spans="1:5" ht="15" customHeight="1" x14ac:dyDescent="0.35">
      <c r="A31" s="3" t="s">
        <v>363</v>
      </c>
      <c r="B31" s="3" t="s">
        <v>361</v>
      </c>
      <c r="C31" s="266">
        <v>5</v>
      </c>
      <c r="D31" s="266">
        <v>8</v>
      </c>
      <c r="E31" s="266">
        <v>11</v>
      </c>
    </row>
    <row r="32" spans="1:5" ht="15" customHeight="1" x14ac:dyDescent="0.35">
      <c r="A32" s="3" t="s">
        <v>364</v>
      </c>
      <c r="B32" s="3" t="s">
        <v>259</v>
      </c>
      <c r="C32" s="266">
        <v>0.03</v>
      </c>
      <c r="D32" s="266">
        <v>0.08</v>
      </c>
      <c r="E32" s="266">
        <v>0.15</v>
      </c>
    </row>
    <row r="33" spans="1:5" ht="15" customHeight="1" x14ac:dyDescent="0.35">
      <c r="A33" s="3" t="s">
        <v>364</v>
      </c>
      <c r="B33" s="3" t="s">
        <v>170</v>
      </c>
      <c r="C33" s="266">
        <v>0.55000000000000004</v>
      </c>
      <c r="D33" s="266">
        <v>0.65</v>
      </c>
      <c r="E33" s="266">
        <v>0.72</v>
      </c>
    </row>
    <row r="34" spans="1:5" ht="15" customHeight="1" x14ac:dyDescent="0.35">
      <c r="A34" s="3" t="s">
        <v>364</v>
      </c>
      <c r="B34" s="3" t="s">
        <v>109</v>
      </c>
      <c r="C34" s="266">
        <v>0.18</v>
      </c>
      <c r="D34" s="266">
        <v>0.28000000000000003</v>
      </c>
      <c r="E34" s="266">
        <v>0.35</v>
      </c>
    </row>
    <row r="35" spans="1:5" ht="15" customHeight="1" x14ac:dyDescent="0.35">
      <c r="A35" s="3" t="s">
        <v>364</v>
      </c>
      <c r="B35" s="3" t="s">
        <v>357</v>
      </c>
      <c r="C35" s="266">
        <v>0.25</v>
      </c>
      <c r="D35" s="266">
        <v>0.18</v>
      </c>
      <c r="E35" s="266">
        <v>0.12</v>
      </c>
    </row>
    <row r="36" spans="1:5" ht="15" customHeight="1" x14ac:dyDescent="0.35">
      <c r="A36" s="3" t="s">
        <v>364</v>
      </c>
      <c r="B36" s="3" t="s">
        <v>358</v>
      </c>
      <c r="C36" s="266">
        <v>0.02</v>
      </c>
      <c r="D36" s="266">
        <v>0.01</v>
      </c>
      <c r="E36" s="266">
        <v>0.01</v>
      </c>
    </row>
    <row r="37" spans="1:5" ht="15" customHeight="1" x14ac:dyDescent="0.35">
      <c r="A37" s="3" t="s">
        <v>364</v>
      </c>
      <c r="B37" s="3" t="s">
        <v>359</v>
      </c>
      <c r="C37" s="266">
        <v>0.06</v>
      </c>
      <c r="D37" s="266">
        <v>0.04</v>
      </c>
      <c r="E37" s="266">
        <v>0.03</v>
      </c>
    </row>
    <row r="38" spans="1:5" ht="15" customHeight="1" x14ac:dyDescent="0.35">
      <c r="A38" s="3" t="s">
        <v>364</v>
      </c>
      <c r="B38" s="3" t="s">
        <v>360</v>
      </c>
      <c r="C38" s="266">
        <v>0.08</v>
      </c>
      <c r="D38" s="266">
        <v>0.05</v>
      </c>
      <c r="E38" s="266">
        <v>0.03</v>
      </c>
    </row>
    <row r="39" spans="1:5" ht="15" customHeight="1" x14ac:dyDescent="0.35">
      <c r="A39" s="3" t="s">
        <v>364</v>
      </c>
      <c r="B39" s="3" t="s">
        <v>78</v>
      </c>
      <c r="C39" s="266">
        <v>0.01</v>
      </c>
      <c r="D39" s="266">
        <v>0.02</v>
      </c>
      <c r="E39" s="266">
        <v>0.03</v>
      </c>
    </row>
    <row r="40" spans="1:5" ht="15" customHeight="1" x14ac:dyDescent="0.35">
      <c r="A40" s="3" t="s">
        <v>364</v>
      </c>
      <c r="B40" s="3" t="s">
        <v>77</v>
      </c>
      <c r="C40" s="266">
        <v>0.08</v>
      </c>
      <c r="D40" s="266">
        <v>7.0000000000000007E-2</v>
      </c>
      <c r="E40" s="266">
        <v>0.05</v>
      </c>
    </row>
    <row r="41" spans="1:5" ht="15" customHeight="1" x14ac:dyDescent="0.35">
      <c r="A41" s="3" t="s">
        <v>364</v>
      </c>
      <c r="B41" s="3" t="s">
        <v>361</v>
      </c>
      <c r="C41" s="266">
        <v>12</v>
      </c>
      <c r="D41" s="266">
        <v>18</v>
      </c>
      <c r="E41" s="266">
        <v>25</v>
      </c>
    </row>
    <row r="42" spans="1:5" ht="15" customHeight="1" x14ac:dyDescent="0.35">
      <c r="A42" s="3" t="s">
        <v>365</v>
      </c>
      <c r="B42" s="3" t="s">
        <v>435</v>
      </c>
      <c r="C42" s="416">
        <v>0.03</v>
      </c>
      <c r="D42" s="416">
        <v>0.05</v>
      </c>
      <c r="E42" s="416">
        <v>0.08</v>
      </c>
    </row>
    <row r="43" spans="1:5" ht="15" customHeight="1" x14ac:dyDescent="0.35">
      <c r="A43" s="3" t="s">
        <v>365</v>
      </c>
      <c r="B43" s="3" t="s">
        <v>372</v>
      </c>
      <c r="C43" s="416">
        <v>0.09</v>
      </c>
      <c r="D43" s="416">
        <v>9.5000000000000001E-2</v>
      </c>
      <c r="E43" s="416">
        <v>0.1</v>
      </c>
    </row>
    <row r="44" spans="1:5" ht="15" customHeight="1" x14ac:dyDescent="0.35">
      <c r="A44" s="3" t="s">
        <v>365</v>
      </c>
      <c r="B44" s="3" t="s">
        <v>109</v>
      </c>
      <c r="C44" s="416">
        <v>0.22</v>
      </c>
      <c r="D44" s="416">
        <v>0.28000000000000003</v>
      </c>
      <c r="E44" s="416">
        <v>0.34</v>
      </c>
    </row>
    <row r="45" spans="1:5" ht="15" customHeight="1" x14ac:dyDescent="0.35">
      <c r="A45" s="3" t="s">
        <v>365</v>
      </c>
      <c r="B45" s="3" t="s">
        <v>374</v>
      </c>
      <c r="C45" s="416">
        <v>0.6</v>
      </c>
      <c r="D45" s="416">
        <v>0.55000000000000004</v>
      </c>
      <c r="E45" s="416">
        <v>0.5</v>
      </c>
    </row>
    <row r="46" spans="1:5" ht="15" customHeight="1" x14ac:dyDescent="0.35">
      <c r="A46" s="3" t="s">
        <v>365</v>
      </c>
      <c r="B46" s="3" t="s">
        <v>439</v>
      </c>
      <c r="C46" s="416">
        <v>0.12</v>
      </c>
      <c r="D46" s="416">
        <v>0.15</v>
      </c>
      <c r="E46" s="416">
        <v>0.18</v>
      </c>
    </row>
    <row r="47" spans="1:5" ht="15" customHeight="1" x14ac:dyDescent="0.35">
      <c r="A47" s="3" t="s">
        <v>365</v>
      </c>
      <c r="B47" s="3" t="s">
        <v>440</v>
      </c>
      <c r="C47" s="416">
        <v>0.15</v>
      </c>
      <c r="D47" s="416">
        <v>0.12</v>
      </c>
      <c r="E47" s="416">
        <v>0.1</v>
      </c>
    </row>
    <row r="48" spans="1:5" ht="15" customHeight="1" x14ac:dyDescent="0.35">
      <c r="A48" s="3" t="s">
        <v>365</v>
      </c>
      <c r="B48" s="3" t="s">
        <v>78</v>
      </c>
      <c r="C48" s="416">
        <v>1.4999999999999999E-2</v>
      </c>
      <c r="D48" s="416">
        <v>0.02</v>
      </c>
      <c r="E48" s="416">
        <v>2.5000000000000001E-2</v>
      </c>
    </row>
    <row r="49" spans="1:5" ht="15" customHeight="1" x14ac:dyDescent="0.35">
      <c r="A49" s="3" t="s">
        <v>365</v>
      </c>
      <c r="B49" s="3" t="s">
        <v>77</v>
      </c>
      <c r="C49" s="416">
        <v>6.5000000000000002E-2</v>
      </c>
      <c r="D49" s="416">
        <v>0.06</v>
      </c>
      <c r="E49" s="416">
        <v>5.5E-2</v>
      </c>
    </row>
    <row r="50" spans="1:5" ht="15" customHeight="1" x14ac:dyDescent="0.35">
      <c r="A50" s="3" t="s">
        <v>365</v>
      </c>
      <c r="B50" s="3" t="s">
        <v>410</v>
      </c>
      <c r="C50" s="417">
        <v>0.9</v>
      </c>
      <c r="D50" s="417">
        <v>1.05</v>
      </c>
      <c r="E50" s="417">
        <v>1.2</v>
      </c>
    </row>
    <row r="51" spans="1:5" ht="15" customHeight="1" x14ac:dyDescent="0.35">
      <c r="A51" s="3" t="s">
        <v>365</v>
      </c>
      <c r="B51" s="3" t="s">
        <v>361</v>
      </c>
      <c r="C51" s="417">
        <v>8</v>
      </c>
      <c r="D51" s="417">
        <v>10</v>
      </c>
      <c r="E51" s="417">
        <v>12</v>
      </c>
    </row>
    <row r="52" spans="1:5" ht="15" customHeight="1" x14ac:dyDescent="0.35">
      <c r="A52" s="3" t="s">
        <v>366</v>
      </c>
      <c r="B52" s="3" t="s">
        <v>259</v>
      </c>
      <c r="C52" s="266">
        <v>0.02</v>
      </c>
      <c r="D52" s="266">
        <v>0.06</v>
      </c>
      <c r="E52" s="266">
        <v>0.12</v>
      </c>
    </row>
    <row r="53" spans="1:5" ht="15" customHeight="1" x14ac:dyDescent="0.35">
      <c r="A53" s="3" t="s">
        <v>366</v>
      </c>
      <c r="B53" s="3" t="s">
        <v>170</v>
      </c>
      <c r="C53" s="266">
        <v>0.45</v>
      </c>
      <c r="D53" s="266">
        <v>0.6</v>
      </c>
      <c r="E53" s="266">
        <v>0.72</v>
      </c>
    </row>
    <row r="54" spans="1:5" ht="15" customHeight="1" x14ac:dyDescent="0.35">
      <c r="A54" s="3" t="s">
        <v>366</v>
      </c>
      <c r="B54" s="3" t="s">
        <v>109</v>
      </c>
      <c r="C54" s="266">
        <v>0.1</v>
      </c>
      <c r="D54" s="266">
        <v>0.2</v>
      </c>
      <c r="E54" s="266">
        <v>0.3</v>
      </c>
    </row>
    <row r="55" spans="1:5" ht="15" customHeight="1" x14ac:dyDescent="0.35">
      <c r="A55" s="3" t="s">
        <v>366</v>
      </c>
      <c r="B55" s="3" t="s">
        <v>357</v>
      </c>
      <c r="C55" s="266">
        <v>0.25</v>
      </c>
      <c r="D55" s="266">
        <v>0.18</v>
      </c>
      <c r="E55" s="266">
        <v>0.12</v>
      </c>
    </row>
    <row r="56" spans="1:5" ht="15" customHeight="1" x14ac:dyDescent="0.35">
      <c r="A56" s="3" t="s">
        <v>366</v>
      </c>
      <c r="B56" s="3" t="s">
        <v>358</v>
      </c>
      <c r="C56" s="266">
        <v>0.2</v>
      </c>
      <c r="D56" s="266">
        <v>0.15</v>
      </c>
      <c r="E56" s="266">
        <v>0.1</v>
      </c>
    </row>
    <row r="57" spans="1:5" ht="15" customHeight="1" x14ac:dyDescent="0.35">
      <c r="A57" s="3" t="s">
        <v>366</v>
      </c>
      <c r="B57" s="3" t="s">
        <v>359</v>
      </c>
      <c r="C57" s="266">
        <v>0.06</v>
      </c>
      <c r="D57" s="266">
        <v>0.04</v>
      </c>
      <c r="E57" s="266">
        <v>0.03</v>
      </c>
    </row>
    <row r="58" spans="1:5" ht="15" customHeight="1" x14ac:dyDescent="0.35">
      <c r="A58" s="3" t="s">
        <v>366</v>
      </c>
      <c r="B58" s="3" t="s">
        <v>360</v>
      </c>
      <c r="C58" s="266">
        <v>0.08</v>
      </c>
      <c r="D58" s="266">
        <v>0.05</v>
      </c>
      <c r="E58" s="266">
        <v>0.03</v>
      </c>
    </row>
    <row r="59" spans="1:5" ht="15" customHeight="1" x14ac:dyDescent="0.35">
      <c r="A59" s="3" t="s">
        <v>366</v>
      </c>
      <c r="B59" s="3" t="s">
        <v>78</v>
      </c>
      <c r="C59" s="266">
        <v>0.01</v>
      </c>
      <c r="D59" s="266">
        <v>0.02</v>
      </c>
      <c r="E59" s="266">
        <v>0.03</v>
      </c>
    </row>
    <row r="60" spans="1:5" ht="15" customHeight="1" x14ac:dyDescent="0.35">
      <c r="A60" s="3" t="s">
        <v>366</v>
      </c>
      <c r="B60" s="3" t="s">
        <v>77</v>
      </c>
      <c r="C60" s="266">
        <v>0.08</v>
      </c>
      <c r="D60" s="266">
        <v>7.0000000000000007E-2</v>
      </c>
      <c r="E60" s="266">
        <v>0.06</v>
      </c>
    </row>
    <row r="61" spans="1:5" ht="15" customHeight="1" x14ac:dyDescent="0.35">
      <c r="A61" s="3" t="s">
        <v>366</v>
      </c>
      <c r="B61" s="3" t="s">
        <v>361</v>
      </c>
      <c r="C61" s="266">
        <v>8</v>
      </c>
      <c r="D61" s="266">
        <v>12</v>
      </c>
      <c r="E61" s="266">
        <v>18</v>
      </c>
    </row>
  </sheetData>
  <pageMargins left="0.7" right="0.7" top="0.75" bottom="0.75" header="0.3" footer="0.3"/>
  <pageSetup paperSize="9" scal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INPUT</vt:lpstr>
      <vt:lpstr>RATIOS</vt:lpstr>
      <vt:lpstr>CASH RUNWAY</vt:lpstr>
      <vt:lpstr>OHLSON O-SCORE</vt:lpstr>
      <vt:lpstr>RAB SOTP VALUATION</vt:lpstr>
      <vt:lpstr>COMPARABLES</vt:lpstr>
      <vt:lpstr>SCENARIOS</vt:lpstr>
      <vt:lpstr>DASHBOARD</vt:lpstr>
      <vt:lpstr>DASHBOARD 2</vt:lpstr>
      <vt:lpstr>STOCK_DATA</vt:lpstr>
      <vt:lpstr>SECTOR_REF</vt:lpstr>
      <vt:lpstr>'CASH RUNWAY'!Zone_d_impression</vt:lpstr>
      <vt:lpstr>COMPARABLES!Zone_d_impression</vt:lpstr>
      <vt:lpstr>DASHBOARD!Zone_d_impression</vt:lpstr>
      <vt:lpstr>'DASHBOARD 2'!Zone_d_impression</vt:lpstr>
      <vt:lpstr>INPUT!Zone_d_impression</vt:lpstr>
      <vt:lpstr>'OHLSON O-SCORE'!Zone_d_impression</vt:lpstr>
      <vt:lpstr>'RAB SOTP VALUATION'!Zone_d_impression</vt:lpstr>
      <vt:lpstr>RATIOS!Zone_d_impression</vt:lpstr>
      <vt:lpstr>SCENARIOS!Zone_d_impression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jeh</dc:creator>
  <cp:lastModifiedBy>Baptiste jeh</cp:lastModifiedBy>
  <cp:lastPrinted>2026-03-07T11:51:18Z</cp:lastPrinted>
  <dcterms:created xsi:type="dcterms:W3CDTF">2026-03-05T17:41:12Z</dcterms:created>
  <dcterms:modified xsi:type="dcterms:W3CDTF">2026-04-16T13:38:19Z</dcterms:modified>
</cp:coreProperties>
</file>