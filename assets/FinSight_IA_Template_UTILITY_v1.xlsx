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OTP" sheetId="4" state="visible" r:id="rId4"/>
    <sheet xmlns:r="http://schemas.openxmlformats.org/officeDocument/2006/relationships" name="COMPARABLE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DASHBOARD 2" sheetId="8" state="visible" r:id="rId8"/>
    <sheet xmlns:r="http://schemas.openxmlformats.org/officeDocument/2006/relationships" name="STOCK_DATA" sheetId="9" state="hidden" r:id="rId9"/>
    <sheet xmlns:r="http://schemas.openxmlformats.org/officeDocument/2006/relationships" name="SECTOR_REF" sheetId="10" state="hidden" r:id="rId10"/>
  </sheets>
  <definedNames>
    <definedName name="_xlnm.Print_Area" localSheetId="0">'INPUT'!$A$1:$H$126</definedName>
    <definedName name="_xlnm.Print_Area" localSheetId="1">'RATIOS'!$A$1:$H$72</definedName>
    <definedName name="_xlnm.Print_Area" localSheetId="2">'DCF'!$A$1:$L$118</definedName>
    <definedName name="_xlnm.Print_Area" localSheetId="4">'COMPARABLES'!$A$1:$L$45</definedName>
    <definedName name="_xlnm.Print_Area" localSheetId="5">'SCENARIOS'!$A$1:$I$54</definedName>
    <definedName name="_xlnm.Print_Area" localSheetId="6">'DASHBOARD'!$A$1:$N$95</definedName>
    <definedName name="_xlnm.Print_Area" localSheetId="7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;\(&quot;€&quot;#,##0.00\);\-"/>
    <numFmt numFmtId="177" formatCode="_(0.0\x_);\(0.0\x\);_(&quot;–&quot;_);_(@_)"/>
    <numFmt numFmtId="178" formatCode="_(#,##0.0_);\(#,##0.0\);_(&quot;–&quot;_);_(@_)"/>
    <numFmt numFmtId="179" formatCode="&quot;€&quot;#,##0.00"/>
    <numFmt numFmtId="180" formatCode="0.000"/>
    <numFmt numFmtId="181" formatCode="&quot;€&quot;#,##0"/>
    <numFmt numFmtId="182" formatCode="&quot;€&quot;#,##0_);\(&quot;€&quot;#,##0\)"/>
    <numFmt numFmtId="183" formatCode="0.00\x"/>
    <numFmt numFmtId="184" formatCode=";;;"/>
    <numFmt numFmtId="185" formatCode="0.0"/>
    <numFmt numFmtId="186" formatCode="_(#,##0.0_);\(#,##0.0\);_(&quot;\u2013&quot;_);_(@_)"/>
    <numFmt numFmtId="187" formatCode="#,##0.0"/>
    <numFmt numFmtId="188" formatCode="&quot;€&quot;#,##0;\(&quot;€&quot;#,##0\);"/>
    <numFmt numFmtId="189" formatCode="_(&quot;$&quot;* #,##0.00_);_(&quot;$&quot;* \(#,##0.00\);_(&quot;$&quot;* &quot;-&quot;??_);_(@_)"/>
  </numFmts>
  <fonts count="13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color rgb="FF3271D2"/>
      <sz val="10"/>
    </font>
    <font>
      <name val="Open Sans"/>
      <b val="1"/>
      <color rgb="FF3271D2"/>
      <sz val="10"/>
    </font>
    <font>
      <name val="Open Sans"/>
      <b val="1"/>
      <color rgb="FF3271D2"/>
      <sz val="14"/>
    </font>
    <font>
      <name val="Open Sans"/>
      <color rgb="FF000000"/>
      <sz val="10"/>
    </font>
    <font>
      <name val="Open Sans"/>
      <color rgb="FF595959"/>
      <sz val="8"/>
    </font>
    <font>
      <name val="Open Sans"/>
      <b val="1"/>
      <color rgb="FF000000"/>
      <sz val="10"/>
    </font>
    <font>
      <name val="Open Sans"/>
      <color rgb="FFFFFF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Open Sans"/>
      <family val="2"/>
      <b val="1"/>
      <color rgb="FF0000FF"/>
      <sz val="10"/>
    </font>
    <font>
      <name val="Open Sans"/>
      <b val="1"/>
      <color rgb="FF0000FF"/>
      <sz val="10"/>
    </font>
    <font>
      <name val="Open Sans"/>
      <color rgb="FF0000FF"/>
      <sz val="10"/>
    </font>
    <font>
      <name val="Open Sans"/>
      <b val="1"/>
      <color rgb="FF132E57"/>
      <sz val="10"/>
    </font>
    <font>
      <name val="Open Sans"/>
      <i val="1"/>
      <color rgb="FF595959"/>
      <sz val="9"/>
    </font>
    <font>
      <name val="Open Sans"/>
      <b val="1"/>
      <color rgb="FFFFFFFF"/>
      <sz val="18"/>
    </font>
    <font>
      <name val="Open Sans"/>
      <b val="1"/>
      <color rgb="FFFFFFFF"/>
      <sz val="10"/>
    </font>
    <font>
      <name val="Open Sans"/>
      <color rgb="FF000000"/>
      <sz val="9"/>
    </font>
    <font>
      <name val="Open Sans"/>
      <b val="1"/>
      <color rgb="FF132E57"/>
      <sz val="9"/>
    </font>
    <font>
      <name val="Open Sans"/>
      <b val="1"/>
      <color rgb="FF000000"/>
      <sz val="9"/>
    </font>
    <font>
      <name val="Open Sans"/>
      <i val="1"/>
      <color rgb="FFFFFFFF"/>
      <sz val="10"/>
    </font>
    <font>
      <name val="Open Sans"/>
      <b val="1"/>
      <color rgb="FF3271D2"/>
      <sz val="12"/>
    </font>
    <font>
      <name val="Open Sans"/>
      <family val="2"/>
      <i val="1"/>
      <color rgb="FF595959"/>
      <sz val="8"/>
    </font>
    <font>
      <name val="Open Sans"/>
      <family val="2"/>
      <b val="1"/>
      <i val="1"/>
      <color rgb="FF3271D2"/>
      <sz val="10"/>
    </font>
    <font>
      <name val="Open Sans"/>
      <family val="2"/>
      <color rgb="FF000000"/>
      <sz val="7"/>
    </font>
    <font>
      <name val="Open Sans"/>
      <family val="2"/>
      <b val="1"/>
      <sz val="10"/>
    </font>
    <font>
      <name val="Open Sans"/>
      <family val="2"/>
      <color rgb="FFE03C31"/>
      <sz val="12"/>
    </font>
    <font>
      <name val="Open Sans"/>
      <family val="2"/>
      <color rgb="FF00A652"/>
      <sz val="12"/>
    </font>
    <font>
      <name val="Open Sans"/>
      <family val="2"/>
      <b val="1"/>
      <i val="1"/>
      <sz val="10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double">
        <color rgb="FF000000"/>
      </bottom>
      <diagonal/>
    </border>
  </borders>
  <cellStyleXfs count="8">
    <xf numFmtId="0" fontId="30" fillId="0" borderId="0"/>
    <xf numFmtId="43" fontId="30" fillId="0" borderId="0"/>
    <xf numFmtId="0" fontId="30" fillId="0" borderId="0"/>
    <xf numFmtId="0" fontId="49" fillId="0" borderId="0"/>
    <xf numFmtId="0" fontId="51" fillId="0" borderId="0"/>
    <xf numFmtId="189" fontId="30" fillId="0" borderId="0"/>
    <xf numFmtId="9" fontId="30" fillId="0" borderId="0"/>
    <xf numFmtId="0" fontId="30" fillId="0" borderId="0"/>
  </cellStyleXfs>
  <cellXfs count="686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7" fillId="2" borderId="0" pivotButton="0" quotePrefix="0" xfId="0"/>
    <xf numFmtId="164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17" fillId="2" borderId="0" applyAlignment="1" pivotButton="0" quotePrefix="0" xfId="0">
      <alignment horizontal="center"/>
    </xf>
    <xf numFmtId="3" fontId="17" fillId="2" borderId="0" applyAlignment="1" pivotButton="0" quotePrefix="0" xfId="0">
      <alignment horizontal="right"/>
    </xf>
    <xf numFmtId="0" fontId="17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2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3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19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5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6" fillId="3" borderId="0" applyAlignment="1" pivotButton="0" quotePrefix="0" xfId="0">
      <alignment horizontal="center"/>
    </xf>
    <xf numFmtId="0" fontId="27" fillId="3" borderId="0" pivotButton="0" quotePrefix="0" xfId="0"/>
    <xf numFmtId="0" fontId="0" fillId="7" borderId="0" pivotButton="0" quotePrefix="0" xfId="0"/>
    <xf numFmtId="0" fontId="28" fillId="3" borderId="0" applyAlignment="1" pivotButton="0" quotePrefix="0" xfId="0">
      <alignment horizontal="left"/>
    </xf>
    <xf numFmtId="0" fontId="27" fillId="3" borderId="0" applyAlignment="1" pivotButton="0" quotePrefix="0" xfId="0">
      <alignment horizontal="right"/>
    </xf>
    <xf numFmtId="0" fontId="29" fillId="3" borderId="0" applyAlignment="1" pivotButton="0" quotePrefix="0" xfId="0">
      <alignment horizontal="left"/>
    </xf>
    <xf numFmtId="0" fontId="29" fillId="3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32" fillId="0" borderId="0" pivotButton="0" quotePrefix="0" xfId="0"/>
    <xf numFmtId="0" fontId="31" fillId="0" borderId="0" pivotButton="0" quotePrefix="0" xfId="0"/>
    <xf numFmtId="0" fontId="27" fillId="0" borderId="0" pivotButton="0" quotePrefix="0" xfId="0"/>
    <xf numFmtId="0" fontId="33" fillId="0" borderId="0" applyAlignment="1" pivotButton="0" quotePrefix="0" xfId="0">
      <alignment horizontal="left"/>
    </xf>
    <xf numFmtId="0" fontId="34" fillId="7" borderId="0" applyAlignment="1" pivotButton="0" quotePrefix="0" xfId="0">
      <alignment horizontal="right"/>
    </xf>
    <xf numFmtId="0" fontId="33" fillId="7" borderId="0" applyAlignment="1" pivotButton="0" quotePrefix="0" xfId="0">
      <alignment horizontal="left"/>
    </xf>
    <xf numFmtId="0" fontId="35" fillId="7" borderId="0" applyAlignment="1" pivotButton="0" quotePrefix="0" xfId="0">
      <alignment horizontal="center"/>
    </xf>
    <xf numFmtId="0" fontId="36" fillId="6" borderId="0" applyAlignment="1" pivotButton="0" quotePrefix="0" xfId="0">
      <alignment horizontal="right"/>
    </xf>
    <xf numFmtId="0" fontId="37" fillId="6" borderId="0" applyAlignment="1" pivotButton="0" quotePrefix="0" xfId="0">
      <alignment horizontal="left"/>
    </xf>
    <xf numFmtId="0" fontId="39" fillId="6" borderId="0" applyAlignment="1" pivotButton="0" quotePrefix="0" xfId="0">
      <alignment horizontal="left"/>
    </xf>
    <xf numFmtId="0" fontId="17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7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/>
    </xf>
    <xf numFmtId="0" fontId="17" fillId="7" borderId="0" pivotButton="0" quotePrefix="0" xfId="0"/>
    <xf numFmtId="0" fontId="42" fillId="7" borderId="0" pivotButton="0" quotePrefix="0" xfId="0"/>
    <xf numFmtId="0" fontId="42" fillId="7" borderId="0" applyAlignment="1" pivotButton="0" quotePrefix="0" xfId="0">
      <alignment horizontal="left"/>
    </xf>
    <xf numFmtId="0" fontId="42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0" fontId="33" fillId="7" borderId="0" pivotButton="0" quotePrefix="0" xfId="0"/>
    <xf numFmtId="0" fontId="33" fillId="7" borderId="0" applyAlignment="1" pivotButton="0" quotePrefix="0" xfId="0">
      <alignment horizontal="left" indent="1"/>
    </xf>
    <xf numFmtId="165" fontId="33" fillId="7" borderId="0" applyAlignment="1" pivotButton="0" quotePrefix="0" xfId="0">
      <alignment horizontal="right"/>
    </xf>
    <xf numFmtId="0" fontId="33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7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right"/>
    </xf>
    <xf numFmtId="0" fontId="44" fillId="2" borderId="0" pivotButton="0" quotePrefix="0" xfId="0"/>
    <xf numFmtId="0" fontId="44" fillId="2" borderId="0" applyAlignment="1" pivotButton="0" quotePrefix="0" xfId="0">
      <alignment horizontal="left"/>
    </xf>
    <xf numFmtId="170" fontId="33" fillId="7" borderId="0" applyAlignment="1" pivotButton="0" quotePrefix="0" xfId="0">
      <alignment horizontal="right"/>
    </xf>
    <xf numFmtId="3" fontId="33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48" fillId="0" borderId="0" pivotButton="0" quotePrefix="0" xfId="2"/>
    <xf numFmtId="0" fontId="50" fillId="0" borderId="0" pivotButton="0" quotePrefix="0" xfId="2"/>
    <xf numFmtId="0" fontId="45" fillId="0" borderId="0" pivotButton="0" quotePrefix="0" xfId="2"/>
    <xf numFmtId="37" fontId="52" fillId="0" borderId="0" applyAlignment="1" pivotButton="0" quotePrefix="0" xfId="2">
      <alignment vertical="center"/>
    </xf>
    <xf numFmtId="0" fontId="43" fillId="6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3" fillId="0" borderId="0" pivotButton="0" quotePrefix="0" xfId="0"/>
    <xf numFmtId="0" fontId="53" fillId="0" borderId="0" applyAlignment="1" pivotButton="0" quotePrefix="0" xfId="0">
      <alignment horizontal="left"/>
    </xf>
    <xf numFmtId="0" fontId="53" fillId="7" borderId="0" applyAlignment="1" pivotButton="0" quotePrefix="0" xfId="0">
      <alignment horizontal="left"/>
    </xf>
    <xf numFmtId="0" fontId="45" fillId="7" borderId="0" applyAlignment="1" pivotButton="0" quotePrefix="0" xfId="0">
      <alignment horizontal="left"/>
    </xf>
    <xf numFmtId="0" fontId="50" fillId="7" borderId="0" pivotButton="0" quotePrefix="0" xfId="0"/>
    <xf numFmtId="0" fontId="45" fillId="0" borderId="0" pivotButton="0" quotePrefix="0" xfId="0"/>
    <xf numFmtId="0" fontId="45" fillId="2" borderId="0" pivotButton="0" quotePrefix="0" xfId="0"/>
    <xf numFmtId="0" fontId="56" fillId="6" borderId="0" pivotButton="0" quotePrefix="0" xfId="0"/>
    <xf numFmtId="0" fontId="52" fillId="0" borderId="0" pivotButton="0" quotePrefix="0" xfId="0"/>
    <xf numFmtId="0" fontId="55" fillId="7" borderId="0" pivotButton="0" quotePrefix="0" xfId="0"/>
    <xf numFmtId="0" fontId="45" fillId="7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171" fontId="59" fillId="0" borderId="0" pivotButton="0" quotePrefix="0" xfId="1"/>
    <xf numFmtId="0" fontId="2" fillId="0" borderId="0" pivotButton="0" quotePrefix="0" xfId="0"/>
    <xf numFmtId="0" fontId="45" fillId="0" borderId="0" applyAlignment="1" pivotButton="0" quotePrefix="0" xfId="0">
      <alignment horizontal="left"/>
    </xf>
    <xf numFmtId="0" fontId="64" fillId="7" borderId="0" pivotButton="0" quotePrefix="0" xfId="0"/>
    <xf numFmtId="0" fontId="47" fillId="0" borderId="0" applyAlignment="1" pivotButton="0" quotePrefix="0" xfId="0">
      <alignment horizontal="left"/>
    </xf>
    <xf numFmtId="0" fontId="65" fillId="0" borderId="0" pivotButton="0" quotePrefix="0" xfId="0"/>
    <xf numFmtId="0" fontId="45" fillId="7" borderId="8" applyAlignment="1" pivotButton="0" quotePrefix="0" xfId="0">
      <alignment horizontal="right"/>
    </xf>
    <xf numFmtId="0" fontId="50" fillId="7" borderId="8" pivotButton="0" quotePrefix="0" xfId="0"/>
    <xf numFmtId="0" fontId="45" fillId="7" borderId="9" applyAlignment="1" pivotButton="0" quotePrefix="0" xfId="0">
      <alignment horizontal="center"/>
    </xf>
    <xf numFmtId="10" fontId="0" fillId="0" borderId="0" pivotButton="0" quotePrefix="0" xfId="0"/>
    <xf numFmtId="0" fontId="32" fillId="6" borderId="0" pivotButton="0" quotePrefix="0" xfId="0"/>
    <xf numFmtId="0" fontId="31" fillId="3" borderId="0" pivotButton="0" quotePrefix="0" xfId="0"/>
    <xf numFmtId="0" fontId="67" fillId="0" borderId="0" pivotButton="0" quotePrefix="0" xfId="0"/>
    <xf numFmtId="0" fontId="59" fillId="0" borderId="0" pivotButton="0" quotePrefix="0" xfId="0"/>
    <xf numFmtId="0" fontId="34" fillId="0" borderId="0" applyAlignment="1" pivotButton="0" quotePrefix="0" xfId="0">
      <alignment vertical="center"/>
    </xf>
    <xf numFmtId="0" fontId="61" fillId="0" borderId="0" pivotButton="0" quotePrefix="0" xfId="0"/>
    <xf numFmtId="0" fontId="34" fillId="0" borderId="0" pivotButton="0" quotePrefix="0" xfId="0"/>
    <xf numFmtId="0" fontId="60" fillId="0" borderId="0" applyAlignment="1" pivotButton="0" quotePrefix="0" xfId="0">
      <alignment horizontal="right"/>
    </xf>
    <xf numFmtId="37" fontId="59" fillId="0" borderId="0" applyAlignment="1" pivotButton="0" quotePrefix="0" xfId="0">
      <alignment vertical="top"/>
    </xf>
    <xf numFmtId="0" fontId="62" fillId="0" borderId="0" applyAlignment="1" pivotButton="0" quotePrefix="0" xfId="0">
      <alignment horizontal="right"/>
    </xf>
    <xf numFmtId="171" fontId="63" fillId="0" borderId="0" pivotButton="0" quotePrefix="0" xfId="0"/>
    <xf numFmtId="172" fontId="48" fillId="0" borderId="0" applyAlignment="1" pivotButton="0" quotePrefix="0" xfId="2">
      <alignment horizontal="right"/>
    </xf>
    <xf numFmtId="0" fontId="33" fillId="0" borderId="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68" fillId="0" borderId="0" pivotButton="0" quotePrefix="0" xfId="2"/>
    <xf numFmtId="0" fontId="69" fillId="0" borderId="0" pivotButton="0" quotePrefix="0" xfId="0"/>
    <xf numFmtId="171" fontId="69" fillId="0" borderId="0" pivotButton="0" quotePrefix="0" xfId="0"/>
    <xf numFmtId="173" fontId="0" fillId="0" borderId="0" pivotButton="0" quotePrefix="0" xfId="1"/>
    <xf numFmtId="0" fontId="56" fillId="0" borderId="0" pivotButton="0" quotePrefix="0" xfId="0"/>
    <xf numFmtId="0" fontId="33" fillId="7" borderId="6" applyAlignment="1" pivotButton="0" quotePrefix="0" xfId="0">
      <alignment horizontal="centerContinuous"/>
    </xf>
    <xf numFmtId="0" fontId="50" fillId="7" borderId="6" applyAlignment="1" pivotButton="0" quotePrefix="0" xfId="0">
      <alignment horizontal="centerContinuous"/>
    </xf>
    <xf numFmtId="0" fontId="34" fillId="7" borderId="6" applyAlignment="1" pivotButton="0" quotePrefix="0" xfId="0">
      <alignment horizontal="centerContinuous"/>
    </xf>
    <xf numFmtId="0" fontId="70" fillId="7" borderId="6" applyAlignment="1" pivotButton="0" quotePrefix="0" xfId="0">
      <alignment horizontal="centerContinuous"/>
    </xf>
    <xf numFmtId="173" fontId="50" fillId="7" borderId="0" pivotButton="0" quotePrefix="0" xfId="1"/>
    <xf numFmtId="10" fontId="50" fillId="7" borderId="0" pivotButton="0" quotePrefix="0" xfId="0"/>
    <xf numFmtId="0" fontId="0" fillId="7" borderId="6" applyAlignment="1" pivotButton="0" quotePrefix="0" xfId="0">
      <alignment horizontal="centerContinuous"/>
    </xf>
    <xf numFmtId="0" fontId="71" fillId="0" borderId="0" pivotButton="0" quotePrefix="0" xfId="0"/>
    <xf numFmtId="0" fontId="72" fillId="0" borderId="0" pivotButton="0" quotePrefix="0" xfId="0"/>
    <xf numFmtId="0" fontId="73" fillId="0" borderId="0" pivotButton="0" quotePrefix="0" xfId="0"/>
    <xf numFmtId="0" fontId="74" fillId="0" borderId="0" pivotButton="0" quotePrefix="0" xfId="0"/>
    <xf numFmtId="0" fontId="66" fillId="0" borderId="0" pivotButton="0" quotePrefix="0" xfId="0"/>
    <xf numFmtId="170" fontId="9" fillId="0" borderId="0" applyAlignment="1" pivotButton="0" quotePrefix="0" xfId="0">
      <alignment horizontal="right"/>
    </xf>
    <xf numFmtId="0" fontId="77" fillId="3" borderId="0" applyAlignment="1" pivotButton="0" quotePrefix="0" xfId="0">
      <alignment horizontal="left"/>
    </xf>
    <xf numFmtId="0" fontId="68" fillId="7" borderId="0" pivotButton="0" quotePrefix="0" xfId="0"/>
    <xf numFmtId="0" fontId="78" fillId="0" borderId="0" pivotButton="0" quotePrefix="0" xfId="0"/>
    <xf numFmtId="0" fontId="8" fillId="3" borderId="0" applyAlignment="1" pivotButton="0" quotePrefix="0" xfId="0">
      <alignment horizontal="right"/>
    </xf>
    <xf numFmtId="0" fontId="18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7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1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38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3" fillId="9" borderId="0" applyAlignment="1" pivotButton="0" quotePrefix="0" xfId="0">
      <alignment horizontal="right"/>
    </xf>
    <xf numFmtId="3" fontId="38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4" fillId="9" borderId="0" applyAlignment="1" pivotButton="0" quotePrefix="0" xfId="0">
      <alignment horizontal="right"/>
    </xf>
    <xf numFmtId="3" fontId="34" fillId="9" borderId="3" applyAlignment="1" pivotButton="0" quotePrefix="0" xfId="0">
      <alignment horizontal="right"/>
    </xf>
    <xf numFmtId="3" fontId="33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46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70" fontId="18" fillId="9" borderId="0" applyAlignment="1" pivotButton="0" quotePrefix="0" xfId="0">
      <alignment horizontal="center"/>
    </xf>
    <xf numFmtId="170" fontId="19" fillId="9" borderId="0" applyAlignment="1" pivotButton="0" quotePrefix="0" xfId="0">
      <alignment horizontal="center"/>
    </xf>
    <xf numFmtId="176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6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77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77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77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78" fontId="3" fillId="9" borderId="0" applyAlignment="1" pivotButton="0" quotePrefix="0" xfId="0">
      <alignment horizontal="right"/>
    </xf>
    <xf numFmtId="178" fontId="3" fillId="9" borderId="1" applyAlignment="1" pivotButton="0" quotePrefix="0" xfId="0">
      <alignment horizontal="right"/>
    </xf>
    <xf numFmtId="178" fontId="6" fillId="9" borderId="0" applyAlignment="1" pivotButton="0" quotePrefix="0" xfId="0">
      <alignment horizontal="right"/>
    </xf>
    <xf numFmtId="178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4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4" fillId="9" borderId="4" applyAlignment="1" pivotButton="0" quotePrefix="0" xfId="0">
      <alignment horizontal="right"/>
    </xf>
    <xf numFmtId="165" fontId="6" fillId="9" borderId="0" pivotButton="0" quotePrefix="0" xfId="0"/>
    <xf numFmtId="0" fontId="55" fillId="9" borderId="0" applyAlignment="1" pivotButton="0" quotePrefix="0" xfId="0">
      <alignment horizontal="right"/>
    </xf>
    <xf numFmtId="10" fontId="33" fillId="9" borderId="0" pivotButton="0" quotePrefix="0" xfId="0"/>
    <xf numFmtId="0" fontId="38" fillId="9" borderId="0" applyAlignment="1" pivotButton="0" quotePrefix="0" xfId="0">
      <alignment horizontal="right"/>
    </xf>
    <xf numFmtId="14" fontId="38" fillId="9" borderId="0" applyAlignment="1" pivotButton="0" quotePrefix="0" xfId="0">
      <alignment horizontal="right"/>
    </xf>
    <xf numFmtId="173" fontId="47" fillId="9" borderId="2" pivotButton="0" quotePrefix="0" xfId="1"/>
    <xf numFmtId="173" fontId="58" fillId="9" borderId="0" pivotButton="0" quotePrefix="0" xfId="1"/>
    <xf numFmtId="173" fontId="47" fillId="9" borderId="0" pivotButton="0" quotePrefix="0" xfId="1"/>
    <xf numFmtId="0" fontId="57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58" fillId="9" borderId="0" applyAlignment="1" pivotButton="0" quotePrefix="0" xfId="1">
      <alignment horizontal="right"/>
    </xf>
    <xf numFmtId="173" fontId="47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9" fontId="0" fillId="9" borderId="0" pivotButton="0" quotePrefix="0" xfId="0"/>
    <xf numFmtId="0" fontId="6" fillId="9" borderId="0" pivotButton="0" quotePrefix="0" xfId="0"/>
    <xf numFmtId="0" fontId="68" fillId="0" borderId="0" pivotButton="0" quotePrefix="0" xfId="0"/>
    <xf numFmtId="1" fontId="79" fillId="0" borderId="0" applyAlignment="1" pivotButton="0" quotePrefix="0" xfId="0">
      <alignment horizontal="left"/>
    </xf>
    <xf numFmtId="1" fontId="78" fillId="0" borderId="0" pivotButton="0" quotePrefix="0" xfId="0"/>
    <xf numFmtId="1" fontId="78" fillId="0" borderId="0" applyAlignment="1" pivotButton="0" quotePrefix="0" xfId="0">
      <alignment horizontal="right"/>
    </xf>
    <xf numFmtId="0" fontId="78" fillId="0" borderId="0" applyAlignment="1" pivotButton="0" quotePrefix="0" xfId="0">
      <alignment horizontal="right"/>
    </xf>
    <xf numFmtId="0" fontId="79" fillId="0" borderId="0" applyAlignment="1" pivotButton="0" quotePrefix="0" xfId="0">
      <alignment horizontal="left"/>
    </xf>
    <xf numFmtId="0" fontId="76" fillId="0" borderId="0" applyAlignment="1" pivotButton="0" quotePrefix="0" xfId="0">
      <alignment horizontal="left"/>
    </xf>
    <xf numFmtId="0" fontId="75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0" fillId="7" borderId="0" pivotButton="0" quotePrefix="0" xfId="0"/>
    <xf numFmtId="0" fontId="80" fillId="7" borderId="0" applyAlignment="1" pivotButton="0" quotePrefix="0" xfId="0">
      <alignment horizontal="left"/>
    </xf>
    <xf numFmtId="0" fontId="80" fillId="7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6" fontId="10" fillId="5" borderId="0" applyAlignment="1" pivotButton="0" quotePrefix="0" xfId="0">
      <alignment horizontal="right"/>
    </xf>
    <xf numFmtId="180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0" fontId="89" fillId="7" borderId="0" pivotButton="0" quotePrefix="0" xfId="0"/>
    <xf numFmtId="0" fontId="90" fillId="0" borderId="0" applyAlignment="1" pivotButton="0" quotePrefix="0" xfId="0">
      <alignment horizontal="center"/>
    </xf>
    <xf numFmtId="0" fontId="91" fillId="0" borderId="0" applyAlignment="1" pivotButton="0" quotePrefix="0" xfId="0">
      <alignment horizontal="center"/>
    </xf>
    <xf numFmtId="0" fontId="88" fillId="0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2" fillId="7" borderId="0" applyAlignment="1" pivotButton="0" quotePrefix="0" xfId="0">
      <alignment horizontal="center"/>
    </xf>
    <xf numFmtId="0" fontId="81" fillId="7" borderId="0" applyAlignment="1" pivotButton="0" quotePrefix="0" xfId="0">
      <alignment horizontal="center"/>
    </xf>
    <xf numFmtId="182" fontId="82" fillId="7" borderId="0" applyAlignment="1" pivotButton="0" quotePrefix="0" xfId="0">
      <alignment horizontal="center"/>
    </xf>
    <xf numFmtId="0" fontId="87" fillId="2" borderId="0" applyAlignment="1" pivotButton="0" quotePrefix="0" xfId="0">
      <alignment horizontal="right"/>
    </xf>
    <xf numFmtId="181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1" fontId="3" fillId="8" borderId="0" applyAlignment="1" pivotButton="0" quotePrefix="0" xfId="0">
      <alignment horizontal="right"/>
    </xf>
    <xf numFmtId="181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6" fontId="6" fillId="0" borderId="0" applyAlignment="1" pivotButton="0" quotePrefix="0" xfId="0">
      <alignment horizontal="right"/>
    </xf>
    <xf numFmtId="0" fontId="17" fillId="10" borderId="0" applyAlignment="1" pivotButton="0" quotePrefix="0" xfId="0">
      <alignment horizontal="right"/>
    </xf>
    <xf numFmtId="0" fontId="92" fillId="10" borderId="0" applyAlignment="1" pivotButton="0" quotePrefix="0" xfId="0">
      <alignment horizontal="right"/>
    </xf>
    <xf numFmtId="181" fontId="93" fillId="10" borderId="0" applyAlignment="1" pivotButton="0" quotePrefix="0" xfId="0">
      <alignment horizontal="right"/>
    </xf>
    <xf numFmtId="0" fontId="94" fillId="10" borderId="0" applyAlignment="1" pivotButton="0" quotePrefix="0" xfId="0">
      <alignment horizontal="right"/>
    </xf>
    <xf numFmtId="181" fontId="94" fillId="10" borderId="0" applyAlignment="1" pivotButton="0" quotePrefix="0" xfId="0">
      <alignment horizontal="right"/>
    </xf>
    <xf numFmtId="0" fontId="95" fillId="3" borderId="0" applyAlignment="1" pivotButton="0" quotePrefix="0" xfId="0">
      <alignment horizontal="center"/>
    </xf>
    <xf numFmtId="181" fontId="12" fillId="7" borderId="0" applyAlignment="1" pivotButton="0" quotePrefix="0" xfId="0">
      <alignment horizontal="right"/>
    </xf>
    <xf numFmtId="181" fontId="7" fillId="7" borderId="0" applyAlignment="1" pivotButton="0" quotePrefix="0" xfId="0">
      <alignment horizontal="right"/>
    </xf>
    <xf numFmtId="10" fontId="26" fillId="3" borderId="0" applyAlignment="1" pivotButton="0" quotePrefix="0" xfId="0">
      <alignment horizontal="center"/>
    </xf>
    <xf numFmtId="2" fontId="28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3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7" fillId="10" borderId="0" pivotButton="0" quotePrefix="0" xfId="0"/>
    <xf numFmtId="0" fontId="92" fillId="10" borderId="0" applyAlignment="1" pivotButton="0" quotePrefix="0" xfId="0">
      <alignment horizontal="left"/>
    </xf>
    <xf numFmtId="0" fontId="92" fillId="10" borderId="0" pivotButton="0" quotePrefix="0" xfId="0"/>
    <xf numFmtId="3" fontId="47" fillId="9" borderId="0" pivotButton="0" quotePrefix="0" xfId="0"/>
    <xf numFmtId="3" fontId="96" fillId="9" borderId="0" pivotButton="0" quotePrefix="0" xfId="0"/>
    <xf numFmtId="170" fontId="98" fillId="9" borderId="0" pivotButton="0" quotePrefix="0" xfId="0"/>
    <xf numFmtId="49" fontId="98" fillId="9" borderId="0" pivotButton="0" quotePrefix="0" xfId="0"/>
    <xf numFmtId="170" fontId="34" fillId="9" borderId="0" applyAlignment="1" pivotButton="0" quotePrefix="0" xfId="0">
      <alignment horizontal="right"/>
    </xf>
    <xf numFmtId="184" fontId="18" fillId="0" borderId="0" applyAlignment="1" pivotButton="0" quotePrefix="0" xfId="0">
      <alignment horizontal="center"/>
    </xf>
    <xf numFmtId="0" fontId="99" fillId="3" borderId="0" applyAlignment="1" pivotButton="0" quotePrefix="0" xfId="0">
      <alignment horizontal="right"/>
    </xf>
    <xf numFmtId="0" fontId="101" fillId="7" borderId="0" pivotButton="0" quotePrefix="0" xfId="0"/>
    <xf numFmtId="3" fontId="103" fillId="7" borderId="0" applyAlignment="1" pivotButton="0" quotePrefix="0" xfId="0">
      <alignment horizontal="right"/>
    </xf>
    <xf numFmtId="3" fontId="102" fillId="7" borderId="3" applyAlignment="1" pivotButton="0" quotePrefix="0" xfId="0">
      <alignment horizontal="right"/>
    </xf>
    <xf numFmtId="10" fontId="103" fillId="7" borderId="0" applyAlignment="1" pivotButton="0" quotePrefix="0" xfId="0">
      <alignment horizontal="right"/>
    </xf>
    <xf numFmtId="0" fontId="105" fillId="7" borderId="0" applyAlignment="1" pivotButton="0" quotePrefix="0" xfId="0">
      <alignment horizontal="right"/>
    </xf>
    <xf numFmtId="0" fontId="48" fillId="7" borderId="0" pivotButton="0" quotePrefix="0" xfId="0"/>
    <xf numFmtId="0" fontId="97" fillId="7" borderId="9" applyAlignment="1" pivotButton="0" quotePrefix="0" xfId="0">
      <alignment horizontal="left"/>
    </xf>
    <xf numFmtId="0" fontId="97" fillId="7" borderId="0" applyAlignment="1" pivotButton="0" quotePrefix="0" xfId="0">
      <alignment horizontal="left"/>
    </xf>
    <xf numFmtId="3" fontId="33" fillId="9" borderId="0" pivotButton="0" quotePrefix="0" xfId="1"/>
    <xf numFmtId="3" fontId="106" fillId="8" borderId="0" applyAlignment="1" pivotButton="0" quotePrefix="0" xfId="0">
      <alignment horizontal="right"/>
    </xf>
    <xf numFmtId="3" fontId="103" fillId="8" borderId="0" applyAlignment="1" pivotButton="0" quotePrefix="0" xfId="0">
      <alignment horizontal="right"/>
    </xf>
    <xf numFmtId="3" fontId="107" fillId="8" borderId="0" applyAlignment="1" pivotButton="0" quotePrefix="0" xfId="0">
      <alignment horizontal="right"/>
    </xf>
    <xf numFmtId="10" fontId="106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3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77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77" fontId="3" fillId="8" borderId="1" applyAlignment="1" pivotButton="0" quotePrefix="0" xfId="0">
      <alignment horizontal="right"/>
    </xf>
    <xf numFmtId="2" fontId="24" fillId="9" borderId="0" pivotButton="0" quotePrefix="0" xfId="0"/>
    <xf numFmtId="2" fontId="24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06" fillId="9" borderId="2" pivotButton="0" quotePrefix="0" xfId="1"/>
    <xf numFmtId="173" fontId="106" fillId="9" borderId="0" pivotButton="0" quotePrefix="0" xfId="1"/>
    <xf numFmtId="173" fontId="108" fillId="9" borderId="0" pivotButton="0" quotePrefix="0" xfId="1"/>
    <xf numFmtId="0" fontId="102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68" fillId="10" borderId="0" pivotButton="0" quotePrefix="0" xfId="2"/>
    <xf numFmtId="0" fontId="50" fillId="10" borderId="0" pivotButton="0" quotePrefix="0" xfId="2"/>
    <xf numFmtId="0" fontId="69" fillId="10" borderId="0" pivotButton="0" quotePrefix="0" xfId="0"/>
    <xf numFmtId="0" fontId="48" fillId="10" borderId="0" pivotButton="0" quotePrefix="0" xfId="2"/>
    <xf numFmtId="0" fontId="45" fillId="10" borderId="0" pivotButton="0" quotePrefix="0" xfId="2"/>
    <xf numFmtId="0" fontId="56" fillId="7" borderId="0" pivotButton="0" quotePrefix="0" xfId="2"/>
    <xf numFmtId="0" fontId="12" fillId="0" borderId="0" applyAlignment="1" pivotButton="0" quotePrefix="0" xfId="0">
      <alignment horizontal="right"/>
    </xf>
    <xf numFmtId="0" fontId="81" fillId="2" borderId="0" pivotButton="0" quotePrefix="0" xfId="0"/>
    <xf numFmtId="0" fontId="7" fillId="3" borderId="0" applyAlignment="1" pivotButton="0" quotePrefix="0" xfId="0">
      <alignment horizontal="left"/>
    </xf>
    <xf numFmtId="0" fontId="81" fillId="0" borderId="0" applyAlignment="1" pivotButton="0" quotePrefix="0" xfId="0">
      <alignment horizontal="right"/>
    </xf>
    <xf numFmtId="0" fontId="39" fillId="3" borderId="0" applyAlignment="1" pivotButton="0" quotePrefix="0" xfId="0">
      <alignment horizontal="left"/>
    </xf>
    <xf numFmtId="182" fontId="18" fillId="0" borderId="0" applyAlignment="1" pivotButton="0" quotePrefix="0" xfId="0">
      <alignment horizontal="center"/>
    </xf>
    <xf numFmtId="182" fontId="19" fillId="0" borderId="0" applyAlignment="1" pivotButton="0" quotePrefix="0" xfId="0">
      <alignment horizontal="center"/>
    </xf>
    <xf numFmtId="182" fontId="19" fillId="7" borderId="0" applyAlignment="1" pivotButton="0" quotePrefix="0" xfId="0">
      <alignment horizontal="center"/>
    </xf>
    <xf numFmtId="182" fontId="41" fillId="7" borderId="0" applyAlignment="1" pivotButton="0" quotePrefix="0" xfId="0">
      <alignment horizontal="center"/>
    </xf>
    <xf numFmtId="182" fontId="88" fillId="7" borderId="0" applyAlignment="1" pivotButton="0" quotePrefix="0" xfId="0">
      <alignment horizontal="center"/>
    </xf>
    <xf numFmtId="182" fontId="90" fillId="0" borderId="0" applyAlignment="1" pivotButton="0" quotePrefix="0" xfId="0">
      <alignment horizontal="center"/>
    </xf>
    <xf numFmtId="182" fontId="90" fillId="7" borderId="0" applyAlignment="1" pivotButton="0" quotePrefix="0" xfId="0">
      <alignment horizontal="center"/>
    </xf>
    <xf numFmtId="182" fontId="91" fillId="0" borderId="0" applyAlignment="1" pivotButton="0" quotePrefix="0" xfId="0">
      <alignment horizontal="center"/>
    </xf>
    <xf numFmtId="182" fontId="88" fillId="0" borderId="0" applyAlignment="1" pivotButton="0" quotePrefix="0" xfId="0">
      <alignment horizontal="center"/>
    </xf>
    <xf numFmtId="182" fontId="82" fillId="0" borderId="0" applyAlignment="1" pivotButton="0" quotePrefix="0" xfId="0">
      <alignment horizontal="center"/>
    </xf>
    <xf numFmtId="0" fontId="111" fillId="2" borderId="0" applyAlignment="1" pivotButton="0" quotePrefix="0" xfId="0">
      <alignment horizontal="left"/>
    </xf>
    <xf numFmtId="0" fontId="113" fillId="7" borderId="0" applyAlignment="1" pivotButton="0" quotePrefix="0" xfId="0">
      <alignment horizontal="left"/>
    </xf>
    <xf numFmtId="0" fontId="114" fillId="7" borderId="0" applyAlignment="1" pivotButton="0" quotePrefix="0" xfId="0">
      <alignment horizontal="center"/>
    </xf>
    <xf numFmtId="0" fontId="115" fillId="7" borderId="0" applyAlignment="1" pivotButton="0" quotePrefix="0" xfId="0">
      <alignment horizontal="left"/>
    </xf>
    <xf numFmtId="3" fontId="110" fillId="9" borderId="0" applyAlignment="1" pivotButton="0" quotePrefix="0" xfId="0">
      <alignment horizontal="right"/>
    </xf>
    <xf numFmtId="170" fontId="111" fillId="9" borderId="0" applyAlignment="1" pivotButton="0" quotePrefix="0" xfId="0">
      <alignment horizontal="right"/>
    </xf>
    <xf numFmtId="170" fontId="110" fillId="9" borderId="0" applyAlignment="1" pivotButton="0" quotePrefix="0" xfId="0">
      <alignment horizontal="right"/>
    </xf>
    <xf numFmtId="0" fontId="113" fillId="7" borderId="0" applyAlignment="1" pivotButton="0" quotePrefix="0" xfId="0">
      <alignment horizontal="left" indent="1"/>
    </xf>
    <xf numFmtId="175" fontId="113" fillId="9" borderId="0" applyAlignment="1" pivotButton="0" quotePrefix="0" xfId="0">
      <alignment horizontal="right"/>
    </xf>
    <xf numFmtId="185" fontId="113" fillId="9" borderId="0" applyAlignment="1" pivotButton="0" quotePrefix="0" xfId="0">
      <alignment horizontal="right"/>
    </xf>
    <xf numFmtId="170" fontId="113" fillId="9" borderId="1" applyAlignment="1" pivotButton="0" quotePrefix="0" xfId="0">
      <alignment horizontal="right"/>
    </xf>
    <xf numFmtId="170" fontId="113" fillId="9" borderId="0" applyAlignment="1" pivotButton="0" quotePrefix="0" xfId="0">
      <alignment horizontal="right"/>
    </xf>
    <xf numFmtId="0" fontId="112" fillId="2" borderId="0" applyAlignment="1" pivotButton="0" quotePrefix="0" xfId="0">
      <alignment horizontal="left"/>
    </xf>
    <xf numFmtId="186" fontId="3" fillId="9" borderId="0" applyAlignment="1" pivotButton="0" quotePrefix="0" xfId="0">
      <alignment horizontal="right"/>
    </xf>
    <xf numFmtId="0" fontId="47" fillId="9" borderId="0" applyAlignment="1" pivotButton="0" quotePrefix="0" xfId="0">
      <alignment horizontal="left"/>
    </xf>
    <xf numFmtId="1" fontId="3" fillId="9" borderId="0" pivotButton="0" quotePrefix="0" xfId="0"/>
    <xf numFmtId="175" fontId="11" fillId="9" borderId="0" applyAlignment="1" pivotButton="0" quotePrefix="0" xfId="0">
      <alignment horizontal="right"/>
    </xf>
    <xf numFmtId="170" fontId="115" fillId="9" borderId="0" applyAlignment="1" pivotButton="0" quotePrefix="0" xfId="0">
      <alignment horizontal="right"/>
    </xf>
    <xf numFmtId="170" fontId="121" fillId="9" borderId="0" applyAlignment="1" pivotButton="0" quotePrefix="0" xfId="0">
      <alignment horizontal="right"/>
    </xf>
    <xf numFmtId="0" fontId="124" fillId="6" borderId="0" applyAlignment="1" pivotButton="0" quotePrefix="0" xfId="0">
      <alignment horizontal="left"/>
    </xf>
    <xf numFmtId="0" fontId="125" fillId="6" borderId="0" applyAlignment="1" pivotButton="0" quotePrefix="0" xfId="0">
      <alignment horizontal="right"/>
    </xf>
    <xf numFmtId="0" fontId="122" fillId="3" borderId="0" applyAlignment="1" pivotButton="0" quotePrefix="0" xfId="0">
      <alignment horizontal="left"/>
    </xf>
    <xf numFmtId="0" fontId="122" fillId="3" borderId="0" applyAlignment="1" pivotButton="0" quotePrefix="0" xfId="0">
      <alignment horizontal="center"/>
    </xf>
    <xf numFmtId="0" fontId="122" fillId="3" borderId="0" applyAlignment="1" pivotButton="0" quotePrefix="0" xfId="0">
      <alignment horizontal="right"/>
    </xf>
    <xf numFmtId="0" fontId="110" fillId="9" borderId="0" applyAlignment="1" pivotButton="0" quotePrefix="0" xfId="0">
      <alignment horizontal="center"/>
    </xf>
    <xf numFmtId="3" fontId="121" fillId="9" borderId="0" applyAlignment="1" pivotButton="0" quotePrefix="0" xfId="0">
      <alignment horizontal="right"/>
    </xf>
    <xf numFmtId="175" fontId="121" fillId="9" borderId="0" applyAlignment="1" pivotButton="0" quotePrefix="0" xfId="0">
      <alignment horizontal="right"/>
    </xf>
    <xf numFmtId="3" fontId="113" fillId="9" borderId="0" applyAlignment="1" pivotButton="0" quotePrefix="0" xfId="0">
      <alignment horizontal="right"/>
    </xf>
    <xf numFmtId="3" fontId="115" fillId="9" borderId="3" applyAlignment="1" pivotButton="0" quotePrefix="0" xfId="0">
      <alignment horizontal="right"/>
    </xf>
    <xf numFmtId="187" fontId="113" fillId="9" borderId="0" applyAlignment="1" pivotButton="0" quotePrefix="0" xfId="0">
      <alignment horizontal="right"/>
    </xf>
    <xf numFmtId="179" fontId="115" fillId="9" borderId="0" applyAlignment="1" pivotButton="0" quotePrefix="0" xfId="0">
      <alignment horizontal="right"/>
    </xf>
    <xf numFmtId="179" fontId="113" fillId="9" borderId="0" applyAlignment="1" pivotButton="0" quotePrefix="0" xfId="0">
      <alignment horizontal="right"/>
    </xf>
    <xf numFmtId="0" fontId="127" fillId="3" borderId="0" applyAlignment="1" pivotButton="0" quotePrefix="0" xfId="0">
      <alignment horizontal="left"/>
    </xf>
    <xf numFmtId="175" fontId="127" fillId="3" borderId="0" applyAlignment="1" pivotButton="0" quotePrefix="0" xfId="0">
      <alignment horizontal="right"/>
    </xf>
    <xf numFmtId="179" fontId="126" fillId="9" borderId="0" applyAlignment="1" pivotButton="0" quotePrefix="0" xfId="0">
      <alignment horizontal="right"/>
    </xf>
    <xf numFmtId="179" fontId="128" fillId="5" borderId="0" applyAlignment="1" pivotButton="0" quotePrefix="0" xfId="0">
      <alignment horizontal="right"/>
    </xf>
    <xf numFmtId="0" fontId="123" fillId="7" borderId="0" applyAlignment="1" pivotButton="0" quotePrefix="0" xfId="0">
      <alignment horizontal="left"/>
    </xf>
    <xf numFmtId="0" fontId="129" fillId="4" borderId="0" applyAlignment="1" pivotButton="0" quotePrefix="0" xfId="0">
      <alignment horizontal="left"/>
    </xf>
    <xf numFmtId="0" fontId="116" fillId="4" borderId="0" applyAlignment="1" pivotButton="0" quotePrefix="0" xfId="0">
      <alignment horizontal="left"/>
    </xf>
    <xf numFmtId="0" fontId="18" fillId="2" borderId="0" applyAlignment="1" pivotButton="0" quotePrefix="0" xfId="0">
      <alignment horizontal="center"/>
    </xf>
    <xf numFmtId="175" fontId="110" fillId="9" borderId="0" applyAlignment="1" pivotButton="0" quotePrefix="0" xfId="0">
      <alignment horizontal="right"/>
    </xf>
    <xf numFmtId="175" fontId="111" fillId="9" borderId="0" applyAlignment="1" pivotButton="0" quotePrefix="0" xfId="0">
      <alignment horizontal="right"/>
    </xf>
    <xf numFmtId="3" fontId="111" fillId="9" borderId="0" applyAlignment="1" pivotButton="0" quotePrefix="0" xfId="0">
      <alignment horizontal="right"/>
    </xf>
    <xf numFmtId="0" fontId="50" fillId="2" borderId="0" pivotButton="0" quotePrefix="0" xfId="0"/>
    <xf numFmtId="170" fontId="130" fillId="7" borderId="0" applyAlignment="1" pivotButton="0" quotePrefix="0" xfId="0">
      <alignment horizontal="left"/>
    </xf>
    <xf numFmtId="0" fontId="128" fillId="7" borderId="0" applyAlignment="1" pivotButton="0" quotePrefix="0" xfId="0">
      <alignment horizontal="left"/>
    </xf>
    <xf numFmtId="0" fontId="119" fillId="9" borderId="0" applyAlignment="1" pivotButton="0" quotePrefix="0" xfId="0">
      <alignment horizontal="right"/>
    </xf>
    <xf numFmtId="0" fontId="8" fillId="2" borderId="0" applyAlignment="1" pivotButton="0" quotePrefix="0" xfId="0">
      <alignment horizontal="left" indent="1"/>
    </xf>
    <xf numFmtId="0" fontId="131" fillId="7" borderId="0" applyAlignment="1" pivotButton="0" quotePrefix="0" xfId="0">
      <alignment horizontal="left"/>
    </xf>
    <xf numFmtId="174" fontId="110" fillId="9" borderId="0" applyAlignment="1" pivotButton="0" quotePrefix="0" xfId="0">
      <alignment horizontal="right"/>
    </xf>
    <xf numFmtId="174" fontId="113" fillId="9" borderId="0" applyAlignment="1" pivotButton="0" quotePrefix="0" xfId="0">
      <alignment horizontal="right"/>
    </xf>
    <xf numFmtId="174" fontId="111" fillId="9" borderId="0" applyAlignment="1" pivotButton="0" quotePrefix="0" xfId="0">
      <alignment horizontal="right"/>
    </xf>
    <xf numFmtId="174" fontId="115" fillId="9" borderId="0" applyAlignment="1" pivotButton="0" quotePrefix="0" xfId="0">
      <alignment horizontal="right"/>
    </xf>
    <xf numFmtId="188" fontId="115" fillId="9" borderId="0" applyAlignment="1" pivotButton="0" quotePrefix="0" xfId="0">
      <alignment horizontal="right"/>
    </xf>
    <xf numFmtId="188" fontId="113" fillId="9" borderId="0" applyAlignment="1" pivotButton="0" quotePrefix="0" xfId="0">
      <alignment horizontal="right"/>
    </xf>
    <xf numFmtId="0" fontId="132" fillId="2" borderId="0" applyAlignment="1" pivotButton="0" quotePrefix="0" xfId="0">
      <alignment horizontal="left"/>
    </xf>
    <xf numFmtId="1" fontId="120" fillId="9" borderId="0" applyAlignment="1" pivotButton="0" quotePrefix="0" xfId="0">
      <alignment horizontal="right"/>
    </xf>
    <xf numFmtId="181" fontId="113" fillId="9" borderId="0" applyAlignment="1" pivotButton="0" quotePrefix="0" xfId="0">
      <alignment horizontal="right"/>
    </xf>
    <xf numFmtId="1" fontId="120" fillId="5" borderId="11" applyAlignment="1" pivotButton="0" quotePrefix="0" xfId="0">
      <alignment horizontal="right"/>
    </xf>
    <xf numFmtId="0" fontId="17" fillId="0" borderId="0" pivotButton="0" quotePrefix="0" xfId="0"/>
    <xf numFmtId="170" fontId="3" fillId="0" borderId="0" pivotButton="0" quotePrefix="0" xfId="0"/>
    <xf numFmtId="170" fontId="46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0" fontId="133" fillId="7" borderId="0" applyAlignment="1" pivotButton="0" quotePrefix="0" xfId="0">
      <alignment horizontal="left"/>
    </xf>
    <xf numFmtId="179" fontId="126" fillId="9" borderId="10" applyAlignment="1" pivotButton="0" quotePrefix="0" xfId="0">
      <alignment horizontal="right"/>
    </xf>
    <xf numFmtId="179" fontId="126" fillId="9" borderId="13" applyAlignment="1" pivotButton="0" quotePrefix="0" xfId="0">
      <alignment horizontal="right"/>
    </xf>
    <xf numFmtId="179" fontId="128" fillId="5" borderId="12" applyAlignment="1" pivotButton="0" quotePrefix="0" xfId="0">
      <alignment horizontal="right"/>
    </xf>
    <xf numFmtId="179" fontId="126" fillId="9" borderId="12" applyAlignment="1" pivotButton="0" quotePrefix="0" xfId="0">
      <alignment horizontal="right"/>
    </xf>
    <xf numFmtId="0" fontId="127" fillId="0" borderId="0" applyAlignment="1" pivotButton="0" quotePrefix="0" xfId="0">
      <alignment horizontal="left"/>
    </xf>
    <xf numFmtId="0" fontId="33" fillId="7" borderId="0" applyAlignment="1" pivotButton="0" quotePrefix="0" xfId="0">
      <alignment horizontal="centerContinuous"/>
    </xf>
    <xf numFmtId="174" fontId="13" fillId="0" borderId="0" applyAlignment="1" pivotButton="0" quotePrefix="0" xfId="0">
      <alignment horizontal="right"/>
    </xf>
    <xf numFmtId="174" fontId="115" fillId="9" borderId="3" applyAlignment="1" pivotButton="0" quotePrefix="0" xfId="0">
      <alignment horizontal="right"/>
    </xf>
    <xf numFmtId="0" fontId="0" fillId="0" borderId="0" pivotButton="0" quotePrefix="0" xfId="0"/>
    <xf numFmtId="0" fontId="111" fillId="0" borderId="6" applyAlignment="1" pivotButton="0" quotePrefix="0" xfId="0">
      <alignment horizontal="centerContinuous"/>
    </xf>
    <xf numFmtId="2" fontId="115" fillId="7" borderId="0" applyAlignment="1" pivotButton="0" quotePrefix="0" xfId="0">
      <alignment horizontal="left"/>
    </xf>
    <xf numFmtId="0" fontId="55" fillId="9" borderId="0" applyAlignment="1" pivotButton="0" quotePrefix="0" xfId="0">
      <alignment horizontal="left"/>
    </xf>
    <xf numFmtId="0" fontId="135" fillId="8" borderId="0" applyAlignment="1" pivotButton="0" quotePrefix="0" xfId="0">
      <alignment horizontal="center"/>
    </xf>
    <xf numFmtId="0" fontId="136" fillId="8" borderId="0" applyAlignment="1" pivotButton="0" quotePrefix="0" xfId="0">
      <alignment horizontal="center"/>
    </xf>
    <xf numFmtId="0" fontId="111" fillId="0" borderId="0" applyAlignment="1" pivotButton="0" quotePrefix="0" xfId="0">
      <alignment horizontal="centerContinuous"/>
    </xf>
    <xf numFmtId="0" fontId="134" fillId="0" borderId="0" applyAlignment="1" pivotButton="0" quotePrefix="0" xfId="0">
      <alignment horizontal="right"/>
    </xf>
    <xf numFmtId="0" fontId="100" fillId="7" borderId="0" pivotButton="0" quotePrefix="0" xfId="0"/>
    <xf numFmtId="0" fontId="50" fillId="7" borderId="0" pivotButton="0" quotePrefix="0" xfId="0"/>
    <xf numFmtId="0" fontId="50" fillId="7" borderId="0" applyAlignment="1" pivotButton="0" quotePrefix="0" xfId="0">
      <alignment horizontal="centerContinuous"/>
    </xf>
    <xf numFmtId="0" fontId="48" fillId="7" borderId="0" applyAlignment="1" pivotButton="0" quotePrefix="0" xfId="0">
      <alignment horizontal="left"/>
    </xf>
    <xf numFmtId="173" fontId="50" fillId="7" borderId="0" pivotButton="0" quotePrefix="0" xfId="1"/>
    <xf numFmtId="0" fontId="47" fillId="0" borderId="0" pivotButton="0" quotePrefix="0" xfId="0"/>
    <xf numFmtId="174" fontId="3" fillId="9" borderId="0" applyAlignment="1" pivotButton="0" quotePrefix="0" xfId="0">
      <alignment horizontal="right"/>
    </xf>
    <xf numFmtId="0" fontId="13" fillId="7" borderId="0" applyAlignment="1" pivotButton="0" quotePrefix="0" xfId="0">
      <alignment horizontal="left"/>
    </xf>
    <xf numFmtId="174" fontId="13" fillId="7" borderId="0" applyAlignment="1" pivotButton="0" quotePrefix="0" xfId="0">
      <alignment horizontal="right"/>
    </xf>
    <xf numFmtId="174" fontId="3" fillId="9" borderId="14" applyAlignment="1" pivotButton="0" quotePrefix="0" xfId="0">
      <alignment horizontal="right"/>
    </xf>
    <xf numFmtId="174" fontId="13" fillId="9" borderId="7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0" fontId="134" fillId="10" borderId="0" applyAlignment="1" pivotButton="0" quotePrefix="0" xfId="0">
      <alignment horizontal="right"/>
    </xf>
    <xf numFmtId="0" fontId="137" fillId="10" borderId="0" applyAlignment="1" pivotButton="0" quotePrefix="0" xfId="0">
      <alignment horizontal="right"/>
    </xf>
    <xf numFmtId="174" fontId="13" fillId="9" borderId="15" applyAlignment="1" pivotButton="0" quotePrefix="0" xfId="0">
      <alignment horizontal="right"/>
    </xf>
    <xf numFmtId="0" fontId="104" fillId="0" borderId="0" pivotButton="0" quotePrefix="0" xfId="0"/>
    <xf numFmtId="3" fontId="104" fillId="0" borderId="0" pivotButton="0" quotePrefix="0" xfId="0"/>
    <xf numFmtId="3" fontId="102" fillId="8" borderId="3" applyAlignment="1" pivotButton="0" quotePrefix="0" xfId="0">
      <alignment horizontal="right"/>
    </xf>
    <xf numFmtId="170" fontId="33" fillId="8" borderId="0" applyAlignment="1" pivotButton="0" quotePrefix="0" xfId="0">
      <alignment horizontal="right"/>
    </xf>
    <xf numFmtId="49" fontId="34" fillId="8" borderId="3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8" borderId="0" applyAlignment="1" pivotButton="0" quotePrefix="0" xfId="0">
      <alignment horizontal="right"/>
    </xf>
    <xf numFmtId="175" fontId="12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4" fontId="7" fillId="0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5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09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0" pivotButton="0" quotePrefix="0" xfId="0"/>
    <xf numFmtId="173" fontId="1" fillId="0" borderId="0" pivotButton="0" quotePrefix="0" xfId="1"/>
    <xf numFmtId="0" fontId="0" fillId="8" borderId="0" applyAlignment="1" pivotButton="0" quotePrefix="0" xfId="0">
      <alignment horizontal="right"/>
    </xf>
    <xf numFmtId="174" fontId="0" fillId="8" borderId="0" applyAlignment="1" pivotButton="0" quotePrefix="0" xfId="0">
      <alignment horizontal="right"/>
    </xf>
    <xf numFmtId="3" fontId="0" fillId="8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3" fontId="94" fillId="0" borderId="0" applyAlignment="1" pivotButton="0" quotePrefix="0" xfId="0">
      <alignment horizontal="right"/>
    </xf>
    <xf numFmtId="1" fontId="94" fillId="0" borderId="0" applyAlignment="1" pivotButton="0" quotePrefix="0" xfId="0">
      <alignment horizontal="right"/>
    </xf>
    <xf numFmtId="170" fontId="93" fillId="0" borderId="0" applyAlignment="1" pivotButton="0" quotePrefix="0" xfId="0">
      <alignment horizontal="right"/>
    </xf>
    <xf numFmtId="0" fontId="93" fillId="0" borderId="0" applyAlignment="1" pivotButton="0" quotePrefix="0" xfId="0">
      <alignment horizontal="right"/>
    </xf>
    <xf numFmtId="0" fontId="122" fillId="10" borderId="0" applyAlignment="1" pivotButton="0" quotePrefix="0" xfId="0">
      <alignment horizontal="left"/>
    </xf>
    <xf numFmtId="0" fontId="122" fillId="10" borderId="0" applyAlignment="1" pivotButton="0" quotePrefix="0" xfId="0">
      <alignment horizontal="center"/>
    </xf>
    <xf numFmtId="0" fontId="122" fillId="10" borderId="0" applyAlignment="1" pivotButton="0" quotePrefix="0" xfId="0">
      <alignment horizontal="right"/>
    </xf>
    <xf numFmtId="0" fontId="111" fillId="10" borderId="0" applyAlignment="1" pivotButton="0" quotePrefix="0" xfId="0">
      <alignment horizontal="left"/>
    </xf>
    <xf numFmtId="170" fontId="115" fillId="9" borderId="3" applyAlignment="1" pivotButton="0" quotePrefix="0" xfId="0">
      <alignment horizontal="right"/>
    </xf>
    <xf numFmtId="0" fontId="4" fillId="5" borderId="0" applyAlignment="1" pivotButton="0" quotePrefix="0" xfId="0">
      <alignment horizontal="left"/>
    </xf>
    <xf numFmtId="175" fontId="12" fillId="0" borderId="0" applyAlignment="1" pivotButton="0" quotePrefix="0" xfId="0">
      <alignment horizontal="right"/>
    </xf>
    <xf numFmtId="175" fontId="11" fillId="9" borderId="0" applyAlignment="1" pivotButton="0" quotePrefix="0" xfId="0">
      <alignment horizontal="right"/>
    </xf>
    <xf numFmtId="175" fontId="113" fillId="9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85" fontId="11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1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4" fontId="7" fillId="0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5" fontId="110" fillId="9" borderId="0" applyAlignment="1" pivotButton="0" quotePrefix="0" xfId="0">
      <alignment horizontal="right"/>
    </xf>
    <xf numFmtId="175" fontId="111" fillId="9" borderId="0" applyAlignment="1" pivotButton="0" quotePrefix="0" xfId="0">
      <alignment horizontal="right"/>
    </xf>
    <xf numFmtId="170" fontId="110" fillId="9" borderId="0" applyAlignment="1" pivotButton="0" quotePrefix="0" xfId="0">
      <alignment horizontal="right"/>
    </xf>
    <xf numFmtId="170" fontId="111" fillId="9" borderId="0" applyAlignment="1" pivotButton="0" quotePrefix="0" xfId="0">
      <alignment horizontal="right"/>
    </xf>
    <xf numFmtId="173" fontId="1" fillId="0" borderId="0" pivotButton="0" quotePrefix="0" xfId="1"/>
    <xf numFmtId="173" fontId="0" fillId="9" borderId="0" applyAlignment="1" pivotButton="0" quotePrefix="0" xfId="1">
      <alignment horizontal="right"/>
    </xf>
    <xf numFmtId="174" fontId="0" fillId="8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65" fontId="33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121" fillId="9" borderId="0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46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3" fillId="0" borderId="0" pivotButton="0" quotePrefix="0" xfId="0"/>
    <xf numFmtId="170" fontId="46" fillId="0" borderId="0" applyAlignment="1" pivotButton="0" quotePrefix="0" xfId="0">
      <alignment horizontal="right"/>
    </xf>
    <xf numFmtId="174" fontId="110" fillId="9" borderId="0" applyAlignment="1" pivotButton="0" quotePrefix="0" xfId="0">
      <alignment horizontal="right"/>
    </xf>
    <xf numFmtId="174" fontId="113" fillId="9" borderId="0" applyAlignment="1" pivotButton="0" quotePrefix="0" xfId="0">
      <alignment horizontal="right"/>
    </xf>
    <xf numFmtId="188" fontId="113" fillId="9" borderId="0" applyAlignment="1" pivotButton="0" quotePrefix="0" xfId="0">
      <alignment horizontal="right"/>
    </xf>
    <xf numFmtId="170" fontId="93" fillId="0" borderId="0" applyAlignment="1" pivotButton="0" quotePrefix="0" xfId="0">
      <alignment horizontal="right"/>
    </xf>
    <xf numFmtId="174" fontId="111" fillId="9" borderId="0" applyAlignment="1" pivotButton="0" quotePrefix="0" xfId="0">
      <alignment horizontal="right"/>
    </xf>
    <xf numFmtId="174" fontId="115" fillId="9" borderId="0" applyAlignment="1" pivotButton="0" quotePrefix="0" xfId="0">
      <alignment horizontal="right"/>
    </xf>
    <xf numFmtId="188" fontId="115" fillId="9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center"/>
    </xf>
    <xf numFmtId="170" fontId="113" fillId="9" borderId="0" applyAlignment="1" pivotButton="0" quotePrefix="0" xfId="0">
      <alignment horizontal="right"/>
    </xf>
    <xf numFmtId="170" fontId="18" fillId="9" borderId="0" applyAlignment="1" pivotButton="0" quotePrefix="0" xfId="0">
      <alignment horizontal="center"/>
    </xf>
    <xf numFmtId="176" fontId="6" fillId="9" borderId="0" applyAlignment="1" pivotButton="0" quotePrefix="0" xfId="0">
      <alignment horizontal="right"/>
    </xf>
    <xf numFmtId="176" fontId="6" fillId="0" borderId="0" applyAlignment="1" pivotButton="0" quotePrefix="0" xfId="0">
      <alignment horizontal="right"/>
    </xf>
    <xf numFmtId="170" fontId="19" fillId="9" borderId="0" applyAlignment="1" pivotButton="0" quotePrefix="0" xfId="0">
      <alignment horizontal="center"/>
    </xf>
    <xf numFmtId="176" fontId="13" fillId="9" borderId="0" applyAlignment="1" pivotButton="0" quotePrefix="0" xfId="0">
      <alignment horizontal="right"/>
    </xf>
    <xf numFmtId="176" fontId="10" fillId="5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6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75" fontId="121" fillId="9" borderId="0" applyAlignment="1" pivotButton="0" quotePrefix="0" xfId="0">
      <alignment horizontal="right"/>
    </xf>
    <xf numFmtId="170" fontId="115" fillId="9" borderId="3" applyAlignment="1" pivotButton="0" quotePrefix="0" xfId="0">
      <alignment horizontal="right"/>
    </xf>
    <xf numFmtId="179" fontId="115" fillId="9" borderId="0" applyAlignment="1" pivotButton="0" quotePrefix="0" xfId="0">
      <alignment horizontal="right"/>
    </xf>
    <xf numFmtId="179" fontId="113" fillId="9" borderId="0" applyAlignment="1" pivotButton="0" quotePrefix="0" xfId="0">
      <alignment horizontal="right"/>
    </xf>
    <xf numFmtId="170" fontId="115" fillId="9" borderId="0" applyAlignment="1" pivotButton="0" quotePrefix="0" xfId="0">
      <alignment horizontal="right"/>
    </xf>
    <xf numFmtId="175" fontId="127" fillId="3" borderId="0" applyAlignment="1" pivotButton="0" quotePrefix="0" xfId="0">
      <alignment horizontal="right"/>
    </xf>
    <xf numFmtId="179" fontId="126" fillId="9" borderId="13" applyAlignment="1" pivotButton="0" quotePrefix="0" xfId="0">
      <alignment horizontal="right"/>
    </xf>
    <xf numFmtId="179" fontId="126" fillId="9" borderId="10" applyAlignment="1" pivotButton="0" quotePrefix="0" xfId="0">
      <alignment horizontal="right"/>
    </xf>
    <xf numFmtId="179" fontId="128" fillId="5" borderId="12" applyAlignment="1" pivotButton="0" quotePrefix="0" xfId="0">
      <alignment horizontal="right"/>
    </xf>
    <xf numFmtId="179" fontId="128" fillId="5" borderId="0" applyAlignment="1" pivotButton="0" quotePrefix="0" xfId="0">
      <alignment horizontal="right"/>
    </xf>
    <xf numFmtId="179" fontId="126" fillId="9" borderId="12" applyAlignment="1" pivotButton="0" quotePrefix="0" xfId="0">
      <alignment horizontal="right"/>
    </xf>
    <xf numFmtId="179" fontId="126" fillId="9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77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77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7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77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77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78" fontId="3" fillId="9" borderId="0" applyAlignment="1" pivotButton="0" quotePrefix="0" xfId="0">
      <alignment horizontal="right"/>
    </xf>
    <xf numFmtId="178" fontId="3" fillId="9" borderId="1" applyAlignment="1" pivotButton="0" quotePrefix="0" xfId="0">
      <alignment horizontal="right"/>
    </xf>
    <xf numFmtId="178" fontId="6" fillId="9" borderId="0" applyAlignment="1" pivotButton="0" quotePrefix="0" xfId="0">
      <alignment horizontal="right"/>
    </xf>
    <xf numFmtId="178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1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70" fontId="34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98" fillId="9" borderId="0" pivotButton="0" quotePrefix="0" xfId="0"/>
    <xf numFmtId="170" fontId="34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70" fontId="33" fillId="8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0" fillId="7" borderId="0" pivotButton="0" quotePrefix="0" xfId="1"/>
    <xf numFmtId="170" fontId="130" fillId="7" borderId="0" applyAlignment="1" pivotButton="0" quotePrefix="0" xfId="0">
      <alignment horizontal="left"/>
    </xf>
    <xf numFmtId="174" fontId="3" fillId="9" borderId="14" applyAlignment="1" pivotButton="0" quotePrefix="0" xfId="0">
      <alignment horizontal="right"/>
    </xf>
    <xf numFmtId="174" fontId="13" fillId="9" borderId="7" applyAlignment="1" pivotButton="0" quotePrefix="0" xfId="0">
      <alignment horizontal="right"/>
    </xf>
    <xf numFmtId="174" fontId="13" fillId="7" borderId="0" applyAlignment="1" pivotButton="0" quotePrefix="0" xfId="0">
      <alignment horizontal="right"/>
    </xf>
    <xf numFmtId="174" fontId="115" fillId="9" borderId="3" applyAlignment="1" pivotButton="0" quotePrefix="0" xfId="0">
      <alignment horizontal="right"/>
    </xf>
    <xf numFmtId="174" fontId="13" fillId="9" borderId="15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173" fontId="106" fillId="9" borderId="2" pivotButton="0" quotePrefix="0" xfId="1"/>
    <xf numFmtId="173" fontId="47" fillId="9" borderId="2" pivotButton="0" quotePrefix="0" xfId="1"/>
    <xf numFmtId="173" fontId="58" fillId="9" borderId="0" pivotButton="0" quotePrefix="0" xfId="1"/>
    <xf numFmtId="173" fontId="106" fillId="9" borderId="0" pivotButton="0" quotePrefix="0" xfId="1"/>
    <xf numFmtId="173" fontId="47" fillId="9" borderId="0" pivotButton="0" quotePrefix="0" xfId="1"/>
    <xf numFmtId="173" fontId="108" fillId="9" borderId="0" pivotButton="0" quotePrefix="0" xfId="1"/>
    <xf numFmtId="173" fontId="0" fillId="0" borderId="0" pivotButton="0" quotePrefix="0" xfId="1"/>
    <xf numFmtId="173" fontId="58" fillId="9" borderId="0" applyAlignment="1" pivotButton="0" quotePrefix="0" xfId="1">
      <alignment horizontal="right"/>
    </xf>
    <xf numFmtId="173" fontId="47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3" fillId="0" borderId="0" pivotButton="0" quotePrefix="0" xfId="0"/>
    <xf numFmtId="172" fontId="48" fillId="0" borderId="0" applyAlignment="1" pivotButton="0" quotePrefix="0" xfId="2">
      <alignment horizontal="right"/>
    </xf>
    <xf numFmtId="171" fontId="69" fillId="0" borderId="0" pivotButton="0" quotePrefix="0" xfId="0"/>
    <xf numFmtId="171" fontId="59" fillId="0" borderId="0" pivotButton="0" quotePrefix="0" xfId="1"/>
    <xf numFmtId="179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RATIOS!$B$104</f>
              <strCache>
                <ptCount val="1"/>
                <pt idx="0">
                  <v>Free Cash Flow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RATIOS!$C$104:$H$104</f>
              <numCache>
                <formatCode>General</formatCode>
                <ptCount val="6"/>
                <pt idx="2">
                  <formatCode>"€"#\ ##0;\("€"#\ ##0\);\-</formatCode>
                  <v>38882</v>
                </pt>
                <pt idx="3">
                  <formatCode>"€"#\ ##0;\("€"#\ ##0\);\-</formatCode>
                  <v>12888</v>
                </pt>
                <pt idx="4">
                  <formatCode>"€"#\ ##0;\("€"#\ ##0\);\-</formatCode>
                  <v>23947</v>
                </pt>
                <pt idx="5">
                  <formatCode>"€"#\ ##0;\("€"#\ ##0\);\-</formatCode>
                  <v>10266</v>
                </pt>
              </numCache>
            </numRef>
          </val>
          <smooth val="0"/>
        </ser>
        <ser>
          <idx val="1"/>
          <order val="1"/>
          <tx>
            <strRef>
              <f>RATIOS!$B$105</f>
              <strCache>
                <ptCount val="1"/>
                <pt idx="0">
                  <v>CapEx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RATIOS!$C$105:$H$105</f>
              <numCache>
                <formatCode>General</formatCode>
                <ptCount val="6"/>
                <pt idx="2">
                  <v>15690</v>
                </pt>
                <pt idx="3">
                  <v>17722</v>
                </pt>
                <pt idx="4">
                  <v>14909</v>
                </pt>
                <pt idx="5">
                  <v>16953</v>
                </pt>
              </numCache>
            </numRef>
          </val>
          <smooth val="0"/>
        </ser>
        <ser>
          <idx val="2"/>
          <order val="2"/>
          <tx>
            <strRef>
              <f>RATIOS!$B$106</f>
              <strCache>
                <ptCount val="1"/>
                <pt idx="0">
                  <v>Cash from Operations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RATIOS!$C$106:$H$106</f>
              <numCache>
                <formatCode>General</formatCode>
                <ptCount val="6"/>
                <pt idx="2">
                  <formatCode>#,##0</formatCode>
                  <v>54572</v>
                </pt>
                <pt idx="3">
                  <formatCode>#,##0</formatCode>
                  <v>30610</v>
                </pt>
                <pt idx="4">
                  <formatCode>#,##0</formatCode>
                  <v>38856</v>
                </pt>
                <pt idx="5">
                  <formatCode>#,##0</formatCode>
                  <v>27219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RATIOS!$B$110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0.2465258381092283</v>
                </pt>
                <pt idx="3">
                  <formatCode>0.0%</formatCode>
                  <v>0.1497397677927997</v>
                </pt>
                <pt idx="4">
                  <formatCode>0.0%</formatCode>
                  <v>0.1082218059030076</v>
                </pt>
                <pt idx="5">
                  <formatCode>0.0%</formatCode>
                  <v>0.08685334046835193</v>
                </pt>
              </numCache>
            </numRef>
          </val>
          <smooth val="0"/>
        </ser>
        <ser>
          <idx val="1"/>
          <order val="1"/>
          <tx>
            <strRef>
              <f>RATIOS!$B$111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RATIOS!$C$111:$H$111</f>
              <numCache>
                <formatCode>General</formatCode>
                <ptCount val="6"/>
                <pt idx="2">
                  <formatCode>0.0%</formatCode>
                  <v>0.1626770306185605</v>
                </pt>
                <pt idx="3">
                  <formatCode>0.0%</formatCode>
                  <v>0.1144526413415501</v>
                </pt>
                <pt idx="4">
                  <formatCode>0.0%</formatCode>
                  <v>0.09296028446020496</v>
                </pt>
                <pt idx="5">
                  <formatCode>0.0%</formatCode>
                  <v>0.0704984750195934</v>
                </pt>
              </numCache>
            </numRef>
          </val>
          <smooth val="0"/>
        </ser>
        <ser>
          <idx val="2"/>
          <order val="2"/>
          <tx>
            <strRef>
              <f>RATIOS!$B$112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RATIOS!$C$112:$H$112</f>
              <numCache>
                <formatCode>General</formatCode>
                <ptCount val="6"/>
                <pt idx="2">
                  <formatCode>0.0%</formatCode>
                  <v>0.2503879337098877</v>
                </pt>
                <pt idx="3">
                  <formatCode>0.0%</formatCode>
                  <v>0.1510767700409597</v>
                </pt>
                <pt idx="4">
                  <formatCode>0.0%</formatCode>
                  <v>0.1101681605546269</v>
                </pt>
                <pt idx="5">
                  <formatCode>0.0%</formatCode>
                  <v>0.09201103407359153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DCF!$B$121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18200.39736711334</v>
                </pt>
                <pt idx="1">
                  <v>19048.81232795912</v>
                </pt>
                <pt idx="2">
                  <v>19936.77631244808</v>
                </pt>
                <pt idx="3">
                  <v>20866.1329057871</v>
                </pt>
                <pt idx="4">
                  <v>21838.81163225569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DCF!$L$100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DCF!$M$99:$Q$99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formatCode>"€"#\ ##0</formatCode>
                  <v>101.5598147748876</v>
                </pt>
                <pt idx="3">
                  <formatCode>"€"#\ ##0</formatCode>
                  <v>88.14620862862385</v>
                </pt>
                <pt idx="4">
                  <formatCode>"€"#\ ##0</formatCode>
                  <v>77.60554042428582</v>
                </pt>
              </numCache>
            </numRef>
          </val>
          <smooth val="0"/>
        </ser>
        <ser>
          <idx val="1"/>
          <order val="1"/>
          <tx>
            <strRef>
              <f>DCF!$L$101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DCF!$M$100:$Q$100</f>
              <numCache>
                <formatCode>General</formatCode>
                <ptCount val="5"/>
                <pt idx="0">
                  <v>142.9012118916031</v>
                </pt>
                <pt idx="1">
                  <v>119.1070824818262</v>
                </pt>
                <pt idx="2">
                  <formatCode>"€"#\ ##0</formatCode>
                  <v>115.3067586485004</v>
                </pt>
                <pt idx="3">
                  <formatCode>"€"#\ ##0</formatCode>
                  <v>98.42652133397222</v>
                </pt>
                <pt idx="4">
                  <formatCode>"€"#\ ##0</formatCode>
                  <v>85.51975560858871</v>
                </pt>
              </numCache>
            </numRef>
          </val>
          <smooth val="0"/>
        </ser>
        <ser>
          <idx val="2"/>
          <order val="2"/>
          <tx>
            <strRef>
              <f>DCF!$L$102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170.7618933367267</v>
                </pt>
                <pt idx="1">
                  <v>138.1912963171121</v>
                </pt>
                <pt idx="2">
                  <v>133.6934333892767</v>
                </pt>
                <pt idx="3">
                  <v>111.675555661089</v>
                </pt>
                <pt idx="4">
                  <v>95.43105993476622</v>
                </pt>
              </numCache>
            </numRef>
          </val>
          <smooth val="0"/>
        </ser>
        <ser>
          <idx val="3"/>
          <order val="3"/>
          <tx>
            <strRef>
              <f>DCF!$L$103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DCF!$M$102:$Q$102</f>
              <numCache>
                <formatCode>"€"#\ ##0</formatCode>
                <ptCount val="5"/>
                <pt idx="0">
                  <v>212.8163861695505</v>
                </pt>
                <pt idx="1">
                  <v>165.0242638230592</v>
                </pt>
                <pt idx="2">
                  <v>159.5456403557198</v>
                </pt>
                <pt idx="3">
                  <v>129.3962714101128</v>
                </pt>
                <pt idx="4">
                  <v>108.2045246150487</v>
                </pt>
              </numCache>
            </numRef>
          </val>
          <smooth val="0"/>
        </ser>
        <ser>
          <idx val="4"/>
          <order val="4"/>
          <tx>
            <strRef>
              <f>DCF!$L$104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DCF!$M$103:$Q$103</f>
              <numCache>
                <formatCode>"€"#\ ##0</formatCode>
                <ptCount val="5"/>
                <pt idx="0">
                  <v>283.61871111272</v>
                </pt>
                <pt idx="1">
                  <v>205.5274669440924</v>
                </pt>
                <pt idx="2">
                  <v>198.5684278896279</v>
                </pt>
                <pt idx="3">
                  <v>154.3121203929251</v>
                </pt>
                <pt idx="4">
                  <v>125.2891612112571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DCF!$C$123:$G$123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DCF!$C$124:$G$124</f>
              <numCache>
                <formatCode>_(#\ ##0_);\(#\ ##0\);_("–"_);_(@_)</formatCode>
                <ptCount val="5"/>
                <pt idx="0">
                  <v>190844</v>
                </pt>
                <pt idx="1">
                  <v>199740.2291054272</v>
                </pt>
                <pt idx="2">
                  <v>209051.1576108682</v>
                </pt>
                <pt idx="3">
                  <v>218796.1168071805</v>
                </pt>
                <pt idx="4">
                  <v>228995.3391169963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XOM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SHEL.L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BP.L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ENI.MI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REP.MC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SCENARIOS!$B$57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SCENARIOS!$C$57:$G$57</f>
              <numCache>
                <formatCode>#,##0</formatCode>
                <ptCount val="5"/>
                <pt idx="0">
                  <formatCode>_(#\ ##0_);\(#\ ##0\);_("–"_);_(@_)</formatCode>
                  <v>173226.8</v>
                </pt>
                <pt idx="1">
                  <v>164565.46</v>
                </pt>
                <pt idx="2">
                  <formatCode>_(#\ ##0_);\(#\ ##0\);_("–"_);_(@_)</formatCode>
                  <v>156337.187</v>
                </pt>
                <pt idx="3">
                  <formatCode>_(#\ ##0_);\(#\ ##0\);_("–"_);_(@_)</formatCode>
                  <v>148520.32765</v>
                </pt>
                <pt idx="4">
                  <formatCode>_(#\ ##0_);\(#\ ##0\);_("–"_);_(@_)</formatCode>
                  <v>141094.3112675</v>
                </pt>
              </numCache>
            </numRef>
          </val>
          <smooth val="0"/>
        </ser>
        <ser>
          <idx val="1"/>
          <order val="1"/>
          <tx>
            <strRef>
              <f>SCENARIOS!$B$58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185990.88</v>
                </pt>
                <pt idx="1">
                  <v>189710.6976</v>
                </pt>
                <pt idx="2">
                  <formatCode>_(#\ ##0_);\(#\ ##0\);_("–"_);_(@_)</formatCode>
                  <v>193504.911552</v>
                </pt>
                <pt idx="3">
                  <formatCode>_(#\ ##0_);\(#\ ##0\);_("–"_);_(@_)</formatCode>
                  <v>197375.00978304</v>
                </pt>
                <pt idx="4">
                  <formatCode>_(#\ ##0_);\(#\ ##0\);_("–"_);_(@_)</formatCode>
                  <v>201322.5099787008</v>
                </pt>
              </numCache>
            </numRef>
          </val>
          <smooth val="0"/>
        </ser>
        <ser>
          <idx val="2"/>
          <order val="2"/>
          <tx>
            <strRef>
              <f>SCENARIOS!$B$59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193284.64</v>
                </pt>
                <pt idx="1">
                  <v>204881.7184</v>
                </pt>
                <pt idx="2">
                  <formatCode>_(#\ ##0_);\(#\ ##0\);_("–"_);_(@_)</formatCode>
                  <v>217174.621504</v>
                </pt>
                <pt idx="3">
                  <formatCode>_(#\ ##0_);\(#\ ##0\);_("–"_);_(@_)</formatCode>
                  <v>230205.09879424</v>
                </pt>
                <pt idx="4">
                  <formatCode>_(#\ ##0_);\(#\ ##0\);_("–"_);_(@_)</formatCode>
                  <v>244017.4047218944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SCENARIOS!$B$62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SCENARIOS!$C$62:$G$62</f>
              <numCache>
                <formatCode>#,##0</formatCode>
                <ptCount val="5"/>
                <pt idx="0">
                  <formatCode>_(#\ ##0_);\(#\ ##0\);_("–"_);_(@_)</formatCode>
                  <v>25984.02</v>
                </pt>
                <pt idx="1">
                  <v>24684.819</v>
                </pt>
                <pt idx="2">
                  <formatCode>_(#\ ##0_);\(#\ ##0\);_("–"_);_(@_)</formatCode>
                  <v>23450.57805</v>
                </pt>
                <pt idx="3">
                  <formatCode>_(#\ ##0_);\(#\ ##0\);_("–"_);_(@_)</formatCode>
                  <v>22278.04914749999</v>
                </pt>
                <pt idx="4">
                  <formatCode>_(#\ ##0_);\(#\ ##0\);_("–"_);_(@_)</formatCode>
                  <v>21164.14669012499</v>
                </pt>
              </numCache>
            </numRef>
          </val>
          <smooth val="0"/>
        </ser>
        <ser>
          <idx val="1"/>
          <order val="1"/>
          <tx>
            <strRef>
              <f>SCENARIOS!$B$63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40917.9936</v>
                </pt>
                <pt idx="1">
                  <v>41736.353472</v>
                </pt>
                <pt idx="2">
                  <formatCode>_(#\ ##0_);\(#\ ##0\);_("–"_);_(@_)</formatCode>
                  <v>42571.08054144</v>
                </pt>
                <pt idx="3">
                  <formatCode>_(#\ ##0_);\(#\ ##0\);_("–"_);_(@_)</formatCode>
                  <v>43422.5021522688</v>
                </pt>
                <pt idx="4">
                  <formatCode>_(#\ ##0_);\(#\ ##0\);_("–"_);_(@_)</formatCode>
                  <v>44290.95219531418</v>
                </pt>
              </numCache>
            </numRef>
          </val>
          <smooth val="0"/>
        </ser>
        <ser>
          <idx val="2"/>
          <order val="2"/>
          <tx>
            <strRef>
              <f>SCENARIOS!$B$64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54119.69920000001</v>
                </pt>
                <pt idx="1">
                  <v>57366.88115200001</v>
                </pt>
                <pt idx="2">
                  <formatCode>_(#\ ##0_);\(#\ ##0\);_("–"_);_(@_)</formatCode>
                  <v>60808.89402112001</v>
                </pt>
                <pt idx="3">
                  <formatCode>_(#\ ##0_);\(#\ ##0\);_("–"_);_(@_)</formatCode>
                  <v>64457.42766238721</v>
                </pt>
                <pt idx="4">
                  <formatCode>_(#\ ##0_);\(#\ ##0\);_("–"_);_(@_)</formatCode>
                  <v>68324.87332213044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0.308423531198967</v>
                </pt>
                <pt idx="1">
                  <v>0.2848797643243737</v>
                </pt>
                <pt idx="2">
                  <v>0.2838914165942437</v>
                </pt>
                <pt idx="3">
                  <v>0.2843361997104374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0.2817591432152216</v>
                </pt>
                <pt idx="1">
                  <v>0.244828609924867</v>
                </pt>
                <pt idx="2">
                  <v>0.2343540718777159</v>
                </pt>
                <pt idx="3">
                  <v>0.217182907032861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DASHBOARD!$K$89:$N$89</f>
              <numCache>
                <formatCode>General</formatCode>
                <ptCount val="4"/>
                <pt idx="0">
                  <v>0.1357563328396187</v>
                </pt>
                <pt idx="1">
                  <v>0.1110370184292859</v>
                </pt>
                <pt idx="2">
                  <v>0.09863503910843004</v>
                </pt>
                <pt idx="3">
                  <v>0.0818891765015575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13680</v>
                </pt>
                <pt idx="1">
                  <v>13818</v>
                </pt>
                <pt idx="2">
                  <v>13107</v>
                </pt>
                <pt idx="3">
                  <v>13847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DASHBOARD!$K$95:$N$95</f>
              <numCache>
                <formatCode>General</formatCode>
                <ptCount val="4"/>
                <pt idx="0">
                  <v>2076</v>
                </pt>
                <pt idx="1">
                  <v>2153</v>
                </pt>
                <pt idx="2">
                  <v>2364</v>
                </pt>
                <pt idx="3">
                  <v>2558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DASHBOARD!$Q$7:$Q$10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263310</v>
                </pt>
                <pt idx="1">
                  <v>218945</v>
                </pt>
                <pt idx="2">
                  <v>195610</v>
                </pt>
                <pt idx="3">
                  <v>182344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DASHBOARD!$Q$7:$Q$10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24311</v>
                </pt>
                <pt idx="1">
                  <v>19294</v>
                </pt>
                <pt idx="2">
                  <v>19294</v>
                </pt>
                <pt idx="3">
                  <v>14932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2022–2025 LTM ($B)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RATIOS!$E$76:$H$76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RATIOS!$E$99:$H$99</f>
              <numCache>
                <formatCode>General</formatCode>
                <ptCount val="4"/>
                <pt idx="0">
                  <v>482.255</v>
                </pt>
                <pt idx="1">
                  <v>677.865</v>
                </pt>
                <pt idx="2">
                  <v>677.865</v>
                </pt>
                <pt idx="3">
                  <v>860.2089999999999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58.2675</v>
                </pt>
                <pt idx="1">
                  <v>85.459</v>
                </pt>
                <pt idx="2">
                  <v>93.22799999999999</v>
                </pt>
                <pt idx="3">
                  <v>100.997</v>
                </pt>
                <pt idx="4">
                  <v>89.34349999999999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54.383</v>
                </pt>
                <pt idx="1">
                  <v>38.845</v>
                </pt>
                <pt idx="2">
                  <v>42.72949999999999</v>
                </pt>
                <pt idx="3">
                  <v>42.72950000000002</v>
                </pt>
                <pt idx="4">
                  <v>42.72949999999999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112.6505</v>
                </pt>
                <pt idx="1">
                  <v>124.304</v>
                </pt>
                <pt idx="2">
                  <v>135.9575</v>
                </pt>
                <pt idx="3">
                  <v>143.7265</v>
                </pt>
                <pt idx="4">
                  <v>132.073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2'!$C$106:$G$106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2'!$C$108:$G$108</f>
              <numCache>
                <formatCode>General</formatCode>
                <ptCount val="5"/>
                <pt idx="0">
                  <v>0</v>
                </pt>
                <pt idx="1">
                  <v>263310</v>
                </pt>
                <pt idx="2">
                  <v>218945</v>
                </pt>
                <pt idx="3">
                  <v>195610</v>
                </pt>
                <pt idx="4">
                  <v>182344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6000" tIns="36000" rIns="72000" bIns="10800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2'!$C$106:$G$106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2'!$C$107:$G$107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-0.1684896130036839</v>
                </pt>
                <pt idx="3">
                  <v>-0.1065792779008427</v>
                </pt>
                <pt idx="4">
                  <v>-0.06781861868002659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TTE.PA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2"/>
                <pt idx="0">
                  <v>May-25</v>
                </pt>
                <pt idx="1">
                  <v>Jun-25</v>
                </pt>
                <pt idx="2">
                  <v>Jul-25</v>
                </pt>
                <pt idx="3">
                  <v>Aug-25</v>
                </pt>
                <pt idx="4">
                  <v>Sep-25</v>
                </pt>
                <pt idx="5">
                  <v>Oct-25</v>
                </pt>
                <pt idx="6">
                  <v>Nov-25</v>
                </pt>
                <pt idx="7">
                  <v>Dec-25</v>
                </pt>
                <pt idx="8">
                  <v>Jan-26</v>
                </pt>
                <pt idx="9">
                  <v>Feb-26</v>
                </pt>
                <pt idx="10">
                  <v>Mar-26</v>
                </pt>
                <pt idx="11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48.75</v>
                </pt>
                <pt idx="1">
                  <v>49.16</v>
                </pt>
                <pt idx="2">
                  <v>49.87</v>
                </pt>
                <pt idx="3">
                  <v>51.28</v>
                </pt>
                <pt idx="4">
                  <v>49.59</v>
                </pt>
                <pt idx="5">
                  <v>51.72</v>
                </pt>
                <pt idx="6">
                  <v>55.36</v>
                </pt>
                <pt idx="7">
                  <v>54.18</v>
                </pt>
                <pt idx="8">
                  <v>60.51</v>
                </pt>
                <pt idx="9">
                  <v>66.56999999999999</v>
                </pt>
                <pt idx="10">
                  <v>80.06</v>
                </pt>
                <pt idx="11">
                  <v>77.69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74190</v>
                </pt>
                <pt idx="1">
                  <v>53604</v>
                </pt>
                <pt idx="2">
                  <v>45842</v>
                </pt>
                <pt idx="3">
                  <v>39602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54572</v>
                </pt>
                <pt idx="1">
                  <v>30610</v>
                </pt>
                <pt idx="2">
                  <v>38856</v>
                </pt>
                <pt idx="3">
                  <v>27219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35746</v>
                </pt>
                <pt idx="1">
                  <v>24311</v>
                </pt>
                <pt idx="2">
                  <v>19294</v>
                </pt>
                <pt idx="3">
                  <v>14932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E9" authorId="0" shapeId="0">
      <text>
        <t>Baptiste jeh:
EV historique non fiable (prix AAPL proxy). Utiliser LTM uniquement pour TTE.PA.</t>
      </text>
    </comment>
    <comment ref="F9" authorId="0" shapeId="0">
      <text>
        <t>Baptiste jeh:
EV historique non fiable. Utiliser LTM uniquement.</t>
      </text>
    </comment>
    <comment ref="G9" authorId="0" shapeId="0">
      <text>
        <t>Baptiste jeh:
EV historique non fiable. Utiliser LTM uniquement.</t>
      </text>
    </comment>
    <comment ref="E10" authorId="0" shapeId="0">
      <text>
        <t>Baptiste jeh:
EV historique non fiable (prix AAPL proxy). Utiliser LTM uniquement pour TTE.PA.</t>
      </text>
    </comment>
    <comment ref="F10" authorId="0" shapeId="0">
      <text>
        <t>Baptiste jeh:
EV historique non fiable. Utiliser LTM uniquement.</t>
      </text>
    </comment>
    <comment ref="G10" authorId="0" shapeId="0">
      <text>
        <t>Baptiste jeh:
EV historique non fiable. Utiliser LTM uniquement.</t>
      </text>
    </comment>
    <comment ref="E11" authorId="0" shapeId="0">
      <text>
        <t>Baptiste jeh:
EV historique non fiable. Utiliser LTM uniquement.</t>
      </text>
    </comment>
    <comment ref="F11" authorId="0" shapeId="0">
      <text>
        <t>Baptiste jeh:
EV historique non fiable. Utiliser LTM uniquement.</t>
      </text>
    </comment>
    <comment ref="G11" authorId="0" shapeId="0">
      <text>
        <t>Baptiste jeh:
EV historique non fiable. Utiliser LTM uniquement.</t>
      </text>
    </comment>
    <comment ref="E12" authorId="0" shapeId="0">
      <text>
        <t>Baptiste jeh:
EV historique non fiable. Utiliser LTM uniquement.</t>
      </text>
    </comment>
    <comment ref="F12" authorId="0" shapeId="0">
      <text>
        <t>Baptiste jeh:
EV historique non fiable. Utiliser LTM uniquement.</t>
      </text>
    </comment>
    <comment ref="G12" authorId="0" shapeId="0">
      <text>
        <t>Baptiste jeh:
EV historique non fiable. Utiliser LTM uniquement.</t>
      </text>
    </comment>
    <comment ref="E61" authorId="0" shapeId="0">
      <text>
        <t>Baptiste jeh:
CapEx/DD&amp;A &gt; 1 = investissement net en actifs. Pour OIL_GAS, &gt;= 1.0 requis pour maintenir la production.</t>
      </text>
    </comment>
    <comment ref="E62" authorId="0" shapeId="0">
      <text>
        <t>Baptiste jeh:
DACF = Operating Cash Flow + After-tax Interest Expense. Mesure la génération de cash déconnectée de la structure de capital.</t>
      </text>
    </comment>
    <comment ref="E63" authorId="0" shapeId="0">
      <text>
        <t>Baptiste jeh:
EBITDAX = EBITDA + Exploration Expense (approxé par R&amp;D pour TTE). Métrique standard pour l'industrie pétrolière.</t>
      </text>
    </comment>
    <comment ref="E64" authorId="0" shapeId="0">
      <text>
        <t>Baptiste jeh:
FCF Yield = FCF / Market Cap. Pour TTE LTM = 6.4%. Benchmark OIL_GAS major : 5-8%.</t>
      </text>
    </comment>
    <comment ref="E65" authorId="0" shapeId="0">
      <text>
        <t>Baptiste jeh:
Dividende + Rachats d'actions / Market Cap. TTE distribue ~8-10% par an aux actionnaires (dividende + buybacks).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Revenue Growth driver. Si D45=Yes : utilise D44 (Brent-Adjusted). Si No : utilise la moyenne historique RATIOS!F51:H51.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  <comment ref="D42" authorId="0" shapeId="0">
      <text>
        <t>Baptiste jeh:
Saisir ici : 60 (Bear), 75 (Base) ou 90 (Bull). Ce prix pilote D44.</t>
      </text>
    </comment>
    <comment ref="D43" authorId="0" shapeId="0">
      <text>
        <t>Baptiste jeh:
TTE : ~$1.7B revenus additionnels par $1/bbl Brent. Source : TTE Document de Référence 2024.</t>
      </text>
    </comment>
    <comment ref="D44" authorId="0" shapeId="0">
      <text>
        <t>Baptiste jeh:
Prix Brent moyen LTM TTE ~70$/bbl. Base du calcul d'ajustement.</t>
      </text>
    </comment>
    <comment ref="D45" authorId="0" shapeId="0">
      <text>
        <t>= (LTM Rev + (Brent actif - Brent réf.) × sensibilité) / LTM Rev - 1. Brent actif = E41 (calculé depuis D41 dropdown).</t>
      </text>
    </comment>
    <comment ref="D46" authorId="0" shapeId="0">
      <text>
        <t>Baptiste jeh:
Yes : I29 utilise D44. No : I29 utilise la moyenne historique RATIOS!F51:H51.</t>
      </text>
    </comment>
    <comment ref="D89" authorId="0" shapeId="0">
      <text>
        <t>Baptiste jeh:
Total Financial Debt = ST Debt (H48) + LT Debt (H54). Net Debt = D89 + D90.</t>
      </text>
    </comment>
  </commentList>
</comments>
</file>

<file path=xl/comments/comment4.xml><?xml version="1.0" encoding="utf-8"?>
<comments xmlns="http://schemas.openxmlformats.org/spreadsheetml/2006/main">
  <authors>
    <author>Baptiste jeh</author>
  </authors>
  <commentList>
    <comment ref="D6" authorId="0" shapeId="0">
      <text>
        <t>Baptiste jeh:
EBITDA Upstream estimé LTM. Source : TTE Factbook 2024. Ajustable.</t>
      </text>
    </comment>
    <comment ref="E6" authorId="0" shapeId="0">
      <text>
        <t>Baptiste jeh:
Peers Upstream pure-play : EOG, PXD, DVN. EV/EBITDA 5-6x. Source : Bloomberg consensus.</t>
      </text>
    </comment>
    <comment ref="D7" authorId="0" shapeId="0">
      <text>
        <t>Baptiste jeh:
EBITDA iGRP + LNG estimé LTM. TTE est le 2e plus grand trader LNG au monde. Source : TTE Factbook 2024.</t>
      </text>
    </comment>
    <comment ref="E7" authorId="0" shapeId="0">
      <text>
        <t>Baptiste jeh:
Premium LNG/Gas : Shell LNG, Cheniere. EV/EBITDA 7-8x (contrats long-terme, visibilité cash flow). Source : consensus sell-side.</t>
      </text>
    </comment>
    <comment ref="D8" authorId="0" shapeId="0">
      <text>
        <t>Baptiste jeh:
EBITDA Renewables &amp; Power estimé LTM. TTE Factbook 2024. Segment en forte croissance (objectif 100GW 2030).</t>
      </text>
    </comment>
    <comment ref="E8" authorId="0" shapeId="0">
      <text>
        <t>Baptiste jeh:
Peers Renewables (Enel, Orsted, Iberdrola). EV/EBITDA 10-14x. Prime de croissance ESG.</t>
      </text>
    </comment>
    <comment ref="D9" authorId="0" shapeId="0">
      <text>
        <t>Baptiste jeh:
EBITDA Refining &amp; Chemicals estimé LTM. Marges volatiles, cycle bas 2024. Source : TTE Factbook 2024.</t>
      </text>
    </comment>
    <comment ref="E9" authorId="0" shapeId="0">
      <text>
        <t>Baptiste jeh:
Peers Refining (Valero, MPC, Phillips 66). EV/EBITDA 4-5x (activité cyclique, marges compressées).</t>
      </text>
    </comment>
    <comment ref="D10" authorId="0" shapeId="0">
      <text>
        <t>Baptiste jeh:
Coûts corporate / overhead non-alloués. Estimé -$2.5B EBITDA. Appliqué à multiple 5x (valeur négative = soustraction).</t>
      </text>
    </comment>
    <comment ref="F16" authorId="0" shapeId="0">
      <text>
        <t>Net Debt = Short-Term Debt (H48) + Long-Term Debt (H54) - Cash (H34). LTM: $10.2B + $48.0B - $24.2B = ~$34B.</t>
      </text>
    </comment>
    <comment ref="F17" authorId="0" shapeId="0">
      <text>
        <t>Baptiste jeh:
Minorités + instruments hybrides TTE estimés. Source : TTE Annual Report 2024.</t>
      </text>
    </comment>
  </commentList>
</comments>
</file>

<file path=xl/comments/comment5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comments/comment6.xml><?xml version="1.0" encoding="utf-8"?>
<comments xmlns="http://schemas.openxmlformats.org/spreadsheetml/2006/main">
  <authors>
    <author>Baptiste jeh</author>
  </authors>
  <commentList>
    <comment ref="D71" authorId="0" shapeId="0">
      <text>
        <t>Baptiste jeh:
Total Operating Expenses = SG&amp;A + R&amp;D + D&amp;A + Interest</t>
      </text>
    </comment>
    <comment ref="D72" authorId="0" shapeId="0">
      <text>
        <t>Baptiste jeh:
Total Expenses = COGS + All OpEx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112</row>
      <rowOff>161193</rowOff>
    </from>
    <to>
      <col>9</col>
      <colOff>117231</colOff>
      <row>127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112</row>
      <rowOff>161193</rowOff>
    </from>
    <to>
      <col>3</col>
      <colOff>419833</colOff>
      <row>127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125</row>
      <rowOff>41275</rowOff>
    </from>
    <to>
      <col>3</col>
      <colOff>196850</colOff>
      <row>143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197896</colOff>
      <row>98</row>
      <rowOff>134471</rowOff>
    </from>
    <to>
      <col>14</col>
      <colOff>20506</colOff>
      <row>112</row>
      <rowOff>166184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126</row>
      <rowOff>168087</rowOff>
    </from>
    <to>
      <col>10</col>
      <colOff>336176</colOff>
      <row>143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816062</colOff>
      <row>45</row>
      <rowOff>116758</rowOff>
    </from>
    <to>
      <col>12</col>
      <colOff>39980</colOff>
      <row>60</row>
      <rowOff>46323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67</row>
      <rowOff>28575</rowOff>
    </from>
    <to>
      <col>3</col>
      <colOff>758825</colOff>
      <row>82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67</row>
      <rowOff>28575</rowOff>
    </from>
    <to>
      <col>10</col>
      <colOff>34925</colOff>
      <row>82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84055</colOff>
      <row>7</row>
      <rowOff>119546</rowOff>
    </from>
    <to>
      <col>12</col>
      <colOff>651846</colOff>
      <row>21</row>
      <rowOff>115869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142294</colOff>
      <row>24</row>
      <rowOff>90900</rowOff>
    </from>
    <to>
      <col>12</col>
      <colOff>631339</colOff>
      <row>38</row>
      <rowOff>29807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25581</colOff>
      <row>7</row>
      <rowOff>113609</rowOff>
    </from>
    <to>
      <col>5</col>
      <colOff>1365213</colOff>
      <row>21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168254</colOff>
      <row>24</row>
      <rowOff>83856</rowOff>
    </from>
    <to>
      <col>5</col>
      <colOff>1449369</colOff>
      <row>38</row>
      <rowOff>48633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7</col>
      <colOff>431889</colOff>
      <row>22</row>
      <rowOff>83548</rowOff>
    </from>
    <to>
      <col>14</col>
      <colOff>74295</colOff>
      <row>39</row>
      <rowOff>11669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42</row>
      <rowOff>171449</rowOff>
    </from>
    <to>
      <col>7</col>
      <colOff>56030</colOff>
      <row>59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22</row>
      <rowOff>100853</rowOff>
    </from>
    <to>
      <col>6</col>
      <colOff>818029</colOff>
      <row>39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419917</colOff>
      <row>22</row>
      <rowOff>58509</rowOff>
    </from>
    <to>
      <col>19</col>
      <colOff>639536</colOff>
      <row>39</row>
      <rowOff>68035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topLeftCell="A17" zoomScaleNormal="100" workbookViewId="0">
      <selection activeCell="D32" sqref="D32"/>
    </sheetView>
  </sheetViews>
  <sheetFormatPr baseColWidth="10" defaultRowHeight="14.4"/>
  <cols>
    <col width="11" customWidth="1" style="489" min="1" max="1"/>
    <col width="50" customWidth="1" style="19" min="2" max="2"/>
    <col width="15.6640625" customWidth="1" style="489" min="3" max="3"/>
    <col width="13.33203125" customWidth="1" style="21" min="4" max="8"/>
  </cols>
  <sheetData>
    <row r="1" ht="54.9" customHeight="1" s="489">
      <c r="A1" s="200" t="n"/>
      <c r="B1" s="96" t="n"/>
      <c r="C1" s="5" t="n"/>
      <c r="D1" s="5" t="n"/>
      <c r="E1" s="5" t="n"/>
      <c r="F1" s="95" t="n"/>
      <c r="G1" s="5" t="n"/>
      <c r="H1" s="5" t="n"/>
    </row>
    <row r="2" ht="15" customHeight="1" s="489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 s="489">
      <c r="A3" s="474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 s="489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 s="489">
      <c r="A5" s="201" t="n"/>
      <c r="B5" s="16" t="inlineStr">
        <is>
          <t>METRIC</t>
        </is>
      </c>
      <c r="C5" s="1" t="inlineStr">
        <is>
          <t>UNIT</t>
        </is>
      </c>
      <c r="D5" s="1" t="n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 s="489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 s="489">
      <c r="A7" s="474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 s="489">
      <c r="A8" s="474" t="n"/>
      <c r="B8" s="102" t="n"/>
      <c r="C8" s="474" t="n"/>
      <c r="D8" s="101" t="n"/>
      <c r="E8" s="101" t="n"/>
      <c r="F8" s="101" t="n"/>
      <c r="G8" s="101" t="n"/>
      <c r="H8" s="101" t="n"/>
    </row>
    <row r="9" ht="15" customHeight="1" s="489">
      <c r="A9" s="3" t="n"/>
      <c r="B9" s="17" t="inlineStr">
        <is>
          <t>Revenue</t>
        </is>
      </c>
      <c r="C9" s="40" t="inlineStr">
        <is>
          <t>($M)</t>
        </is>
      </c>
      <c r="D9" s="210" t="n"/>
      <c r="E9" s="210" t="n">
        <v>263310</v>
      </c>
      <c r="F9" s="210" t="n">
        <v>218945</v>
      </c>
      <c r="G9" s="210" t="n">
        <v>195610</v>
      </c>
      <c r="H9" s="210" t="n">
        <v>182344</v>
      </c>
    </row>
    <row r="10" ht="15" customHeight="1" s="489">
      <c r="A10" s="3" t="n"/>
      <c r="B10" s="17" t="inlineStr">
        <is>
          <t>Cost of Goods Sold (COGS)</t>
        </is>
      </c>
      <c r="C10" s="40" t="inlineStr">
        <is>
          <t>($M)</t>
        </is>
      </c>
      <c r="D10" s="211" t="n"/>
      <c r="E10" s="211" t="n">
        <v>-182099</v>
      </c>
      <c r="F10" s="211" t="n">
        <v>-156572</v>
      </c>
      <c r="G10" s="211" t="n">
        <v>-140078</v>
      </c>
      <c r="H10" s="211" t="n">
        <v>-130497</v>
      </c>
    </row>
    <row r="11" ht="15" customHeight="1" s="489">
      <c r="A11" s="3" t="n"/>
      <c r="B11" s="49" t="inlineStr">
        <is>
          <t>Gross Profit</t>
        </is>
      </c>
      <c r="C11" s="50" t="inlineStr">
        <is>
          <t>($M)</t>
        </is>
      </c>
      <c r="D11" s="217">
        <f>D9+D10</f>
        <v/>
      </c>
      <c r="E11" s="217">
        <f>E9+E10</f>
        <v/>
      </c>
      <c r="F11" s="217">
        <f>F9+F10</f>
        <v/>
      </c>
      <c r="G11" s="217">
        <f>G9+G10</f>
        <v/>
      </c>
      <c r="H11" s="217">
        <f>H9+H10</f>
        <v/>
      </c>
    </row>
    <row r="12" ht="15" customHeight="1" s="489">
      <c r="A12" s="3" t="n"/>
      <c r="B12" s="49" t="n"/>
      <c r="C12" s="50" t="n"/>
      <c r="D12" s="51" t="n"/>
      <c r="E12" s="51" t="n"/>
      <c r="F12" s="51" t="n"/>
      <c r="G12" s="51" t="n"/>
      <c r="H12" s="51" t="n"/>
    </row>
    <row r="13" ht="15" customHeight="1" s="489">
      <c r="A13" s="3" t="n"/>
      <c r="B13" s="49" t="n"/>
      <c r="C13" s="50" t="n"/>
      <c r="D13" s="217">
        <f>SUM(D14:D16)</f>
        <v/>
      </c>
      <c r="E13" s="217">
        <f>SUM(E14:E16)</f>
        <v/>
      </c>
      <c r="F13" s="217">
        <f>SUM(F14:F16)</f>
        <v/>
      </c>
      <c r="G13" s="217">
        <f>SUM(G14:G16)</f>
        <v/>
      </c>
      <c r="H13" s="217">
        <f>SUM(H14:H16)</f>
        <v/>
      </c>
    </row>
    <row r="14" ht="15" customHeight="1" s="489">
      <c r="A14" s="3" t="n"/>
      <c r="B14" s="17" t="inlineStr">
        <is>
          <t>Operating Expenses (SG&amp;A)</t>
        </is>
      </c>
      <c r="C14" s="40" t="inlineStr">
        <is>
          <t>($M)</t>
        </is>
      </c>
      <c r="D14" s="210" t="n"/>
      <c r="E14" s="210" t="n">
        <v>-3946</v>
      </c>
      <c r="F14" s="210" t="n">
        <v>-4800</v>
      </c>
      <c r="G14" s="210" t="n">
        <v>-5150</v>
      </c>
      <c r="H14" s="210" t="n">
        <v>-5834</v>
      </c>
    </row>
    <row r="15" ht="15" customHeight="1" s="489">
      <c r="A15" s="3" t="n"/>
      <c r="B15" s="17" t="inlineStr">
        <is>
          <t>Research &amp; Development</t>
        </is>
      </c>
      <c r="C15" s="40" t="inlineStr">
        <is>
          <t>($M)</t>
        </is>
      </c>
      <c r="D15" s="210" t="n"/>
      <c r="E15" s="210" t="n">
        <v>-3075</v>
      </c>
      <c r="F15" s="210" t="n">
        <v>-3969</v>
      </c>
      <c r="G15" s="210" t="n">
        <v>-4540</v>
      </c>
      <c r="H15" s="210" t="n">
        <v>-6411</v>
      </c>
    </row>
    <row r="16" ht="15" customHeight="1" s="489">
      <c r="A16" s="3" t="n"/>
      <c r="B16" s="17" t="inlineStr">
        <is>
          <t>Depreciation &amp; Amortization</t>
        </is>
      </c>
      <c r="C16" s="40" t="inlineStr">
        <is>
          <t>($M)</t>
        </is>
      </c>
      <c r="D16" s="212" t="n"/>
      <c r="E16" s="212" t="n">
        <v>-13680</v>
      </c>
      <c r="F16" s="212" t="n">
        <v>-13818</v>
      </c>
      <c r="G16" s="212" t="n">
        <v>-13107</v>
      </c>
      <c r="H16" s="212" t="n">
        <v>-13847</v>
      </c>
    </row>
    <row r="17" ht="15" customHeight="1" s="489">
      <c r="A17" s="3" t="n"/>
      <c r="B17" s="49" t="inlineStr">
        <is>
          <t>EBIT (Operating Profit)</t>
        </is>
      </c>
      <c r="C17" s="50" t="inlineStr">
        <is>
          <t>($M)</t>
        </is>
      </c>
      <c r="D17" s="217">
        <f>D11+D13</f>
        <v/>
      </c>
      <c r="E17" s="217">
        <f>E11+E13</f>
        <v/>
      </c>
      <c r="F17" s="217">
        <f>F11+F13</f>
        <v/>
      </c>
      <c r="G17" s="217">
        <f>G11+G13</f>
        <v/>
      </c>
      <c r="H17" s="217">
        <f>H11+H13</f>
        <v/>
      </c>
    </row>
    <row r="18" ht="15" customHeight="1" s="489">
      <c r="A18" s="3" t="n"/>
      <c r="B18" s="49" t="n"/>
      <c r="C18" s="50" t="n"/>
      <c r="D18" s="51" t="n"/>
      <c r="E18" s="51" t="n"/>
      <c r="F18" s="51" t="n"/>
      <c r="G18" s="51" t="n"/>
      <c r="H18" s="51" t="n"/>
    </row>
    <row r="19" ht="15" customHeight="1" s="489">
      <c r="A19" s="3" t="n"/>
      <c r="B19" s="49" t="n"/>
      <c r="C19" s="50" t="n"/>
      <c r="D19" s="217">
        <f>D17+D20+D21</f>
        <v/>
      </c>
      <c r="E19" s="217">
        <f>E17+E20+E21</f>
        <v/>
      </c>
      <c r="F19" s="217">
        <f>F17+F20+F21</f>
        <v/>
      </c>
      <c r="G19" s="217">
        <f>G17+G20+G21</f>
        <v/>
      </c>
      <c r="H19" s="217">
        <f>H17+H20+H21</f>
        <v/>
      </c>
    </row>
    <row r="20" ht="15" customHeight="1" s="489">
      <c r="A20" s="3" t="n"/>
      <c r="B20" s="17" t="inlineStr">
        <is>
          <t>Interest Expense</t>
        </is>
      </c>
      <c r="C20" s="40" t="inlineStr">
        <is>
          <t>($M)</t>
        </is>
      </c>
      <c r="D20" s="210" t="n"/>
      <c r="E20" s="210" t="n">
        <v>-2076</v>
      </c>
      <c r="F20" s="210" t="n">
        <v>-2153</v>
      </c>
      <c r="G20" s="210" t="n">
        <v>-2364</v>
      </c>
      <c r="H20" s="210" t="n">
        <v>-2558</v>
      </c>
    </row>
    <row r="21" ht="15" customHeight="1" s="489">
      <c r="A21" s="3" t="n"/>
      <c r="B21" s="17" t="inlineStr">
        <is>
          <t>Interest Income</t>
        </is>
      </c>
      <c r="C21" s="40" t="inlineStr">
        <is>
          <t>($M)</t>
        </is>
      </c>
      <c r="D21" s="212" t="n"/>
      <c r="E21" s="212" t="n">
        <v>1143</v>
      </c>
      <c r="F21" s="212" t="n">
        <v>1801</v>
      </c>
      <c r="G21" s="212" t="n">
        <v>1786</v>
      </c>
      <c r="H21" s="212" t="n">
        <v>1115</v>
      </c>
    </row>
    <row r="22" ht="15" customHeight="1" s="489">
      <c r="A22" s="3" t="n"/>
      <c r="B22" s="49" t="inlineStr">
        <is>
          <t>Earnings Before Tax (EBT)</t>
        </is>
      </c>
      <c r="C22" s="50" t="inlineStr">
        <is>
          <t>($M)</t>
        </is>
      </c>
      <c r="D22" s="217">
        <f>D19</f>
        <v/>
      </c>
      <c r="E22" s="217">
        <f>E19</f>
        <v/>
      </c>
      <c r="F22" s="217">
        <f>F19</f>
        <v/>
      </c>
      <c r="G22" s="217">
        <f>G19</f>
        <v/>
      </c>
      <c r="H22" s="217">
        <f>H19</f>
        <v/>
      </c>
    </row>
    <row r="23" ht="15" customHeight="1" s="489">
      <c r="A23" s="3" t="n"/>
      <c r="B23" s="49" t="n"/>
      <c r="C23" s="50" t="n"/>
      <c r="D23" s="51" t="n"/>
      <c r="E23" s="51" t="n"/>
      <c r="F23" s="51" t="n"/>
      <c r="G23" s="51" t="n"/>
      <c r="H23" s="51" t="n"/>
    </row>
    <row r="24" ht="15" customHeight="1" s="489">
      <c r="A24" s="3" t="n"/>
      <c r="B24" s="49" t="n"/>
      <c r="C24" s="50" t="n"/>
      <c r="D24" s="217">
        <f>-ROUND(D22*0.21,0)</f>
        <v/>
      </c>
      <c r="E24" s="217">
        <f>-ROUND(E22*E104,0)</f>
        <v/>
      </c>
      <c r="F24" s="217">
        <f>-ROUND(F22*F104,0)</f>
        <v/>
      </c>
      <c r="G24" s="217">
        <f>-ROUND(G22*G104,0)</f>
        <v/>
      </c>
      <c r="H24" s="217">
        <f>-ROUND(H22*H104,0)</f>
        <v/>
      </c>
    </row>
    <row r="25" ht="15" customHeight="1" s="489">
      <c r="A25" s="3" t="n"/>
      <c r="B25" s="17" t="inlineStr">
        <is>
          <t>Income Tax Expense</t>
        </is>
      </c>
      <c r="C25" s="40" t="inlineStr">
        <is>
          <t>($M)</t>
        </is>
      </c>
      <c r="D25" s="210" t="n"/>
      <c r="E25" s="210" t="n">
        <v>-22242</v>
      </c>
      <c r="F25" s="210" t="n">
        <v>-13301</v>
      </c>
      <c r="G25" s="210" t="n">
        <v>-10775</v>
      </c>
      <c r="H25" s="210" t="n">
        <v>-9092</v>
      </c>
    </row>
    <row r="26" ht="15" customHeight="1" s="489" thickBot="1">
      <c r="A26" s="3" t="n"/>
      <c r="B26" s="52" t="inlineStr">
        <is>
          <t>Net Income</t>
        </is>
      </c>
      <c r="C26" s="50" t="inlineStr">
        <is>
          <t>($M)</t>
        </is>
      </c>
      <c r="D26" s="218">
        <f>D22+D24</f>
        <v/>
      </c>
      <c r="E26" s="218">
        <f>E22+E24</f>
        <v/>
      </c>
      <c r="F26" s="218">
        <f>F22+F24</f>
        <v/>
      </c>
      <c r="G26" s="218">
        <f>G22+G24</f>
        <v/>
      </c>
      <c r="H26" s="218">
        <f>H22+H24</f>
        <v/>
      </c>
    </row>
    <row r="27" ht="15" customHeight="1" s="489">
      <c r="A27" s="3" t="n"/>
      <c r="B27" s="52" t="n"/>
      <c r="C27" s="50" t="n"/>
      <c r="D27" s="51" t="n"/>
      <c r="E27" s="51" t="n"/>
      <c r="F27" s="51" t="n"/>
      <c r="G27" s="51" t="n"/>
      <c r="H27" s="51" t="n"/>
    </row>
    <row r="28" ht="15" customHeight="1" s="489">
      <c r="A28" s="3" t="n"/>
      <c r="B28" s="52" t="n"/>
      <c r="C28" s="50" t="n"/>
    </row>
    <row r="29" ht="15" customHeight="1" s="489">
      <c r="A29" s="3" t="n"/>
      <c r="B29" s="17" t="inlineStr">
        <is>
          <t>Common Dividends</t>
        </is>
      </c>
      <c r="C29" s="40" t="inlineStr">
        <is>
          <t>($M)</t>
        </is>
      </c>
      <c r="D29" s="210" t="n"/>
      <c r="E29" s="210" t="n">
        <v>-7711</v>
      </c>
      <c r="F29" s="210" t="n">
        <v>-9167</v>
      </c>
      <c r="G29" s="210" t="n">
        <v>-7995</v>
      </c>
      <c r="H29" s="210" t="n">
        <v>-7714</v>
      </c>
    </row>
    <row r="30" ht="15" customHeight="1" s="489">
      <c r="A30" s="3" t="n"/>
      <c r="B30" s="49" t="inlineStr">
        <is>
          <t>EBITDA</t>
        </is>
      </c>
      <c r="C30" s="50" t="inlineStr">
        <is>
          <t>($M)</t>
        </is>
      </c>
      <c r="D30" s="217">
        <f>D17-D16</f>
        <v/>
      </c>
      <c r="E30" s="217">
        <f>E17-E16</f>
        <v/>
      </c>
      <c r="F30" s="217">
        <f>F17-F16</f>
        <v/>
      </c>
      <c r="G30" s="217">
        <f>G17-G16</f>
        <v/>
      </c>
      <c r="H30" s="217">
        <f>H17-H16</f>
        <v/>
      </c>
    </row>
    <row r="31" ht="15" customHeight="1" s="489">
      <c r="A31" s="3" t="n"/>
      <c r="B31" s="14" t="n"/>
      <c r="C31" s="9" t="n"/>
      <c r="D31" s="41" t="n"/>
      <c r="E31" s="41" t="n"/>
      <c r="F31" s="41" t="n"/>
      <c r="G31" s="41" t="n"/>
      <c r="H31" s="41" t="n"/>
    </row>
    <row r="32" ht="18" customHeight="1" s="489">
      <c r="A32" s="474" t="inlineStr">
        <is>
          <t xml:space="preserve"> </t>
        </is>
      </c>
      <c r="B32" s="47" t="inlineStr">
        <is>
          <t>BALANCE SHEET</t>
        </is>
      </c>
      <c r="C32" s="42" t="n"/>
      <c r="D32" s="7" t="n"/>
      <c r="E32" s="43" t="n"/>
      <c r="F32" s="43" t="n"/>
      <c r="G32" s="43" t="n"/>
      <c r="H32" s="43" t="n"/>
    </row>
    <row r="33" ht="18" customHeight="1" s="489">
      <c r="A33" s="474" t="n"/>
      <c r="B33" s="105" t="n"/>
      <c r="C33" s="104" t="n"/>
      <c r="D33" s="106" t="n"/>
      <c r="E33" s="106" t="n"/>
      <c r="F33" s="106" t="n"/>
      <c r="G33" s="106" t="n"/>
      <c r="H33" s="106" t="n"/>
    </row>
    <row r="34" ht="15" customHeight="1" s="489">
      <c r="A34" s="3" t="n"/>
      <c r="B34" s="17" t="inlineStr">
        <is>
          <t>Cash &amp; Cash Equivalents</t>
        </is>
      </c>
      <c r="C34" s="40" t="inlineStr">
        <is>
          <t>($M)</t>
        </is>
      </c>
      <c r="D34" s="213" t="n"/>
      <c r="E34" s="213" t="n">
        <v>33026</v>
      </c>
      <c r="F34" s="213" t="n">
        <v>27263</v>
      </c>
      <c r="G34" s="213" t="n">
        <v>25844</v>
      </c>
      <c r="H34" s="213" t="n">
        <v>24152</v>
      </c>
    </row>
    <row r="35" ht="15" customHeight="1" s="489">
      <c r="A35" s="3" t="n"/>
      <c r="B35" s="17" t="inlineStr">
        <is>
          <t>Accounts Receivable</t>
        </is>
      </c>
      <c r="C35" s="40" t="inlineStr">
        <is>
          <t>($M)</t>
        </is>
      </c>
      <c r="D35" s="210" t="n"/>
      <c r="E35" s="210" t="n">
        <v>24378</v>
      </c>
      <c r="F35" s="210" t="n">
        <v>23442</v>
      </c>
      <c r="G35" s="210" t="n">
        <v>19281</v>
      </c>
      <c r="H35" s="210" t="n">
        <v>18559</v>
      </c>
    </row>
    <row r="36" ht="15" customHeight="1" s="489">
      <c r="A36" s="3" t="n"/>
      <c r="B36" s="17" t="inlineStr">
        <is>
          <t>Inventories</t>
        </is>
      </c>
      <c r="C36" s="40" t="inlineStr">
        <is>
          <t>($M)</t>
        </is>
      </c>
      <c r="D36" s="210" t="n"/>
      <c r="E36" s="210" t="n">
        <v>22936</v>
      </c>
      <c r="F36" s="210" t="n">
        <v>19317</v>
      </c>
      <c r="G36" s="210" t="n">
        <v>18868</v>
      </c>
      <c r="H36" s="210" t="n">
        <v>16663</v>
      </c>
    </row>
    <row r="37" ht="15" customHeight="1" s="489">
      <c r="A37" s="3" t="n"/>
      <c r="B37" s="17" t="inlineStr">
        <is>
          <t>Other Current Assets</t>
        </is>
      </c>
      <c r="C37" s="40" t="inlineStr">
        <is>
          <t>($M)</t>
        </is>
      </c>
      <c r="D37" s="212" t="n"/>
      <c r="E37" s="212" t="n">
        <v>63</v>
      </c>
      <c r="F37" s="212" t="n">
        <v>60</v>
      </c>
      <c r="G37" s="212" t="n">
        <v>71</v>
      </c>
      <c r="H37" s="212" t="n">
        <v>105</v>
      </c>
    </row>
    <row r="38" ht="15" customHeight="1" s="489">
      <c r="A38" s="3" t="n"/>
      <c r="B38" s="49" t="inlineStr">
        <is>
          <t>Total Current Assets</t>
        </is>
      </c>
      <c r="C38" s="50" t="inlineStr">
        <is>
          <t>($M)</t>
        </is>
      </c>
      <c r="D38" s="217">
        <f>SUM(D34:D37)</f>
        <v/>
      </c>
      <c r="E38" s="217">
        <f>SUM(E34:E37)</f>
        <v/>
      </c>
      <c r="F38" s="217">
        <f>SUM(F34:F37)</f>
        <v/>
      </c>
      <c r="G38" s="217">
        <f>SUM(G34:G37)</f>
        <v/>
      </c>
      <c r="H38" s="217">
        <f>SUM(H34:H37)</f>
        <v/>
      </c>
    </row>
    <row r="39" ht="15" customHeight="1" s="489">
      <c r="A39" s="3" t="n"/>
      <c r="B39" s="49" t="n"/>
      <c r="C39" s="50" t="n"/>
      <c r="D39" s="51" t="n"/>
      <c r="E39" s="51" t="n"/>
      <c r="F39" s="51" t="n"/>
      <c r="G39" s="51" t="n"/>
      <c r="H39" s="51" t="n"/>
    </row>
    <row r="40" ht="15" customHeight="1" s="489">
      <c r="A40" s="3" t="n"/>
      <c r="B40" s="49" t="n"/>
      <c r="C40" s="50" t="n"/>
      <c r="D40" s="51" t="n"/>
      <c r="E40" s="51" t="n"/>
      <c r="F40" s="51" t="n"/>
      <c r="G40" s="51" t="n"/>
      <c r="H40" s="51" t="n"/>
    </row>
    <row r="41" ht="15" customHeight="1" s="489">
      <c r="A41" s="3" t="n"/>
      <c r="B41" s="17" t="inlineStr">
        <is>
          <t>PP&amp;E (Net)</t>
        </is>
      </c>
      <c r="C41" s="40" t="inlineStr">
        <is>
          <t>($M)</t>
        </is>
      </c>
      <c r="D41" s="210" t="n"/>
      <c r="E41" s="210" t="n">
        <v>128054</v>
      </c>
      <c r="F41" s="210" t="n">
        <v>129277</v>
      </c>
      <c r="G41" s="210" t="n">
        <v>128945</v>
      </c>
      <c r="H41" s="210" t="n">
        <v>135394</v>
      </c>
    </row>
    <row r="42" ht="15" customHeight="1" s="489">
      <c r="A42" s="3" t="n"/>
      <c r="B42" s="17" t="inlineStr">
        <is>
          <t>Intangible Assets</t>
        </is>
      </c>
      <c r="C42" s="40" t="inlineStr">
        <is>
          <t>($M)</t>
        </is>
      </c>
      <c r="D42" s="210" t="n"/>
      <c r="E42" s="210" t="n">
        <v>10978</v>
      </c>
      <c r="F42" s="210" t="n">
        <v>12722</v>
      </c>
      <c r="G42" s="210" t="n">
        <v>14388</v>
      </c>
      <c r="H42" s="210" t="n">
        <v>16645</v>
      </c>
    </row>
    <row r="43" ht="15" customHeight="1" s="489">
      <c r="A43" s="3" t="n"/>
      <c r="B43" s="17" t="inlineStr">
        <is>
          <t>Other Long-Term Assets</t>
        </is>
      </c>
      <c r="C43" s="40" t="inlineStr">
        <is>
          <t>($M)</t>
        </is>
      </c>
      <c r="D43" s="210" t="n"/>
      <c r="E43" s="210" t="n">
        <v>301</v>
      </c>
      <c r="F43" s="210" t="n">
        <v>330</v>
      </c>
      <c r="G43" s="210" t="n">
        <v>154</v>
      </c>
      <c r="H43" s="210" t="n">
        <v>288</v>
      </c>
    </row>
    <row r="44" ht="15" customHeight="1" s="489" thickBot="1">
      <c r="A44" s="3" t="n"/>
      <c r="B44" s="49" t="inlineStr">
        <is>
          <t>Total Assets</t>
        </is>
      </c>
      <c r="C44" s="50" t="inlineStr">
        <is>
          <t>($M)</t>
        </is>
      </c>
      <c r="D44" s="218">
        <f>D38+SUM(D41:D43)</f>
        <v/>
      </c>
      <c r="E44" s="218">
        <f>E38+SUM(E41:E43)</f>
        <v/>
      </c>
      <c r="F44" s="218">
        <f>F38+SUM(F41:F43)</f>
        <v/>
      </c>
      <c r="G44" s="218">
        <f>G38+SUM(G41:G43)</f>
        <v/>
      </c>
      <c r="H44" s="218">
        <f>H38+SUM(H41:H43)</f>
        <v/>
      </c>
    </row>
    <row r="45" ht="15" customHeight="1" s="489">
      <c r="A45" s="3" t="n"/>
      <c r="B45" s="49" t="n"/>
      <c r="C45" s="50" t="n"/>
      <c r="D45" s="51" t="n"/>
      <c r="E45" s="51" t="n"/>
      <c r="F45" s="51" t="n"/>
      <c r="G45" s="51" t="n"/>
      <c r="H45" s="51" t="n"/>
    </row>
    <row r="46" ht="15" customHeight="1" s="489">
      <c r="A46" s="3" t="n"/>
      <c r="B46" s="49" t="n"/>
      <c r="C46" s="50" t="n"/>
      <c r="D46" s="51" t="n"/>
      <c r="E46" s="51" t="n"/>
      <c r="F46" s="51" t="n"/>
      <c r="G46" s="51" t="n"/>
      <c r="H46" s="51" t="n"/>
    </row>
    <row r="47" ht="15" customHeight="1" s="489">
      <c r="A47" s="3" t="n"/>
      <c r="B47" s="17" t="inlineStr">
        <is>
          <t>Accounts Payable</t>
        </is>
      </c>
      <c r="C47" s="40" t="inlineStr">
        <is>
          <t>($M)</t>
        </is>
      </c>
      <c r="D47" s="210" t="n"/>
      <c r="E47" s="210" t="n">
        <v>41346</v>
      </c>
      <c r="F47" s="210" t="n">
        <v>41335</v>
      </c>
      <c r="G47" s="210" t="n">
        <v>39932</v>
      </c>
      <c r="H47" s="210" t="n">
        <v>38065</v>
      </c>
    </row>
    <row r="48" ht="15" customHeight="1" s="489">
      <c r="A48" s="3" t="n"/>
      <c r="B48" s="17" t="inlineStr">
        <is>
          <t>Short-Term Debt</t>
        </is>
      </c>
      <c r="C48" s="40" t="inlineStr">
        <is>
          <t>($M)</t>
        </is>
      </c>
      <c r="D48" s="210" t="n"/>
      <c r="E48" s="210" t="n">
        <v>14065</v>
      </c>
      <c r="F48" s="210" t="n">
        <v>7869</v>
      </c>
      <c r="G48" s="210" t="n">
        <v>7929</v>
      </c>
      <c r="H48" s="210" t="n">
        <v>10162</v>
      </c>
    </row>
    <row r="49" ht="15" customHeight="1" s="489">
      <c r="A49" s="3" t="n"/>
      <c r="B49" s="17" t="inlineStr">
        <is>
          <t>Income Tax Payable</t>
        </is>
      </c>
      <c r="C49" s="40" t="inlineStr">
        <is>
          <t>($M)</t>
        </is>
      </c>
      <c r="D49" s="210" t="n"/>
      <c r="E49" s="210" t="n">
        <v>14780</v>
      </c>
      <c r="F49" s="210" t="n">
        <v>13974</v>
      </c>
      <c r="G49" s="210" t="n">
        <v>12561</v>
      </c>
      <c r="H49" s="210" t="n">
        <v>10427</v>
      </c>
    </row>
    <row r="50" ht="15" customHeight="1" s="489">
      <c r="A50" s="3" t="n"/>
      <c r="B50" s="17" t="inlineStr">
        <is>
          <t>Other Current Liabilities</t>
        </is>
      </c>
      <c r="C50" s="40" t="inlineStr">
        <is>
          <t>($M)</t>
        </is>
      </c>
      <c r="D50" s="212" t="n"/>
      <c r="E50" s="212" t="n">
        <v>35841</v>
      </c>
      <c r="F50" s="212" t="n">
        <v>21070</v>
      </c>
      <c r="G50" s="212" t="n">
        <v>22285</v>
      </c>
      <c r="H50" s="212" t="n">
        <v>27890</v>
      </c>
    </row>
    <row r="51" ht="15" customHeight="1" s="489">
      <c r="A51" s="3" t="n"/>
      <c r="B51" s="49" t="inlineStr">
        <is>
          <t>Total Current Liabilities</t>
        </is>
      </c>
      <c r="C51" s="50" t="inlineStr">
        <is>
          <t>($M)</t>
        </is>
      </c>
      <c r="D51" s="217">
        <f>SUM(D47:D50)</f>
        <v/>
      </c>
      <c r="E51" s="217">
        <f>SUM(E47:E50)</f>
        <v/>
      </c>
      <c r="F51" s="217">
        <f>SUM(F47:F50)</f>
        <v/>
      </c>
      <c r="G51" s="217">
        <f>SUM(G47:G50)</f>
        <v/>
      </c>
      <c r="H51" s="217">
        <f>SUM(H47:H50)</f>
        <v/>
      </c>
    </row>
    <row r="52" ht="15" customHeight="1" s="489">
      <c r="A52" s="3" t="n"/>
      <c r="B52" s="49" t="n"/>
      <c r="C52" s="50" t="n"/>
      <c r="D52" s="51" t="n"/>
      <c r="E52" s="51" t="n"/>
      <c r="F52" s="51" t="n"/>
      <c r="G52" s="51" t="n"/>
      <c r="H52" s="51" t="n"/>
    </row>
    <row r="53" ht="15" customHeight="1" s="489">
      <c r="A53" s="3" t="n"/>
      <c r="B53" s="49" t="n"/>
      <c r="C53" s="50" t="n"/>
      <c r="D53" s="51" t="n"/>
      <c r="E53" s="51" t="n"/>
      <c r="F53" s="51" t="n"/>
      <c r="G53" s="51" t="n"/>
      <c r="H53" s="51" t="n"/>
    </row>
    <row r="54" ht="15" customHeight="1" s="489">
      <c r="A54" s="3" t="n"/>
      <c r="B54" s="17" t="inlineStr">
        <is>
          <t>Long-Term Debt</t>
        </is>
      </c>
      <c r="C54" s="40" t="inlineStr">
        <is>
          <t>($M)</t>
        </is>
      </c>
      <c r="D54" s="212" t="n"/>
      <c r="E54" s="212" t="n">
        <v>41518</v>
      </c>
      <c r="F54" s="212" t="n">
        <v>38280</v>
      </c>
      <c r="G54" s="212" t="n">
        <v>41220</v>
      </c>
      <c r="H54" s="212" t="n">
        <v>48033</v>
      </c>
    </row>
    <row r="55" ht="15" customHeight="1" s="489">
      <c r="A55" s="3" t="n"/>
      <c r="B55" s="52" t="inlineStr">
        <is>
          <t>Total Liabilities</t>
        </is>
      </c>
      <c r="C55" s="50" t="inlineStr">
        <is>
          <t>($M)</t>
        </is>
      </c>
      <c r="D55" s="217">
        <f>D51+D54</f>
        <v/>
      </c>
      <c r="E55" s="217">
        <f>E51+E54</f>
        <v/>
      </c>
      <c r="F55" s="217">
        <f>F51+F54</f>
        <v/>
      </c>
      <c r="G55" s="217">
        <f>G51+G54</f>
        <v/>
      </c>
      <c r="H55" s="217">
        <f>H51+H54</f>
        <v/>
      </c>
    </row>
    <row r="56" ht="15" customHeight="1" s="489">
      <c r="A56" s="3" t="n"/>
      <c r="B56" s="52" t="n"/>
      <c r="C56" s="50" t="n"/>
      <c r="D56" s="51" t="n"/>
      <c r="E56" s="51" t="n"/>
      <c r="F56" s="51" t="n"/>
      <c r="G56" s="51" t="n"/>
      <c r="H56" s="51" t="n"/>
    </row>
    <row r="57" ht="15" customHeight="1" s="489">
      <c r="A57" s="3" t="n"/>
      <c r="B57" s="52" t="n"/>
      <c r="C57" s="50" t="n"/>
      <c r="D57" s="51" t="n"/>
      <c r="E57" s="51" t="n"/>
      <c r="F57" s="51" t="n"/>
      <c r="G57" s="51" t="n"/>
      <c r="H57" s="51" t="n"/>
    </row>
    <row r="58" ht="15" customHeight="1" s="489">
      <c r="A58" s="3" t="n"/>
      <c r="B58" s="17" t="inlineStr">
        <is>
          <t>Common Equity (Paid-In Capital)</t>
        </is>
      </c>
      <c r="C58" s="40" t="inlineStr">
        <is>
          <t>($M)</t>
        </is>
      </c>
      <c r="D58" s="210" t="n"/>
      <c r="E58" s="210" t="n">
        <v>132114</v>
      </c>
      <c r="F58" s="210" t="n">
        <v>134473</v>
      </c>
      <c r="G58" s="210" t="n">
        <v>143073</v>
      </c>
      <c r="H58" s="210" t="n">
        <v>132919</v>
      </c>
    </row>
    <row r="59" ht="15" customHeight="1" s="489">
      <c r="A59" s="3" t="n"/>
      <c r="B59" s="17" t="inlineStr">
        <is>
          <t>Retained Earnings</t>
        </is>
      </c>
      <c r="C59" s="40" t="inlineStr">
        <is>
          <t>($M)</t>
        </is>
      </c>
      <c r="D59" s="219" t="n"/>
      <c r="E59" s="219" t="n">
        <v>12885</v>
      </c>
      <c r="F59" s="219" t="n">
        <v>27882</v>
      </c>
      <c r="G59" s="219" t="n">
        <v>35209</v>
      </c>
      <c r="H59" s="219" t="n">
        <v>39003</v>
      </c>
    </row>
    <row r="60" ht="15" customHeight="1" s="489">
      <c r="A60" s="3" t="n"/>
      <c r="B60" s="52" t="inlineStr">
        <is>
          <t>Total Shareholders Equity</t>
        </is>
      </c>
      <c r="C60" s="50" t="inlineStr">
        <is>
          <t>($M)</t>
        </is>
      </c>
      <c r="D60" s="217">
        <f>D58+D59</f>
        <v/>
      </c>
      <c r="E60" s="217">
        <f>E58+E59</f>
        <v/>
      </c>
      <c r="F60" s="217">
        <f>F58+F59</f>
        <v/>
      </c>
      <c r="G60" s="217">
        <f>G58+G59</f>
        <v/>
      </c>
      <c r="H60" s="217">
        <f>H58+H59</f>
        <v/>
      </c>
    </row>
    <row r="61" ht="15" customHeight="1" s="489">
      <c r="A61" s="3" t="n"/>
      <c r="B61" s="52" t="n"/>
      <c r="C61" s="50" t="n"/>
      <c r="D61" s="51" t="n"/>
      <c r="E61" s="51" t="n"/>
      <c r="F61" s="51" t="n"/>
      <c r="G61" s="51" t="n"/>
      <c r="H61" s="51" t="n"/>
    </row>
    <row r="62" ht="15" customHeight="1" s="489">
      <c r="A62" s="3" t="n"/>
      <c r="B62" s="52" t="n"/>
      <c r="C62" s="50" t="n"/>
      <c r="D62" s="51" t="n"/>
      <c r="E62" s="51" t="n"/>
      <c r="F62" s="51" t="n"/>
      <c r="G62" s="51" t="n"/>
      <c r="H62" s="51" t="n"/>
    </row>
    <row r="63" ht="15" customHeight="1" s="489" thickBot="1">
      <c r="A63" s="3" t="n"/>
      <c r="B63" s="52" t="inlineStr">
        <is>
          <t>Total Liabilities &amp; Equity</t>
        </is>
      </c>
      <c r="C63" s="50" t="inlineStr">
        <is>
          <t>($M)</t>
        </is>
      </c>
      <c r="D63" s="218">
        <f>D55+D60</f>
        <v/>
      </c>
      <c r="E63" s="218">
        <f>E55+E60</f>
        <v/>
      </c>
      <c r="F63" s="218">
        <f>F55+F60</f>
        <v/>
      </c>
      <c r="G63" s="218">
        <f>G55+G60</f>
        <v/>
      </c>
      <c r="H63" s="218">
        <f>H55+H60</f>
        <v/>
      </c>
    </row>
    <row r="64" ht="15" customHeight="1" s="489">
      <c r="A64" s="3" t="n"/>
      <c r="B64" s="52" t="n"/>
      <c r="C64" s="50" t="n"/>
      <c r="D64" s="51" t="n"/>
      <c r="E64" s="51" t="n"/>
      <c r="F64" s="51" t="n"/>
      <c r="G64" s="51" t="n"/>
      <c r="H64" s="51" t="n"/>
    </row>
    <row r="65" ht="15" customHeight="1" s="489">
      <c r="A65" s="3" t="n"/>
      <c r="B65" s="52" t="n"/>
      <c r="C65" s="50" t="n"/>
      <c r="D65" s="51" t="n"/>
      <c r="E65" s="51" t="n"/>
      <c r="F65" s="51" t="n"/>
      <c r="G65" s="51" t="n"/>
      <c r="H65" s="51" t="n"/>
    </row>
    <row r="66" ht="15" customHeight="1" s="489">
      <c r="A66" s="3" t="n"/>
      <c r="B66" s="14" t="n"/>
      <c r="C66" s="9" t="n"/>
      <c r="D66" s="41" t="n"/>
      <c r="E66" s="41" t="n"/>
      <c r="F66" s="41" t="n"/>
      <c r="G66" s="41" t="n"/>
      <c r="H66" s="41" t="n"/>
    </row>
    <row r="67" ht="18" customHeight="1" s="489">
      <c r="A67" s="474" t="n"/>
      <c r="B67" s="47" t="inlineStr">
        <is>
          <t>CASH FLOW STATEMENT</t>
        </is>
      </c>
      <c r="C67" s="42" t="n"/>
      <c r="D67" s="7" t="n"/>
      <c r="E67" s="43" t="n"/>
      <c r="F67" s="43" t="n"/>
      <c r="G67" s="43" t="n"/>
      <c r="H67" s="43" t="n"/>
    </row>
    <row r="68" ht="18" customHeight="1" s="489">
      <c r="A68" s="474" t="n"/>
      <c r="B68" s="105" t="n"/>
      <c r="C68" s="104" t="n"/>
      <c r="D68" s="106" t="n"/>
      <c r="E68" s="106" t="n"/>
      <c r="F68" s="106" t="n"/>
      <c r="G68" s="106" t="n"/>
      <c r="H68" s="106" t="n"/>
    </row>
    <row r="69" ht="15" customHeight="1" s="489">
      <c r="A69" s="3" t="n"/>
      <c r="B69" s="17" t="inlineStr">
        <is>
          <t>Net Income</t>
        </is>
      </c>
      <c r="C69" s="40" t="inlineStr">
        <is>
          <t>($M)</t>
        </is>
      </c>
      <c r="D69" s="213">
        <f>D26</f>
        <v/>
      </c>
      <c r="E69" s="213">
        <f>E26</f>
        <v/>
      </c>
      <c r="F69" s="213">
        <f>F26</f>
        <v/>
      </c>
      <c r="G69" s="213">
        <f>G26</f>
        <v/>
      </c>
      <c r="H69" s="213">
        <f>H26</f>
        <v/>
      </c>
    </row>
    <row r="70" ht="15" customHeight="1" s="489">
      <c r="A70" s="3" t="n"/>
      <c r="B70" s="17" t="inlineStr">
        <is>
          <t>Depreciation &amp; Amortization</t>
        </is>
      </c>
      <c r="C70" s="40" t="inlineStr">
        <is>
          <t>($M)</t>
        </is>
      </c>
      <c r="D70" s="213">
        <f>-D16</f>
        <v/>
      </c>
      <c r="E70" s="213">
        <f>-E16</f>
        <v/>
      </c>
      <c r="F70" s="213">
        <f>-F16</f>
        <v/>
      </c>
      <c r="G70" s="213">
        <f>-G16</f>
        <v/>
      </c>
      <c r="H70" s="213">
        <f>-H16</f>
        <v/>
      </c>
    </row>
    <row r="71" ht="15" customHeight="1" s="489">
      <c r="A71" s="3" t="n"/>
      <c r="B71" s="17" t="inlineStr">
        <is>
          <t>Change in Accounts Receivable</t>
        </is>
      </c>
      <c r="C71" s="40" t="inlineStr">
        <is>
          <t>($M)</t>
        </is>
      </c>
      <c r="D71" s="210" t="n"/>
      <c r="E71" s="210" t="n">
        <v>-3272</v>
      </c>
      <c r="F71" s="210" t="n">
        <v>306</v>
      </c>
      <c r="G71" s="210" t="n">
        <v>3884</v>
      </c>
      <c r="H71" s="210" t="n">
        <v>1406</v>
      </c>
    </row>
    <row r="72" ht="15" customHeight="1" s="489">
      <c r="A72" s="3" t="n"/>
      <c r="B72" s="17" t="inlineStr">
        <is>
          <t>Change in Inventories</t>
        </is>
      </c>
      <c r="C72" s="40" t="inlineStr">
        <is>
          <t>($M)</t>
        </is>
      </c>
      <c r="D72" s="210" t="n"/>
      <c r="E72" s="210" t="n">
        <v>-3805</v>
      </c>
      <c r="F72" s="210" t="n">
        <v>3159</v>
      </c>
      <c r="G72" s="210" t="n">
        <v>-203</v>
      </c>
      <c r="H72" s="210" t="n">
        <v>2848</v>
      </c>
    </row>
    <row r="73" ht="15" customHeight="1" s="489">
      <c r="A73" s="3" t="n"/>
      <c r="B73" s="17" t="inlineStr">
        <is>
          <t>Change in Accounts Payable</t>
        </is>
      </c>
      <c r="C73" s="40" t="inlineStr">
        <is>
          <t>($M)</t>
        </is>
      </c>
      <c r="D73" s="210" t="n"/>
      <c r="E73" s="210" t="n">
        <v>11791</v>
      </c>
      <c r="F73" s="210" t="n">
        <v>-12234</v>
      </c>
      <c r="G73" s="210" t="n">
        <v>2239</v>
      </c>
      <c r="H73" s="210" t="n">
        <v>-6236</v>
      </c>
    </row>
    <row r="74" ht="15" customHeight="1" s="489">
      <c r="A74" s="3" t="n"/>
      <c r="B74" s="17" t="inlineStr">
        <is>
          <t>Other Working Capital Changes</t>
        </is>
      </c>
      <c r="C74" s="40" t="inlineStr">
        <is>
          <t>($M)</t>
        </is>
      </c>
      <c r="D74" s="210" t="n"/>
      <c r="E74" s="210" t="n">
        <v>432</v>
      </c>
      <c r="F74" s="210" t="n">
        <v>1250</v>
      </c>
      <c r="G74" s="210" t="n">
        <v>535</v>
      </c>
      <c r="H74" s="210" t="n">
        <v>422</v>
      </c>
    </row>
    <row r="75" ht="15" customHeight="1" s="489" thickBot="1">
      <c r="A75" s="3" t="n"/>
      <c r="B75" s="49" t="inlineStr">
        <is>
          <t>Cash from Operating Activities</t>
        </is>
      </c>
      <c r="C75" s="50" t="inlineStr">
        <is>
          <t>($M)</t>
        </is>
      </c>
      <c r="D75" s="218">
        <f>SUM(D69:D74)</f>
        <v/>
      </c>
      <c r="E75" s="218">
        <f>SUM(E69:E74)</f>
        <v/>
      </c>
      <c r="F75" s="218">
        <f>SUM(F69:F74)</f>
        <v/>
      </c>
      <c r="G75" s="218">
        <f>SUM(G69:G74)</f>
        <v/>
      </c>
      <c r="H75" s="218">
        <f>SUM(H69:H74)</f>
        <v/>
      </c>
    </row>
    <row r="76" ht="15" customHeight="1" s="489">
      <c r="A76" s="3" t="n"/>
      <c r="B76" s="49" t="n"/>
      <c r="C76" s="50" t="n"/>
      <c r="D76" s="51" t="n"/>
      <c r="E76" s="51" t="n"/>
      <c r="F76" s="51" t="n"/>
      <c r="G76" s="51" t="n"/>
      <c r="H76" s="51" t="n"/>
    </row>
    <row r="77" ht="15" customHeight="1" s="489">
      <c r="A77" s="3" t="n"/>
      <c r="B77" s="49" t="n"/>
      <c r="C77" s="50" t="n"/>
      <c r="D77" s="51" t="n"/>
      <c r="E77" s="51" t="n"/>
      <c r="F77" s="51" t="n"/>
      <c r="G77" s="51" t="n"/>
      <c r="H77" s="51" t="n"/>
    </row>
    <row r="78" ht="15" customHeight="1" s="489">
      <c r="A78" s="3" t="n"/>
      <c r="B78" s="17" t="inlineStr">
        <is>
          <t>Capital Expenditures (CapEx)</t>
        </is>
      </c>
      <c r="C78" s="40" t="inlineStr">
        <is>
          <t>($M)</t>
        </is>
      </c>
      <c r="D78" s="210" t="n"/>
      <c r="E78" s="210" t="n">
        <v>-15690</v>
      </c>
      <c r="F78" s="210" t="n">
        <v>-17722</v>
      </c>
      <c r="G78" s="210" t="n">
        <v>-14909</v>
      </c>
      <c r="H78" s="210" t="n">
        <v>-16953</v>
      </c>
    </row>
    <row r="79" ht="15" customHeight="1" s="489">
      <c r="A79" s="3" t="n"/>
      <c r="B79" s="17" t="inlineStr">
        <is>
          <t>Other Investing Activities</t>
        </is>
      </c>
      <c r="C79" s="40" t="inlineStr">
        <is>
          <t>($M)</t>
        </is>
      </c>
      <c r="D79" s="210" t="n"/>
      <c r="E79" s="210" t="n">
        <v>577</v>
      </c>
      <c r="F79" s="210" t="n">
        <v>490</v>
      </c>
      <c r="G79" s="210" t="n">
        <v>347</v>
      </c>
      <c r="H79" s="210" t="n">
        <v>329</v>
      </c>
    </row>
    <row r="80" ht="15" customHeight="1" s="489" thickBot="1">
      <c r="A80" s="3" t="n"/>
      <c r="B80" s="52" t="inlineStr">
        <is>
          <t>Cash from Investing Activities</t>
        </is>
      </c>
      <c r="C80" s="50" t="inlineStr">
        <is>
          <t>($M)</t>
        </is>
      </c>
      <c r="D80" s="218">
        <f>SUM(D78:D79)</f>
        <v/>
      </c>
      <c r="E80" s="218">
        <f>SUM(E78:E79)</f>
        <v/>
      </c>
      <c r="F80" s="218">
        <f>SUM(F78:F79)</f>
        <v/>
      </c>
      <c r="G80" s="218">
        <f>SUM(G78:G79)</f>
        <v/>
      </c>
      <c r="H80" s="218">
        <f>SUM(H78:H79)</f>
        <v/>
      </c>
    </row>
    <row r="81" ht="15" customHeight="1" s="489">
      <c r="A81" s="3" t="n"/>
      <c r="B81" s="52" t="n"/>
      <c r="C81" s="50" t="n"/>
      <c r="D81" s="51" t="n"/>
      <c r="E81" s="51" t="n"/>
      <c r="F81" s="51" t="n"/>
      <c r="G81" s="51" t="n"/>
      <c r="H81" s="51" t="n"/>
    </row>
    <row r="82" ht="15" customHeight="1" s="489">
      <c r="A82" s="3" t="n"/>
      <c r="B82" s="52" t="n"/>
      <c r="C82" s="50" t="n"/>
      <c r="D82" s="51" t="n"/>
      <c r="E82" s="51" t="n"/>
      <c r="F82" s="51" t="n"/>
      <c r="G82" s="51" t="n"/>
      <c r="H82" s="51" t="n"/>
    </row>
    <row r="83" ht="15" customHeight="1" s="489">
      <c r="A83" s="3" t="n"/>
      <c r="B83" s="17" t="inlineStr">
        <is>
          <t>Change in Long-Term Debt</t>
        </is>
      </c>
      <c r="C83" s="40" t="inlineStr">
        <is>
          <t>($M)</t>
        </is>
      </c>
      <c r="D83" s="210" t="n"/>
      <c r="E83" s="210" t="n">
        <v>1148</v>
      </c>
      <c r="F83" s="210" t="n">
        <v>189</v>
      </c>
      <c r="G83" s="210" t="n">
        <v>7563</v>
      </c>
      <c r="H83" s="210" t="n">
        <v>8163</v>
      </c>
    </row>
    <row r="84" ht="15" customHeight="1" s="489">
      <c r="A84" s="3" t="n"/>
      <c r="B84" s="17" t="inlineStr">
        <is>
          <t>Change in Common Equity</t>
        </is>
      </c>
      <c r="C84" s="40" t="inlineStr">
        <is>
          <t>($M)</t>
        </is>
      </c>
      <c r="D84" s="210" t="n"/>
      <c r="E84" s="210" t="n">
        <v>370</v>
      </c>
      <c r="F84" s="210" t="n">
        <v>383</v>
      </c>
      <c r="G84" s="210" t="n">
        <v>521</v>
      </c>
      <c r="H84" s="210" t="n">
        <v>492</v>
      </c>
    </row>
    <row r="85" ht="15" customHeight="1" s="489">
      <c r="A85" s="3" t="n"/>
      <c r="B85" s="17" t="inlineStr">
        <is>
          <t>Dividends Paid</t>
        </is>
      </c>
      <c r="C85" s="40" t="inlineStr">
        <is>
          <t>($M)</t>
        </is>
      </c>
      <c r="D85" s="210" t="n"/>
      <c r="E85" s="210" t="n">
        <v>-7711</v>
      </c>
      <c r="F85" s="210" t="n">
        <v>-9167</v>
      </c>
      <c r="G85" s="210" t="n">
        <v>-7995</v>
      </c>
      <c r="H85" s="210" t="n">
        <v>-7714</v>
      </c>
    </row>
    <row r="86" ht="15" customHeight="1" s="489" thickBot="1">
      <c r="A86" s="3" t="n"/>
      <c r="B86" s="49" t="inlineStr">
        <is>
          <t>Cash from Financing Activities</t>
        </is>
      </c>
      <c r="C86" s="50" t="inlineStr">
        <is>
          <t>($M)</t>
        </is>
      </c>
      <c r="D86" s="218">
        <f>SUM(D83:D85)</f>
        <v/>
      </c>
      <c r="E86" s="218">
        <f>SUM(E83:E85)</f>
        <v/>
      </c>
      <c r="F86" s="218">
        <f>SUM(F83:F85)</f>
        <v/>
      </c>
      <c r="G86" s="218">
        <f>SUM(G83:G85)</f>
        <v/>
      </c>
      <c r="H86" s="218">
        <f>SUM(H83:H85)</f>
        <v/>
      </c>
    </row>
    <row r="87" ht="15" customHeight="1" s="489">
      <c r="A87" s="3" t="n"/>
      <c r="B87" s="49" t="n"/>
      <c r="C87" s="50" t="n"/>
      <c r="D87" s="51" t="n"/>
      <c r="E87" s="51" t="n"/>
      <c r="F87" s="51" t="n"/>
      <c r="G87" s="51" t="n"/>
      <c r="H87" s="51" t="n"/>
    </row>
    <row r="88" ht="15" customHeight="1" s="489">
      <c r="A88" s="3" t="n"/>
      <c r="B88" s="49" t="n"/>
      <c r="C88" s="50" t="n"/>
      <c r="D88" s="51" t="n"/>
      <c r="E88" s="51" t="n"/>
      <c r="F88" s="51" t="n"/>
      <c r="G88" s="51" t="n"/>
      <c r="H88" s="51" t="n"/>
    </row>
    <row r="89" ht="15" customHeight="1" s="489">
      <c r="A89" s="3" t="n"/>
      <c r="B89" s="52" t="inlineStr">
        <is>
          <t>Net Change in Cash</t>
        </is>
      </c>
      <c r="C89" s="50" t="inlineStr">
        <is>
          <t>($M)</t>
        </is>
      </c>
      <c r="D89" s="217">
        <f>D75+D80+D86</f>
        <v/>
      </c>
      <c r="E89" s="217">
        <f>E75+E80+E86</f>
        <v/>
      </c>
      <c r="F89" s="217">
        <f>F75+F80+F86</f>
        <v/>
      </c>
      <c r="G89" s="217">
        <f>G75+G80+G86</f>
        <v/>
      </c>
      <c r="H89" s="217">
        <f>H75+H80+H86</f>
        <v/>
      </c>
    </row>
    <row r="90" ht="15" customHeight="1" s="489">
      <c r="A90" s="3" t="n"/>
      <c r="B90" s="17" t="inlineStr">
        <is>
          <t>Beginning Cash Balance</t>
        </is>
      </c>
      <c r="C90" s="40" t="inlineStr">
        <is>
          <t>($M)</t>
        </is>
      </c>
      <c r="D90" s="210" t="n"/>
      <c r="E90" s="210" t="n">
        <v>21342</v>
      </c>
      <c r="F90" s="210" t="n">
        <v>33026</v>
      </c>
      <c r="G90" s="210" t="n">
        <v>27263</v>
      </c>
      <c r="H90" s="210" t="n">
        <v>25844</v>
      </c>
    </row>
    <row r="91" ht="15" customHeight="1" s="489" thickBot="1">
      <c r="A91" s="3" t="n"/>
      <c r="B91" s="52" t="inlineStr">
        <is>
          <t>Ending Cash Balance</t>
        </is>
      </c>
      <c r="C91" s="50" t="inlineStr">
        <is>
          <t>($M)</t>
        </is>
      </c>
      <c r="D91" s="218">
        <f>D90+D89</f>
        <v/>
      </c>
      <c r="E91" s="218">
        <f>E90+E89</f>
        <v/>
      </c>
      <c r="F91" s="218">
        <f>F90+F89</f>
        <v/>
      </c>
      <c r="G91" s="218">
        <f>G90+G89</f>
        <v/>
      </c>
      <c r="H91" s="218">
        <f>H90+H89</f>
        <v/>
      </c>
    </row>
    <row r="92" ht="15" customHeight="1" s="489">
      <c r="A92" s="3" t="n"/>
      <c r="B92" s="14" t="n"/>
      <c r="C92" s="9" t="n"/>
      <c r="D92" s="41" t="n"/>
      <c r="E92" s="41" t="n"/>
      <c r="F92" s="41" t="n"/>
      <c r="G92" s="41" t="n"/>
      <c r="H92" s="41" t="n"/>
    </row>
    <row r="93" ht="18" customHeight="1" s="489">
      <c r="A93" s="474" t="n"/>
      <c r="B93" s="47" t="inlineStr">
        <is>
          <t>MARKET &amp; VALUATION DATA</t>
        </is>
      </c>
      <c r="C93" s="42" t="n"/>
      <c r="D93" s="7" t="n"/>
      <c r="E93" s="43" t="n"/>
      <c r="F93" s="43" t="n"/>
      <c r="G93" s="43" t="n"/>
      <c r="H93" s="43" t="n"/>
    </row>
    <row r="94" ht="18" customHeight="1" s="489">
      <c r="A94" s="474" t="n"/>
      <c r="B94" s="105" t="n"/>
      <c r="C94" s="104" t="n"/>
      <c r="D94" s="106" t="n"/>
      <c r="E94" s="106" t="n"/>
      <c r="F94" s="106" t="n"/>
      <c r="G94" s="106" t="n"/>
      <c r="H94" s="106" t="n"/>
    </row>
    <row r="95" ht="15" customHeight="1" s="489">
      <c r="A95" s="3" t="n"/>
      <c r="B95" s="17" t="inlineStr">
        <is>
          <t>Share Price</t>
        </is>
      </c>
      <c r="C95" s="40" t="inlineStr">
        <is>
          <t>($)</t>
        </is>
      </c>
      <c r="D95" s="210" t="n"/>
      <c r="E95" s="210" t="n">
        <v>130</v>
      </c>
      <c r="F95" s="210" t="n">
        <v>175</v>
      </c>
      <c r="G95" s="210" t="n">
        <v>226</v>
      </c>
      <c r="H95" s="210" t="n">
        <v>77.69</v>
      </c>
    </row>
    <row r="96" ht="15" customHeight="1" s="489">
      <c r="A96" s="3" t="n"/>
      <c r="B96" s="17" t="inlineStr">
        <is>
          <t>Shares Outstanding (Diluted)</t>
        </is>
      </c>
      <c r="C96" s="40" t="inlineStr">
        <is>
          <t>(M)</t>
        </is>
      </c>
      <c r="D96" s="214" t="n"/>
      <c r="E96" s="214" t="n">
        <v>16215</v>
      </c>
      <c r="F96" s="214" t="n">
        <v>15813</v>
      </c>
      <c r="G96" s="214" t="n">
        <v>15408</v>
      </c>
      <c r="H96" s="214" t="n">
        <v>2133.12</v>
      </c>
    </row>
    <row r="97" ht="15" customHeight="1" s="489">
      <c r="A97" s="3" t="n"/>
      <c r="B97" s="17" t="inlineStr">
        <is>
          <t>Market Capitalization</t>
        </is>
      </c>
      <c r="C97" s="40" t="inlineStr">
        <is>
          <t>($M)</t>
        </is>
      </c>
      <c r="D97" s="217">
        <f>D95*D96</f>
        <v/>
      </c>
      <c r="E97" s="217">
        <f>E95*E96</f>
        <v/>
      </c>
      <c r="F97" s="217">
        <f>F95*F96</f>
        <v/>
      </c>
      <c r="G97" s="217">
        <f>G95*G96</f>
        <v/>
      </c>
      <c r="H97" s="217">
        <f>H95*H96</f>
        <v/>
      </c>
    </row>
    <row r="98" ht="15" customHeight="1" s="489">
      <c r="A98" s="3" t="n"/>
      <c r="B98" s="14" t="inlineStr">
        <is>
          <t>Enterprise Value (EV)</t>
        </is>
      </c>
      <c r="C98" s="40" t="inlineStr">
        <is>
          <t>($M)</t>
        </is>
      </c>
      <c r="D98" s="217">
        <f>D97+D54+D48-D34</f>
        <v/>
      </c>
      <c r="E98" s="217">
        <f>E97+E54+E48-E34</f>
        <v/>
      </c>
      <c r="F98" s="217">
        <f>F97+F54+F48-F34</f>
        <v/>
      </c>
      <c r="G98" s="217">
        <f>G97+G54+G48-G34</f>
        <v/>
      </c>
      <c r="H98" s="217">
        <f>H97+H54+H48-H34</f>
        <v/>
      </c>
    </row>
    <row r="99" ht="15" customHeight="1" s="489">
      <c r="A99" s="3" t="n"/>
      <c r="B99" s="17" t="inlineStr">
        <is>
          <t>Beta (Levered)</t>
        </is>
      </c>
      <c r="C99" s="40" t="inlineStr">
        <is>
          <t>(x)</t>
        </is>
      </c>
      <c r="D99" s="210" t="n"/>
      <c r="E99" s="367" t="n"/>
      <c r="F99" s="367" t="n"/>
      <c r="G99" s="367" t="n"/>
      <c r="H99" s="368" t="n">
        <v>1</v>
      </c>
    </row>
    <row r="100" ht="15" customHeight="1" s="489">
      <c r="A100" s="3" t="n"/>
      <c r="B100" s="17" t="inlineStr">
        <is>
          <t>Risk-Free Rate</t>
        </is>
      </c>
      <c r="C100" s="40" t="inlineStr">
        <is>
          <t>(%)</t>
        </is>
      </c>
      <c r="D100" s="210" t="n"/>
      <c r="E100" s="518" t="n"/>
      <c r="F100" s="518" t="n"/>
      <c r="G100" s="518" t="n"/>
      <c r="H100" s="370" t="n">
        <v>0.0426</v>
      </c>
    </row>
    <row r="101" ht="15" customHeight="1" s="489">
      <c r="A101" s="3" t="n"/>
      <c r="B101" s="17" t="inlineStr">
        <is>
          <t>Equity Risk Premium (ERP)</t>
        </is>
      </c>
      <c r="C101" s="40" t="inlineStr">
        <is>
          <t>(%)</t>
        </is>
      </c>
      <c r="D101" s="210" t="n"/>
      <c r="E101" s="518" t="n"/>
      <c r="F101" s="518" t="n"/>
      <c r="G101" s="518" t="n"/>
      <c r="H101" s="370" t="n">
        <v>0.055</v>
      </c>
    </row>
    <row r="102" ht="15" customHeight="1" s="489">
      <c r="A102" s="3" t="n"/>
      <c r="B102" s="17" t="inlineStr">
        <is>
          <t>Cost of Equity (CAPM)</t>
        </is>
      </c>
      <c r="C102" s="40" t="inlineStr">
        <is>
          <t>(%)</t>
        </is>
      </c>
      <c r="D102" s="213" t="n">
        <v>0.1083</v>
      </c>
      <c r="E102" s="371" t="n">
        <v>0.1083</v>
      </c>
      <c r="F102" s="371" t="n">
        <v>0.1063</v>
      </c>
      <c r="G102" s="371" t="n">
        <v>0.1063</v>
      </c>
      <c r="H102" s="371" t="n">
        <v>0.1063</v>
      </c>
    </row>
    <row r="103" ht="15" customHeight="1" s="489">
      <c r="A103" s="3" t="n"/>
      <c r="B103" s="17" t="inlineStr">
        <is>
          <t>Cost of Debt (Pre-Tax)</t>
        </is>
      </c>
      <c r="C103" s="40" t="inlineStr">
        <is>
          <t>(%)</t>
        </is>
      </c>
      <c r="D103" s="210" t="n"/>
      <c r="E103" s="370" t="n"/>
      <c r="F103" s="370" t="n"/>
      <c r="G103" s="370" t="n"/>
      <c r="H103" s="370" t="n">
        <v>0.044</v>
      </c>
    </row>
    <row r="104" ht="15" customHeight="1" s="489">
      <c r="A104" s="3" t="n"/>
      <c r="B104" s="17" t="inlineStr">
        <is>
          <t>Tax Rate</t>
        </is>
      </c>
      <c r="C104" s="40" t="inlineStr">
        <is>
          <t>(%)</t>
        </is>
      </c>
      <c r="D104" s="210" t="n"/>
      <c r="E104" s="519" t="n">
        <v>0.4</v>
      </c>
      <c r="F104" s="519" t="n">
        <v>0.3835</v>
      </c>
      <c r="G104" s="519" t="n">
        <v>0.4</v>
      </c>
      <c r="H104" s="370" t="n">
        <v>0.3858</v>
      </c>
    </row>
    <row r="105" ht="15" customHeight="1" s="489">
      <c r="A105" s="3" t="n"/>
      <c r="B105" s="17" t="inlineStr">
        <is>
          <t>After-Tax Cost of Debt</t>
        </is>
      </c>
      <c r="C105" s="40" t="inlineStr">
        <is>
          <t>(%)</t>
        </is>
      </c>
      <c r="D105" s="213" t="n">
        <v>0.0379</v>
      </c>
      <c r="E105" s="371" t="n">
        <v>0.0379</v>
      </c>
      <c r="F105" s="371" t="n">
        <v>0.0363</v>
      </c>
      <c r="G105" s="371" t="n">
        <v>0.0363</v>
      </c>
      <c r="H105" s="371" t="n">
        <v>0.0363</v>
      </c>
    </row>
    <row r="106" ht="15" customHeight="1" s="489">
      <c r="A106" s="3" t="n"/>
      <c r="B106" s="17" t="inlineStr">
        <is>
          <t>Weight of Equity (%)</t>
        </is>
      </c>
      <c r="C106" s="40" t="inlineStr">
        <is>
          <t>(%)</t>
        </is>
      </c>
      <c r="D106" s="210" t="n"/>
      <c r="E106" s="518" t="n"/>
      <c r="F106" s="518" t="n"/>
      <c r="G106" s="518" t="n"/>
      <c r="H106" s="370" t="n">
        <v>0.7401</v>
      </c>
    </row>
    <row r="107" ht="15" customHeight="1" s="489">
      <c r="A107" s="3" t="n"/>
      <c r="B107" s="17" t="inlineStr">
        <is>
          <t>Weight of Debt (%)</t>
        </is>
      </c>
      <c r="C107" s="40" t="inlineStr">
        <is>
          <t>(%)</t>
        </is>
      </c>
      <c r="D107" s="210" t="n"/>
      <c r="E107" s="518" t="n"/>
      <c r="F107" s="518" t="n"/>
      <c r="G107" s="518" t="n"/>
      <c r="H107" s="370" t="n">
        <v>0.2599</v>
      </c>
    </row>
    <row r="108" ht="15" customHeight="1" s="489">
      <c r="A108" s="3" t="n"/>
      <c r="B108" s="14" t="inlineStr">
        <is>
          <t>WACC</t>
        </is>
      </c>
      <c r="C108" s="40" t="inlineStr">
        <is>
          <t>(%)</t>
        </is>
      </c>
      <c r="D108" s="210">
        <f>D106*(D100+D99*D101)+D107*D103*(1-D104)</f>
        <v/>
      </c>
      <c r="E108" s="518" t="n"/>
      <c r="F108" s="518" t="n"/>
      <c r="G108" s="518" t="n"/>
      <c r="H108" s="370">
        <f>H106*(H100+H99*H101)+H107*H103*(1-H104)</f>
        <v/>
      </c>
    </row>
    <row r="109" ht="15" customHeight="1" s="489">
      <c r="A109" s="3" t="n"/>
      <c r="B109" s="17" t="inlineStr">
        <is>
          <t>Terminal Growth Rate</t>
        </is>
      </c>
      <c r="C109" s="40" t="inlineStr">
        <is>
          <t>(%)</t>
        </is>
      </c>
      <c r="D109" s="210" t="n"/>
      <c r="E109" s="518" t="n"/>
      <c r="F109" s="518" t="n"/>
      <c r="G109" s="518" t="n"/>
      <c r="H109" s="370" t="n">
        <v>0.025</v>
      </c>
    </row>
    <row r="110" ht="15" customHeight="1" s="489">
      <c r="A110" s="3" t="n"/>
      <c r="B110" s="17" t="inlineStr">
        <is>
          <t>Days in Period</t>
        </is>
      </c>
      <c r="C110" s="40" t="inlineStr">
        <is>
          <t>(days)</t>
        </is>
      </c>
      <c r="D110" s="210" t="n"/>
      <c r="E110" s="366" t="n"/>
      <c r="F110" s="366" t="n"/>
      <c r="G110" s="366" t="n"/>
      <c r="H110" s="210" t="n">
        <v>365</v>
      </c>
    </row>
    <row r="111" ht="15" customHeight="1" s="489">
      <c r="A111" s="3" t="n"/>
      <c r="B111" s="14" t="n"/>
      <c r="C111" s="9" t="n"/>
      <c r="D111" s="41" t="n"/>
      <c r="E111" s="41" t="n"/>
      <c r="F111" s="41" t="n"/>
      <c r="G111" s="41" t="n"/>
      <c r="H111" s="41" t="n"/>
    </row>
    <row r="112" ht="18" customHeight="1" s="489">
      <c r="A112" s="474" t="n"/>
      <c r="B112" s="47" t="inlineStr">
        <is>
          <t>COMPANY INFORMATION</t>
        </is>
      </c>
      <c r="C112" s="42" t="n"/>
      <c r="D112" s="7" t="n"/>
      <c r="E112" s="43" t="n"/>
      <c r="F112" s="43" t="n"/>
      <c r="G112" s="43" t="n"/>
      <c r="H112" s="43" t="n"/>
    </row>
    <row r="113" ht="18" customHeight="1" s="489">
      <c r="A113" s="474" t="n"/>
      <c r="B113" s="105" t="n"/>
      <c r="C113" s="104" t="n"/>
      <c r="D113" s="106" t="n"/>
      <c r="E113" s="106" t="n"/>
      <c r="F113" s="106" t="n"/>
      <c r="G113" s="106" t="n"/>
      <c r="H113" s="106" t="n"/>
    </row>
    <row r="114" ht="15" customHeight="1" s="489">
      <c r="A114" s="3" t="n"/>
      <c r="B114" s="14" t="inlineStr">
        <is>
          <t>Company Name</t>
        </is>
      </c>
      <c r="C114" s="40" t="inlineStr">
        <is>
          <t>(text)</t>
        </is>
      </c>
      <c r="D114" s="210" t="inlineStr">
        <is>
          <t>TTE.PA</t>
        </is>
      </c>
      <c r="E114" s="41" t="n"/>
      <c r="F114" s="41" t="n"/>
      <c r="G114" s="41" t="n"/>
      <c r="H114" s="41" t="n"/>
    </row>
    <row r="115" ht="15" customHeight="1" s="489">
      <c r="A115" s="3" t="n"/>
      <c r="B115" s="14" t="inlineStr">
        <is>
          <t>Ticker Symbol</t>
        </is>
      </c>
      <c r="C115" s="40" t="inlineStr">
        <is>
          <t>(text)</t>
        </is>
      </c>
      <c r="D115" s="210" t="inlineStr">
        <is>
          <t>TTE.PA</t>
        </is>
      </c>
      <c r="E115" s="41" t="n"/>
      <c r="F115" s="41" t="n"/>
      <c r="G115" s="41" t="n"/>
      <c r="H115" s="41" t="n"/>
    </row>
    <row r="116" ht="15" customHeight="1" s="489">
      <c r="A116" s="3" t="n"/>
      <c r="B116" s="14" t="inlineStr">
        <is>
          <t>Sector / Industry</t>
        </is>
      </c>
      <c r="C116" s="40" t="inlineStr">
        <is>
          <t>(text)</t>
        </is>
      </c>
      <c r="D116" s="440" t="inlineStr">
        <is>
          <t>Energie / Oil &amp; Gas</t>
        </is>
      </c>
      <c r="E116" s="41" t="n"/>
      <c r="F116" s="41" t="n"/>
      <c r="G116" s="41" t="n"/>
      <c r="H116" s="41" t="n"/>
    </row>
    <row r="117" ht="15" customHeight="1" s="489">
      <c r="A117" s="3" t="n"/>
      <c r="B117" s="70" t="inlineStr">
        <is>
          <t>Base Year (LTM)</t>
        </is>
      </c>
      <c r="C117" s="40" t="inlineStr">
        <is>
          <t>(text)</t>
        </is>
      </c>
      <c r="D117" s="77" t="n">
        <v>2025</v>
      </c>
      <c r="E117" s="41" t="n"/>
      <c r="F117" s="41" t="n"/>
      <c r="G117" s="41" t="n"/>
      <c r="H117" s="41" t="n"/>
    </row>
    <row r="118" ht="15" customHeight="1" s="489">
      <c r="A118" s="3" t="n"/>
      <c r="B118" s="14" t="inlineStr">
        <is>
          <t>Currency</t>
        </is>
      </c>
      <c r="C118" s="40" t="inlineStr">
        <is>
          <t>(text)</t>
        </is>
      </c>
      <c r="D118" s="210" t="inlineStr">
        <is>
          <t>USD</t>
        </is>
      </c>
      <c r="E118" s="41" t="n"/>
      <c r="F118" s="41" t="n"/>
      <c r="G118" s="41" t="n"/>
      <c r="H118" s="41" t="n"/>
    </row>
    <row r="119" ht="15" customHeight="1" s="489">
      <c r="A119" s="3" t="n"/>
      <c r="B119" s="14" t="inlineStr">
        <is>
          <t>Units</t>
        </is>
      </c>
      <c r="C119" s="40" t="inlineStr">
        <is>
          <t>(text)</t>
        </is>
      </c>
      <c r="D119" s="210" t="inlineStr">
        <is>
          <t>M</t>
        </is>
      </c>
      <c r="E119" s="41" t="n"/>
      <c r="F119" s="41" t="n"/>
      <c r="G119" s="41" t="n"/>
      <c r="H119" s="41" t="n"/>
    </row>
    <row r="120" ht="15" customHeight="1" s="489">
      <c r="A120" s="3" t="n"/>
      <c r="B120" s="14" t="inlineStr">
        <is>
          <t>Analysis Date</t>
        </is>
      </c>
      <c r="C120" s="40" t="inlineStr">
        <is>
          <t>(text)</t>
        </is>
      </c>
      <c r="D120" s="215" t="inlineStr">
        <is>
          <t>2026-04-15</t>
        </is>
      </c>
      <c r="E120" s="216" t="n"/>
      <c r="F120" s="216" t="n"/>
      <c r="G120" s="216" t="n"/>
      <c r="H120" s="216" t="n"/>
    </row>
    <row r="121" ht="15" customHeight="1" s="489">
      <c r="A121" s="3" t="n"/>
      <c r="B121" s="14" t="n"/>
      <c r="C121" s="9" t="n"/>
      <c r="D121" s="41" t="n"/>
      <c r="E121" s="41" t="n"/>
      <c r="F121" s="41" t="n"/>
      <c r="G121" s="41" t="n"/>
      <c r="H121" s="41" t="n"/>
    </row>
    <row r="122" ht="15" customHeight="1" s="489">
      <c r="A122" s="3" t="n"/>
      <c r="B122" s="48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 s="489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 s="489">
      <c r="A124" s="200" t="n"/>
      <c r="B124" s="31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 s="489">
      <c r="A125" s="200" t="n"/>
      <c r="B125" s="31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 s="489">
      <c r="A126" s="200" t="n"/>
      <c r="B126" s="31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 s="489">
      <c r="B127" s="45" t="n"/>
    </row>
    <row r="128" ht="3" customHeight="1" s="489">
      <c r="A128" s="295" t="n"/>
      <c r="B128" s="296" t="n"/>
      <c r="C128" s="295" t="n"/>
      <c r="D128" s="297">
        <f>IF(COUNTA(D9,D10,D14,D15,D16,D20,D21,D25)=8,1,0)+IF(COUNTA(E9,E10,E14,E15,E16,E20,E21,E25)=8,1,0)+IF(COUNTA(F9,F10,F14,F15,F16,F20,F21,F25)=8,1,0)+IF(COUNTA(G9,G10,G14,G15,G16,G20,G21,G25)=8,1,0)</f>
        <v/>
      </c>
      <c r="E128" s="297" t="n"/>
      <c r="F128" s="297">
        <f>IF(D9&lt;&gt;"",1,0)+IF(E9&lt;&gt;"",1,0)+IF(F9&lt;&gt;"",1,0)+IF(G9&lt;&gt;"",1,0)+IF(H9&lt;&gt;"",1,0)</f>
        <v/>
      </c>
      <c r="G128" s="297">
        <f>IF(NOT(ISBLANK(H9)),F128,IF(NOT(ISBLANK(G9)),F128,IF(NOT(ISBLANK(F9)),F128,IF(NOT(ISBLANK(E9)),F128,IF(NOT(ISBLANK(D9)),F128,0)))))</f>
        <v/>
      </c>
      <c r="H128" s="297" t="n"/>
      <c r="I128" s="295" t="n"/>
      <c r="J128" s="295" t="n"/>
      <c r="K128" s="295" t="n"/>
    </row>
    <row r="129" ht="15" customHeight="1" s="489">
      <c r="B129" s="45" t="n"/>
    </row>
    <row r="130" ht="15" customHeight="1" s="489">
      <c r="B130" s="45" t="n"/>
    </row>
    <row r="131" ht="15" customHeight="1" s="489">
      <c r="B131" s="45" t="n"/>
    </row>
    <row r="132" ht="15" customHeight="1" s="489">
      <c r="B132" s="45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 s="489">
      <c r="B133" s="45" t="n"/>
    </row>
    <row r="134" ht="15" customHeight="1" s="489">
      <c r="B134" s="45" t="n"/>
    </row>
    <row r="135" ht="15" customHeight="1" s="489">
      <c r="B135" s="45" t="n"/>
    </row>
    <row r="136" ht="15" customHeight="1" s="489">
      <c r="B136" s="45" t="n"/>
    </row>
    <row r="137" ht="15" customHeight="1" s="489">
      <c r="B137" s="45" t="n"/>
    </row>
    <row r="138" ht="15" customHeight="1" s="489">
      <c r="B138" s="45" t="n"/>
    </row>
    <row r="139" ht="15" customHeight="1" s="489">
      <c r="B139" s="45" t="n"/>
    </row>
    <row r="140" ht="15" customHeight="1" s="489">
      <c r="B140" s="45" t="n"/>
    </row>
    <row r="141" ht="15" customHeight="1" s="489">
      <c r="B141" s="45" t="n"/>
    </row>
    <row r="142" ht="15" customHeight="1" s="489">
      <c r="B142" s="45" t="n"/>
    </row>
    <row r="143" ht="15" customHeight="1" s="489">
      <c r="B143" s="45" t="n"/>
    </row>
    <row r="144" ht="15" customHeight="1" s="489">
      <c r="B144" s="45" t="n"/>
    </row>
    <row r="145" ht="15" customHeight="1" s="489">
      <c r="B145" s="45" t="n"/>
    </row>
    <row r="146" ht="15" customHeight="1" s="489">
      <c r="B146" s="45" t="n"/>
    </row>
    <row r="147" ht="15" customHeight="1" s="489">
      <c r="B147" s="45" t="n"/>
    </row>
    <row r="148" ht="15" customHeight="1" s="489">
      <c r="B148" s="45" t="n"/>
    </row>
    <row r="149" ht="15" customHeight="1" s="489">
      <c r="B149" s="45" t="n"/>
    </row>
    <row r="150" ht="15" customHeight="1" s="489">
      <c r="B150" s="45" t="n"/>
    </row>
    <row r="151" ht="15" customHeight="1" s="489">
      <c r="B151" s="45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disablePrompts="1"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5"/>
  <sheetViews>
    <sheetView showGridLines="0" zoomScale="65" workbookViewId="0">
      <selection activeCell="C1" sqref="C1"/>
    </sheetView>
  </sheetViews>
  <sheetFormatPr baseColWidth="10" defaultRowHeight="14.4"/>
  <cols>
    <col width="4.5546875" customWidth="1" style="185" min="1" max="1"/>
    <col width="49.5546875" customWidth="1" style="19" min="2" max="2"/>
    <col width="12.33203125" customWidth="1" style="489" min="3" max="3"/>
    <col width="13.33203125" customWidth="1" style="21" min="4" max="8"/>
  </cols>
  <sheetData>
    <row r="1" ht="54.9" customHeight="1" s="489">
      <c r="A1" s="181" t="n"/>
      <c r="B1" s="96" t="inlineStr">
        <is>
          <t>FinSight</t>
        </is>
      </c>
      <c r="C1" s="5" t="n"/>
      <c r="D1" s="5" t="n"/>
      <c r="E1" s="29" t="n"/>
      <c r="F1" s="29" t="n"/>
      <c r="G1" s="29" t="n"/>
      <c r="H1" s="95" t="inlineStr">
        <is>
          <t>RATIOS — Financial Ratio Analysis</t>
        </is>
      </c>
    </row>
    <row r="2" ht="15" customHeight="1" s="489">
      <c r="A2" s="182" t="n"/>
      <c r="B2" s="14" t="n"/>
      <c r="C2" s="3" t="n"/>
      <c r="D2" s="526" t="n"/>
      <c r="E2" s="22" t="n"/>
      <c r="F2" s="22" t="n"/>
      <c r="G2" s="22" t="n"/>
      <c r="H2" s="22" t="n"/>
    </row>
    <row r="3" ht="18" customHeight="1" s="489">
      <c r="A3" s="183" t="n"/>
      <c r="B3" s="15" t="inlineStr">
        <is>
          <t>RATIOS</t>
        </is>
      </c>
      <c r="C3" s="7" t="n"/>
      <c r="D3" s="401" t="n"/>
      <c r="E3" s="23" t="n"/>
      <c r="F3" s="23" t="n"/>
      <c r="G3" s="23" t="n"/>
      <c r="H3" s="23" t="n"/>
    </row>
    <row r="4" ht="15" customHeight="1" s="489">
      <c r="A4" s="182" t="n"/>
      <c r="B4" s="13" t="n"/>
      <c r="C4" s="3" t="n"/>
      <c r="D4" s="526" t="n"/>
      <c r="E4" s="22" t="n"/>
      <c r="F4" s="22" t="n"/>
      <c r="G4" s="22" t="n"/>
      <c r="H4" s="22" t="n"/>
    </row>
    <row r="5" ht="15" customHeight="1" s="489">
      <c r="A5" s="184" t="inlineStr">
        <is>
          <t xml:space="preserve"> </t>
        </is>
      </c>
      <c r="B5" s="16" t="inlineStr">
        <is>
          <t>Year</t>
        </is>
      </c>
      <c r="C5" s="16" t="n"/>
      <c r="D5" s="402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 s="489">
      <c r="A6" s="182" t="n"/>
      <c r="B6" s="14" t="n"/>
      <c r="C6" s="3" t="n"/>
      <c r="D6" s="526" t="n"/>
      <c r="E6" s="22" t="n"/>
      <c r="F6" s="22" t="n"/>
      <c r="G6" s="22" t="n"/>
      <c r="H6" s="22" t="n"/>
    </row>
    <row r="7" ht="18" customHeight="1" s="489">
      <c r="A7" s="183" t="inlineStr">
        <is>
          <t xml:space="preserve"> </t>
        </is>
      </c>
      <c r="B7" s="427" t="inlineStr">
        <is>
          <t>RATIOS DE VALORISATION — UTILITY</t>
        </is>
      </c>
      <c r="C7" s="7" t="n"/>
      <c r="D7" s="401" t="n"/>
      <c r="E7" s="23" t="n"/>
      <c r="F7" s="23" t="n"/>
      <c r="G7" s="23" t="n"/>
      <c r="H7" s="23" t="n"/>
    </row>
    <row r="8" ht="18" customHeight="1" s="489">
      <c r="A8" s="183" t="n"/>
      <c r="B8" s="102" t="n"/>
      <c r="C8" s="474" t="n"/>
      <c r="D8" s="403" t="n"/>
      <c r="E8" s="101" t="n"/>
      <c r="F8" s="101" t="n"/>
      <c r="G8" s="101" t="n"/>
      <c r="H8" s="101" t="n"/>
    </row>
    <row r="9" ht="15" customHeight="1" s="489">
      <c r="A9" s="182" t="n"/>
      <c r="B9" s="422" t="inlineStr">
        <is>
          <t>EV/EBITDA</t>
        </is>
      </c>
      <c r="C9" s="417" t="n"/>
      <c r="D9" s="545" t="inlineStr">
        <is>
          <t>–</t>
        </is>
      </c>
      <c r="E9" s="546" t="inlineStr">
        <is>
          <t>–</t>
        </is>
      </c>
      <c r="F9" s="546" t="inlineStr">
        <is>
          <t>–</t>
        </is>
      </c>
      <c r="G9" s="546" t="inlineStr">
        <is>
          <t>–</t>
        </is>
      </c>
      <c r="H9" s="547">
        <f>IFERROR(INPUT!H98/INPUT!H30,"–")</f>
        <v/>
      </c>
    </row>
    <row r="10" ht="15" customHeight="1" s="489">
      <c r="A10" s="182" t="n"/>
      <c r="B10" s="422" t="inlineStr">
        <is>
          <t>P/E (Price / Earnings)</t>
        </is>
      </c>
      <c r="C10" s="417" t="n"/>
      <c r="D10" s="545" t="inlineStr">
        <is>
          <t>–</t>
        </is>
      </c>
      <c r="E10" s="546" t="inlineStr">
        <is>
          <t>–</t>
        </is>
      </c>
      <c r="F10" s="546" t="inlineStr">
        <is>
          <t>–</t>
        </is>
      </c>
      <c r="G10" s="546" t="inlineStr">
        <is>
          <t>–</t>
        </is>
      </c>
      <c r="H10" s="547">
        <f>IFERROR(INPUT!H97/INPUT!H26,"–")</f>
        <v/>
      </c>
    </row>
    <row r="11" ht="15" customHeight="1" s="489">
      <c r="A11" s="182" t="n"/>
      <c r="B11" s="422" t="inlineStr">
        <is>
          <t>EV / Revenue</t>
        </is>
      </c>
      <c r="C11" s="417" t="n"/>
      <c r="D11" s="545" t="inlineStr">
        <is>
          <t>–</t>
        </is>
      </c>
      <c r="E11" s="546" t="inlineStr">
        <is>
          <t>–</t>
        </is>
      </c>
      <c r="F11" s="546" t="inlineStr">
        <is>
          <t>–</t>
        </is>
      </c>
      <c r="G11" s="546" t="inlineStr">
        <is>
          <t>–</t>
        </is>
      </c>
      <c r="H11" s="547">
        <f>IFERROR(INPUT!H98/INPUT!H9,"–")</f>
        <v/>
      </c>
    </row>
    <row r="12" ht="15" customHeight="1" s="489">
      <c r="A12" s="182" t="n"/>
      <c r="B12" s="422" t="inlineStr">
        <is>
          <t>Price / Earnings (P/E)</t>
        </is>
      </c>
      <c r="C12" s="417" t="n"/>
      <c r="D12" s="545" t="inlineStr">
        <is>
          <t>–</t>
        </is>
      </c>
      <c r="E12" s="546" t="inlineStr">
        <is>
          <t>–</t>
        </is>
      </c>
      <c r="F12" s="546" t="inlineStr">
        <is>
          <t>–</t>
        </is>
      </c>
      <c r="G12" s="546" t="inlineStr">
        <is>
          <t>–</t>
        </is>
      </c>
      <c r="H12" s="547">
        <f>IFERROR(INPUT!H95/(INPUT!H26/INPUT!H96),"–")</f>
        <v/>
      </c>
    </row>
    <row r="13" ht="15" customHeight="1" s="489">
      <c r="A13" s="182" t="n"/>
      <c r="B13" s="422" t="inlineStr">
        <is>
          <t>EV / RAB (Regulated Asset Base)</t>
        </is>
      </c>
      <c r="C13" s="417" t="n"/>
      <c r="D13" s="548" t="inlineStr">
        <is>
          <t>–</t>
        </is>
      </c>
      <c r="E13" s="549" t="inlineStr">
        <is>
          <t>–</t>
        </is>
      </c>
      <c r="F13" s="549" t="inlineStr">
        <is>
          <t>–</t>
        </is>
      </c>
      <c r="G13" s="549" t="inlineStr">
        <is>
          <t>–</t>
        </is>
      </c>
      <c r="H13" s="549" t="inlineStr">
        <is>
          <t>n.d. — source régulateur</t>
        </is>
      </c>
    </row>
    <row r="14" ht="15" customHeight="1" s="489">
      <c r="A14" s="182" t="n"/>
      <c r="B14" s="422" t="inlineStr">
        <is>
          <t>Dividend Yield</t>
        </is>
      </c>
      <c r="C14" s="417" t="n"/>
      <c r="D14" s="548" t="inlineStr">
        <is>
          <t>–</t>
        </is>
      </c>
      <c r="E14" s="549" t="inlineStr">
        <is>
          <t>–</t>
        </is>
      </c>
      <c r="F14" s="549" t="inlineStr">
        <is>
          <t>–</t>
        </is>
      </c>
      <c r="G14" s="549" t="inlineStr">
        <is>
          <t>–</t>
        </is>
      </c>
      <c r="H14" s="549" t="inlineStr"/>
    </row>
    <row r="15" ht="15" customHeight="1" s="489">
      <c r="A15" s="182" t="n"/>
      <c r="B15" s="422" t="inlineStr">
        <is>
          <t>FCF Yield @ current strip</t>
        </is>
      </c>
      <c r="C15" s="417" t="n"/>
      <c r="D15" s="550" t="inlineStr">
        <is>
          <t>–</t>
        </is>
      </c>
      <c r="E15" s="551">
        <f>IFERROR((INPUT!E75+INPUT!E80)/INPUT!E97,"–")</f>
        <v/>
      </c>
      <c r="F15" s="551">
        <f>IFERROR((INPUT!F75+INPUT!F80)/INPUT!F97,"–")</f>
        <v/>
      </c>
      <c r="G15" s="551">
        <f>IFERROR((INPUT!G75+INPUT!G80)/INPUT!G97,"–")</f>
        <v/>
      </c>
      <c r="H15" s="551">
        <f>IFERROR((INPUT!H75+INPUT!H80)/INPUT!H97,"–")</f>
        <v/>
      </c>
    </row>
    <row r="16" ht="15" customHeight="1" s="489">
      <c r="A16" s="182" t="n"/>
      <c r="B16" s="28" t="n"/>
      <c r="C16" s="9" t="n"/>
      <c r="D16" s="526" t="n"/>
      <c r="E16" s="30" t="n"/>
      <c r="F16" s="30" t="n"/>
      <c r="G16" s="30" t="n"/>
      <c r="H16" s="30" t="n"/>
    </row>
    <row r="17" ht="18" customHeight="1" s="489">
      <c r="A17" s="183" t="inlineStr">
        <is>
          <t xml:space="preserve"> </t>
        </is>
      </c>
      <c r="B17" s="47" t="inlineStr">
        <is>
          <t>PROFITABILITY RATIOS</t>
        </is>
      </c>
      <c r="C17" s="42" t="n"/>
      <c r="D17" s="401" t="n"/>
      <c r="E17" s="23" t="n"/>
      <c r="F17" s="23" t="n"/>
      <c r="G17" s="23" t="n"/>
      <c r="H17" s="23" t="n"/>
    </row>
    <row r="18" ht="18" customHeight="1" s="489">
      <c r="A18" s="183" t="n"/>
      <c r="B18" s="105" t="n"/>
      <c r="C18" s="104" t="n"/>
      <c r="D18" s="403" t="n"/>
      <c r="E18" s="101" t="n"/>
      <c r="F18" s="101" t="n"/>
      <c r="G18" s="101" t="n"/>
      <c r="H18" s="101" t="n"/>
    </row>
    <row r="19" ht="15" customHeight="1" s="489">
      <c r="A19" s="182" t="n"/>
      <c r="B19" s="27" t="inlineStr">
        <is>
          <t>Gross Profit Margin</t>
        </is>
      </c>
      <c r="C19" s="9" t="n"/>
      <c r="D19" s="550">
        <f>IFERROR(INPUT!D11/INPUT!D9,"–")</f>
        <v/>
      </c>
      <c r="E19" s="552">
        <f>IFERROR(INPUT!E11/INPUT!E9,"–")</f>
        <v/>
      </c>
      <c r="F19" s="552">
        <f>IFERROR(INPUT!F11/INPUT!F9,"–")</f>
        <v/>
      </c>
      <c r="G19" s="552">
        <f>IFERROR(INPUT!G11/INPUT!G9,"–")</f>
        <v/>
      </c>
      <c r="H19" s="552">
        <f>IFERROR(INPUT!H11/INPUT!H9,"–")</f>
        <v/>
      </c>
    </row>
    <row r="20" ht="15" customHeight="1" s="489">
      <c r="A20" s="182" t="n"/>
      <c r="B20" s="66" t="inlineStr">
        <is>
          <t>EBITDA Margin</t>
        </is>
      </c>
      <c r="C20" s="9" t="n"/>
      <c r="D20" s="550">
        <f>IFERROR(INPUT!D30/INPUT!D9,"–")</f>
        <v/>
      </c>
      <c r="E20" s="552">
        <f>IFERROR(INPUT!E30/INPUT!E9,"–")</f>
        <v/>
      </c>
      <c r="F20" s="552">
        <f>IFERROR(INPUT!F30/INPUT!F9,"–")</f>
        <v/>
      </c>
      <c r="G20" s="552">
        <f>IFERROR(INPUT!G30/INPUT!G9,"–")</f>
        <v/>
      </c>
      <c r="H20" s="552">
        <f>IFERROR(INPUT!H30/INPUT!H9,"–")</f>
        <v/>
      </c>
    </row>
    <row r="21" ht="15" customHeight="1" s="489">
      <c r="A21" s="182" t="n"/>
      <c r="B21" s="27" t="inlineStr">
        <is>
          <t>EBIT (Operating) Margin</t>
        </is>
      </c>
      <c r="C21" s="9" t="n"/>
      <c r="D21" s="550">
        <f>IFERROR(INPUT!D17/INPUT!D9,"–")</f>
        <v/>
      </c>
      <c r="E21" s="552">
        <f>IFERROR(INPUT!E17/INPUT!E9,"–")</f>
        <v/>
      </c>
      <c r="F21" s="552">
        <f>IFERROR(INPUT!F17/INPUT!F9,"–")</f>
        <v/>
      </c>
      <c r="G21" s="552">
        <f>IFERROR(INPUT!G17/INPUT!G9,"–")</f>
        <v/>
      </c>
      <c r="H21" s="552">
        <f>IFERROR(INPUT!H17/INPUT!H9,"–")</f>
        <v/>
      </c>
    </row>
    <row r="22" ht="15" customHeight="1" s="489">
      <c r="A22" s="182" t="n"/>
      <c r="B22" s="27" t="inlineStr">
        <is>
          <t>Net Profit Margin</t>
        </is>
      </c>
      <c r="C22" s="9" t="n"/>
      <c r="D22" s="550">
        <f>IFERROR(INPUT!D26/INPUT!D9,"–")</f>
        <v/>
      </c>
      <c r="E22" s="552">
        <f>IFERROR(INPUT!E26/INPUT!E9,"–")</f>
        <v/>
      </c>
      <c r="F22" s="552">
        <f>IFERROR(INPUT!F26/INPUT!F9,"–")</f>
        <v/>
      </c>
      <c r="G22" s="552">
        <f>IFERROR(INPUT!G26/INPUT!G9,"–")</f>
        <v/>
      </c>
      <c r="H22" s="552">
        <f>IFERROR(INPUT!H26/INPUT!H9,"–")</f>
        <v/>
      </c>
    </row>
    <row r="23" ht="15" customHeight="1" s="489">
      <c r="A23" s="182" t="n"/>
      <c r="B23" s="27" t="inlineStr">
        <is>
          <t>Return on Equity (ROE)</t>
        </is>
      </c>
      <c r="C23" s="9" t="n"/>
      <c r="D23" s="550">
        <f>IFERROR(INPUT!D26/INPUT!D60,"–")</f>
        <v/>
      </c>
      <c r="E23" s="552">
        <f>IFERROR(INPUT!E26/INPUT!E60,"–")</f>
        <v/>
      </c>
      <c r="F23" s="552">
        <f>IFERROR(INPUT!F26/INPUT!F60,"–")</f>
        <v/>
      </c>
      <c r="G23" s="552">
        <f>IFERROR(INPUT!G26/INPUT!G60,"–")</f>
        <v/>
      </c>
      <c r="H23" s="552">
        <f>IFERROR(INPUT!H26/INPUT!H60,"–")</f>
        <v/>
      </c>
    </row>
    <row r="24" ht="15" customHeight="1" s="489">
      <c r="A24" s="182" t="n"/>
      <c r="B24" s="27" t="inlineStr">
        <is>
          <t>Return on Assets (ROA)</t>
        </is>
      </c>
      <c r="C24" s="9" t="n"/>
      <c r="D24" s="550">
        <f>IFERROR(INPUT!D26/INPUT!D44,"–")</f>
        <v/>
      </c>
      <c r="E24" s="552">
        <f>IFERROR(INPUT!E26/INPUT!E44,"–")</f>
        <v/>
      </c>
      <c r="F24" s="552">
        <f>IFERROR(INPUT!F26/INPUT!F44,"–")</f>
        <v/>
      </c>
      <c r="G24" s="552">
        <f>IFERROR(INPUT!G26/INPUT!G44,"–")</f>
        <v/>
      </c>
      <c r="H24" s="552">
        <f>IFERROR(INPUT!H26/INPUT!H44,"–")</f>
        <v/>
      </c>
    </row>
    <row r="25" ht="15" customHeight="1" s="489">
      <c r="A25" s="182" t="n"/>
      <c r="B25" s="27" t="inlineStr">
        <is>
          <t>Return on Invested Capital (ROIC)</t>
        </is>
      </c>
      <c r="C25" s="9" t="n"/>
      <c r="D25" s="550">
        <f>IFERROR(INPUT!D17*(1-INPUT!D104)/(INPUT!D58+INPUT!D59),"–")</f>
        <v/>
      </c>
      <c r="E25" s="553">
        <f>IFERROR(INPUT!E17*(1-INPUT!E104)/(INPUT!E58+INPUT!E59),"–")</f>
        <v/>
      </c>
      <c r="F25" s="553">
        <f>IFERROR(INPUT!F17*(1-INPUT!F104)/(INPUT!F58+INPUT!F59),"–")</f>
        <v/>
      </c>
      <c r="G25" s="553">
        <f>IFERROR(INPUT!G17*(1-INPUT!G104)/(INPUT!G58+INPUT!G59),"–")</f>
        <v/>
      </c>
      <c r="H25" s="553">
        <f>IFERROR(INPUT!H17*(1-INPUT!H104)/(INPUT!H58+INPUT!H59),"–")</f>
        <v/>
      </c>
    </row>
    <row r="26" ht="15" customHeight="1" s="489">
      <c r="A26" s="182" t="n"/>
      <c r="B26" s="28" t="n"/>
      <c r="C26" s="9" t="n"/>
      <c r="D26" s="526" t="n"/>
      <c r="E26" s="30" t="n"/>
      <c r="F26" s="30" t="n"/>
      <c r="G26" s="30" t="n"/>
      <c r="H26" s="30" t="n"/>
    </row>
    <row r="27" ht="18" customHeight="1" s="489">
      <c r="A27" s="183" t="inlineStr">
        <is>
          <t xml:space="preserve"> </t>
        </is>
      </c>
      <c r="B27" s="47" t="inlineStr">
        <is>
          <t>LIQUIDITY &amp; SOLVENCY RATIOS</t>
        </is>
      </c>
      <c r="C27" s="42" t="n"/>
      <c r="D27" s="401" t="n"/>
      <c r="E27" s="23" t="n"/>
      <c r="F27" s="23" t="n"/>
      <c r="G27" s="23" t="n"/>
      <c r="H27" s="23" t="n"/>
    </row>
    <row r="28" ht="18" customHeight="1" s="489">
      <c r="A28" s="183" t="n"/>
      <c r="B28" s="105" t="n"/>
      <c r="C28" s="104" t="n"/>
      <c r="D28" s="403" t="n"/>
      <c r="E28" s="101" t="n"/>
      <c r="F28" s="101" t="n"/>
      <c r="G28" s="101" t="n"/>
      <c r="H28" s="101" t="n"/>
    </row>
    <row r="29" ht="15" customHeight="1" s="489">
      <c r="A29" s="182" t="n"/>
      <c r="B29" s="27" t="inlineStr">
        <is>
          <t>Current Ratio</t>
        </is>
      </c>
      <c r="C29" s="9" t="n"/>
      <c r="D29" s="545">
        <f>IFERROR(INPUT!D38/INPUT!D51,"–")</f>
        <v/>
      </c>
      <c r="E29" s="554">
        <f>IFERROR(INPUT!E38/INPUT!E51,"–")</f>
        <v/>
      </c>
      <c r="F29" s="554">
        <f>IFERROR(INPUT!F38/INPUT!F51,"–")</f>
        <v/>
      </c>
      <c r="G29" s="554">
        <f>IFERROR(INPUT!G38/INPUT!G51,"–")</f>
        <v/>
      </c>
      <c r="H29" s="554">
        <f>IFERROR(INPUT!H38/INPUT!H51,"–")</f>
        <v/>
      </c>
    </row>
    <row r="30" ht="15" customHeight="1" s="489">
      <c r="A30" s="182" t="n"/>
      <c r="B30" s="27" t="inlineStr">
        <is>
          <t>Quick Ratio</t>
        </is>
      </c>
      <c r="C30" s="9" t="n"/>
      <c r="D30" s="545">
        <f>IFERROR((INPUT!D38-INPUT!D36)/INPUT!D51,"–")</f>
        <v/>
      </c>
      <c r="E30" s="554">
        <f>IFERROR((INPUT!E38-INPUT!E36)/INPUT!E51,"–")</f>
        <v/>
      </c>
      <c r="F30" s="554">
        <f>IFERROR((INPUT!F38-INPUT!F36)/INPUT!F51,"–")</f>
        <v/>
      </c>
      <c r="G30" s="554">
        <f>IFERROR((INPUT!G38-INPUT!G36)/INPUT!G51,"–")</f>
        <v/>
      </c>
      <c r="H30" s="554">
        <f>IFERROR((INPUT!H38-INPUT!H36)/INPUT!H51,"–")</f>
        <v/>
      </c>
    </row>
    <row r="31" ht="15" customHeight="1" s="489">
      <c r="A31" s="182" t="n"/>
      <c r="B31" s="27" t="inlineStr">
        <is>
          <t>Cash Ratio</t>
        </is>
      </c>
      <c r="C31" s="9" t="n"/>
      <c r="D31" s="545">
        <f>IFERROR(INPUT!D34/INPUT!D51,"–")</f>
        <v/>
      </c>
      <c r="E31" s="554">
        <f>IFERROR(INPUT!E34/INPUT!E51,"–")</f>
        <v/>
      </c>
      <c r="F31" s="554">
        <f>IFERROR(INPUT!F34/INPUT!F51,"–")</f>
        <v/>
      </c>
      <c r="G31" s="554">
        <f>IFERROR(INPUT!G34/INPUT!G51,"–")</f>
        <v/>
      </c>
      <c r="H31" s="554">
        <f>IFERROR(INPUT!H34/INPUT!H51,"–")</f>
        <v/>
      </c>
    </row>
    <row r="32" ht="15" customHeight="1" s="489">
      <c r="A32" s="182" t="n"/>
      <c r="B32" s="27" t="inlineStr">
        <is>
          <t>Debt / Equity Ratio</t>
        </is>
      </c>
      <c r="C32" s="9" t="n"/>
      <c r="D32" s="545">
        <f>IFERROR((INPUT!D49+INPUT!D55)/INPUT!D60,"–")</f>
        <v/>
      </c>
      <c r="E32" s="554">
        <f>IFERROR((INPUT!E49+INPUT!E55)/INPUT!E60,"–")</f>
        <v/>
      </c>
      <c r="F32" s="554">
        <f>IFERROR((INPUT!F49+INPUT!F55)/INPUT!F60,"–")</f>
        <v/>
      </c>
      <c r="G32" s="554">
        <f>IFERROR((INPUT!G49+INPUT!G55)/INPUT!G60,"–")</f>
        <v/>
      </c>
      <c r="H32" s="554">
        <f>IFERROR((INPUT!H49+INPUT!H55)/INPUT!H60,"–")</f>
        <v/>
      </c>
    </row>
    <row r="33" ht="15" customHeight="1" s="489">
      <c r="A33" s="182" t="n"/>
      <c r="B33" s="27" t="inlineStr">
        <is>
          <t>Net Debt / EBITDA</t>
        </is>
      </c>
      <c r="C33" s="9" t="n"/>
      <c r="D33" s="545">
        <f>IFERROR((INPUT!D49+INPUT!D55-INPUT!D34)/INPUT!D30,"–")</f>
        <v/>
      </c>
      <c r="E33" s="554">
        <f>IFERROR((INPUT!E49+INPUT!E55-INPUT!E34)/INPUT!E30,"–")</f>
        <v/>
      </c>
      <c r="F33" s="554">
        <f>IFERROR((INPUT!F49+INPUT!F55-INPUT!F34)/INPUT!F30,"–")</f>
        <v/>
      </c>
      <c r="G33" s="554">
        <f>IFERROR((INPUT!G49+INPUT!G55-INPUT!G34)/INPUT!G30,"–")</f>
        <v/>
      </c>
      <c r="H33" s="554">
        <f>IFERROR((INPUT!H49+INPUT!H55-INPUT!H34)/INPUT!H30,"–")</f>
        <v/>
      </c>
    </row>
    <row r="34" ht="15" customHeight="1" s="489">
      <c r="A34" s="182" t="n"/>
      <c r="B34" s="27" t="inlineStr">
        <is>
          <t>Interest Coverage (EBIT/Interest)</t>
        </is>
      </c>
      <c r="C34" s="9" t="n"/>
      <c r="D34" s="545">
        <f>IFERROR(INPUT!D17/ABS(INPUT!D20),"–")</f>
        <v/>
      </c>
      <c r="E34" s="554">
        <f>IFERROR(INPUT!E17/ABS(INPUT!E20),"–")</f>
        <v/>
      </c>
      <c r="F34" s="554">
        <f>IFERROR(INPUT!F17/ABS(INPUT!F20),"–")</f>
        <v/>
      </c>
      <c r="G34" s="554">
        <f>IFERROR(INPUT!G17/ABS(INPUT!G20),"–")</f>
        <v/>
      </c>
      <c r="H34" s="554">
        <f>IFERROR(INPUT!H17/ABS(INPUT!H20),"–")</f>
        <v/>
      </c>
    </row>
    <row r="35" ht="15" customHeight="1" s="489">
      <c r="A35" s="182" t="n"/>
      <c r="B35" s="27" t="inlineStr">
        <is>
          <t>Debt / Total Assets</t>
        </is>
      </c>
      <c r="C35" s="9" t="n"/>
      <c r="D35" s="545">
        <f>IFERROR((INPUT!D49+INPUT!D55)/INPUT!D44,"–")</f>
        <v/>
      </c>
      <c r="E35" s="554">
        <f>IFERROR((INPUT!E49+INPUT!E55)/INPUT!E44,"–")</f>
        <v/>
      </c>
      <c r="F35" s="554">
        <f>IFERROR((INPUT!F49+INPUT!F55)/INPUT!F44,"–")</f>
        <v/>
      </c>
      <c r="G35" s="554">
        <f>IFERROR((INPUT!G49+INPUT!G55)/INPUT!G44,"–")</f>
        <v/>
      </c>
      <c r="H35" s="554">
        <f>IFERROR((INPUT!H49+INPUT!H55)/INPUT!H44,"–")</f>
        <v/>
      </c>
    </row>
    <row r="36" ht="15" customHeight="1" s="489">
      <c r="A36" s="182" t="n"/>
      <c r="B36" s="27" t="inlineStr">
        <is>
          <t>Equity Ratio</t>
        </is>
      </c>
      <c r="C36" s="9" t="n"/>
      <c r="D36" s="545">
        <f>IFERROR(INPUT!D60/INPUT!D44,"–")</f>
        <v/>
      </c>
      <c r="E36" s="555">
        <f>IFERROR(INPUT!E60/INPUT!E44,"–")</f>
        <v/>
      </c>
      <c r="F36" s="555">
        <f>IFERROR(INPUT!F60/INPUT!F44,"–")</f>
        <v/>
      </c>
      <c r="G36" s="555">
        <f>IFERROR(INPUT!G60/INPUT!G44,"–")</f>
        <v/>
      </c>
      <c r="H36" s="555">
        <f>IFERROR(INPUT!H60/INPUT!H44,"–")</f>
        <v/>
      </c>
    </row>
    <row r="37" ht="15" customHeight="1" s="489">
      <c r="A37" s="182" t="n"/>
      <c r="B37" s="28" t="n"/>
      <c r="C37" s="9" t="n"/>
      <c r="D37" s="526" t="n"/>
      <c r="E37" s="30" t="n"/>
      <c r="F37" s="30" t="n"/>
      <c r="G37" s="30" t="n"/>
      <c r="H37" s="30" t="n"/>
    </row>
    <row r="38" ht="18" customHeight="1" s="489">
      <c r="A38" s="183" t="inlineStr">
        <is>
          <t xml:space="preserve"> </t>
        </is>
      </c>
      <c r="B38" s="47" t="inlineStr">
        <is>
          <t>OPERATIONAL EFFICIENCY RATIOS</t>
        </is>
      </c>
      <c r="C38" s="42" t="n"/>
      <c r="D38" s="401" t="n"/>
      <c r="E38" s="23" t="n"/>
      <c r="F38" s="23" t="n"/>
      <c r="G38" s="23" t="n"/>
      <c r="H38" s="23" t="n"/>
    </row>
    <row r="39" ht="18" customHeight="1" s="489">
      <c r="A39" s="183" t="n"/>
      <c r="B39" s="105" t="n"/>
      <c r="C39" s="104" t="n"/>
      <c r="D39" s="403" t="n"/>
      <c r="E39" s="101" t="n"/>
      <c r="F39" s="101" t="n"/>
      <c r="G39" s="101" t="n"/>
      <c r="H39" s="101" t="n"/>
    </row>
    <row r="40" ht="15" customHeight="1" s="489">
      <c r="A40" s="182" t="n"/>
      <c r="B40" s="27" t="inlineStr">
        <is>
          <t>Asset Turnover</t>
        </is>
      </c>
      <c r="C40" s="9" t="n"/>
      <c r="D40" s="545">
        <f>IFERROR(INPUT!D9/INPUT!D44,"–")</f>
        <v/>
      </c>
      <c r="E40" s="554">
        <f>IFERROR(INPUT!E9/INPUT!E44,"–")</f>
        <v/>
      </c>
      <c r="F40" s="554">
        <f>IFERROR(INPUT!F9/INPUT!F44,"–")</f>
        <v/>
      </c>
      <c r="G40" s="554">
        <f>IFERROR(INPUT!G9/INPUT!G44,"–")</f>
        <v/>
      </c>
      <c r="H40" s="554">
        <f>IFERROR(INPUT!H9/INPUT!H44,"–")</f>
        <v/>
      </c>
    </row>
    <row r="41" ht="15" customHeight="1" s="489">
      <c r="A41" s="182" t="n"/>
      <c r="B41" s="28" t="n"/>
      <c r="C41" s="9" t="n"/>
      <c r="D41" s="526" t="n"/>
      <c r="E41" s="30" t="n"/>
      <c r="F41" s="30" t="n"/>
      <c r="G41" s="30" t="n"/>
      <c r="H41" s="30" t="n"/>
    </row>
    <row r="42" ht="18" customHeight="1" s="489">
      <c r="A42" s="183" t="inlineStr">
        <is>
          <t xml:space="preserve"> </t>
        </is>
      </c>
      <c r="B42" s="47" t="inlineStr">
        <is>
          <t>GROWTH RATIOS</t>
        </is>
      </c>
      <c r="C42" s="42" t="n"/>
      <c r="D42" s="401" t="n"/>
      <c r="E42" s="23" t="n"/>
      <c r="F42" s="23" t="n"/>
      <c r="G42" s="23" t="n"/>
      <c r="H42" s="23" t="n"/>
    </row>
    <row r="43" ht="18" customHeight="1" s="489">
      <c r="A43" s="183" t="n"/>
      <c r="B43" s="105" t="n"/>
      <c r="C43" s="104" t="n"/>
      <c r="D43" s="403" t="n"/>
      <c r="E43" s="101" t="n"/>
      <c r="F43" s="101" t="n"/>
      <c r="G43" s="101" t="n"/>
      <c r="H43" s="101" t="n"/>
    </row>
    <row r="44" ht="15" customHeight="1" s="489">
      <c r="A44" s="182" t="n"/>
      <c r="B44" s="27" t="inlineStr">
        <is>
          <t>Revenue Growth (YoY)</t>
        </is>
      </c>
      <c r="C44" s="9" t="n"/>
      <c r="D44" s="550" t="inlineStr">
        <is>
          <t>–</t>
        </is>
      </c>
      <c r="E44" s="552">
        <f>IFERROR(INPUT!E9/INPUT!D9-1,"–")</f>
        <v/>
      </c>
      <c r="F44" s="552">
        <f>IFERROR(INPUT!F9/INPUT!E9-1,"–")</f>
        <v/>
      </c>
      <c r="G44" s="552">
        <f>IFERROR(INPUT!G9/INPUT!F9-1,"–")</f>
        <v/>
      </c>
      <c r="H44" s="552">
        <f>IFERROR(INPUT!H9/INPUT!G9-1,"–")</f>
        <v/>
      </c>
    </row>
    <row r="45" ht="15" customHeight="1" s="489">
      <c r="A45" s="182" t="n"/>
      <c r="B45" s="27" t="inlineStr">
        <is>
          <t>EBITDA Growth (YoY)</t>
        </is>
      </c>
      <c r="C45" s="9" t="n"/>
      <c r="D45" s="550" t="inlineStr">
        <is>
          <t>–</t>
        </is>
      </c>
      <c r="E45" s="552">
        <f>IFERROR(INPUT!E30/INPUT!D30-1,"–")</f>
        <v/>
      </c>
      <c r="F45" s="552">
        <f>IFERROR(INPUT!F30/INPUT!E30-1,"–")</f>
        <v/>
      </c>
      <c r="G45" s="552">
        <f>IFERROR(INPUT!G30/INPUT!F30-1,"–")</f>
        <v/>
      </c>
      <c r="H45" s="552">
        <f>IFERROR(INPUT!H30/INPUT!G30-1,"–")</f>
        <v/>
      </c>
    </row>
    <row r="46" ht="15" customHeight="1" s="489">
      <c r="A46" s="182" t="n"/>
      <c r="B46" s="27" t="inlineStr">
        <is>
          <t>Net Income Growth (YoY)</t>
        </is>
      </c>
      <c r="C46" s="9" t="n"/>
      <c r="D46" s="550" t="inlineStr">
        <is>
          <t>–</t>
        </is>
      </c>
      <c r="E46" s="552">
        <f>IFERROR(INPUT!E26/INPUT!D26-1,"–")</f>
        <v/>
      </c>
      <c r="F46" s="552">
        <f>IFERROR(INPUT!F26/INPUT!E26-1,"–")</f>
        <v/>
      </c>
      <c r="G46" s="552">
        <f>IFERROR(INPUT!G26/INPUT!F26-1,"–")</f>
        <v/>
      </c>
      <c r="H46" s="552">
        <f>IFERROR(INPUT!H26/INPUT!G26-1,"–")</f>
        <v/>
      </c>
    </row>
    <row r="47" ht="15" customHeight="1" s="489">
      <c r="A47" s="182" t="n"/>
      <c r="B47" s="27" t="inlineStr">
        <is>
          <t>EPS Growth (YoY)</t>
        </is>
      </c>
      <c r="C47" s="9" t="n"/>
      <c r="D47" s="550" t="inlineStr">
        <is>
          <t>–</t>
        </is>
      </c>
      <c r="E47" s="552">
        <f>IFERROR((INPUT!E26/INPUT!E96)/(INPUT!D26/INPUT!D96)-1,"–")</f>
        <v/>
      </c>
      <c r="F47" s="552">
        <f>IFERROR((INPUT!F26/INPUT!F96)/(INPUT!E26/INPUT!E96)-1,"–")</f>
        <v/>
      </c>
      <c r="G47" s="552">
        <f>IFERROR((INPUT!G26/INPUT!G96)/(INPUT!F26/INPUT!F96)-1,"–")</f>
        <v/>
      </c>
      <c r="H47" s="552">
        <f>IFERROR((INPUT!H26/INPUT!H96)/(INPUT!G26/INPUT!G96)-1,"–")</f>
        <v/>
      </c>
    </row>
    <row r="48" ht="15" customHeight="1" s="489">
      <c r="A48" s="182" t="n"/>
      <c r="B48" s="27" t="inlineStr">
        <is>
          <t>Total Assets Growth (YoY)</t>
        </is>
      </c>
      <c r="C48" s="9" t="n"/>
      <c r="D48" s="550" t="inlineStr">
        <is>
          <t>–</t>
        </is>
      </c>
      <c r="E48" s="553">
        <f>IFERROR(INPUT!E44/INPUT!D44-1,"–")</f>
        <v/>
      </c>
      <c r="F48" s="553">
        <f>IFERROR(INPUT!F44/INPUT!E44-1,"–")</f>
        <v/>
      </c>
      <c r="G48" s="553">
        <f>IFERROR(INPUT!G44/INPUT!F44-1,"–")</f>
        <v/>
      </c>
      <c r="H48" s="553">
        <f>IFERROR(INPUT!H44/INPUT!G44-1,"–")</f>
        <v/>
      </c>
    </row>
    <row r="49" ht="15" customHeight="1" s="489">
      <c r="A49" s="182" t="n"/>
      <c r="B49" s="28" t="n"/>
      <c r="C49" s="9" t="n"/>
      <c r="D49" s="526" t="n"/>
      <c r="E49" s="30" t="n"/>
      <c r="F49" s="30" t="n"/>
      <c r="G49" s="30" t="n"/>
      <c r="H49" s="30" t="n"/>
    </row>
    <row r="50" ht="18" customHeight="1" s="489">
      <c r="A50" s="183" t="inlineStr">
        <is>
          <t xml:space="preserve"> </t>
        </is>
      </c>
      <c r="B50" s="47" t="inlineStr">
        <is>
          <t>CASH FLOW RATIOS</t>
        </is>
      </c>
      <c r="C50" s="42" t="n"/>
      <c r="D50" s="401" t="n"/>
      <c r="E50" s="23" t="n"/>
      <c r="F50" s="23" t="n"/>
      <c r="G50" s="23" t="n"/>
      <c r="H50" s="23" t="n"/>
    </row>
    <row r="51" ht="18" customHeight="1" s="489">
      <c r="A51" s="183" t="n"/>
      <c r="B51" s="105" t="n"/>
      <c r="C51" s="104" t="n"/>
      <c r="D51" s="403" t="n"/>
      <c r="E51" s="101" t="n"/>
      <c r="F51" s="101" t="n"/>
      <c r="G51" s="101" t="n"/>
      <c r="H51" s="101" t="n"/>
    </row>
    <row r="52" ht="15" customHeight="1" s="489">
      <c r="A52" s="182" t="n"/>
      <c r="B52" s="27" t="inlineStr">
        <is>
          <t>Operating Cash Flow Margin</t>
        </is>
      </c>
      <c r="C52" s="9" t="n"/>
      <c r="D52" s="550">
        <f>IFERROR(INPUT!D75/INPUT!D9,"–")</f>
        <v/>
      </c>
      <c r="E52" s="552">
        <f>IFERROR(INPUT!E75/INPUT!E9,"–")</f>
        <v/>
      </c>
      <c r="F52" s="552">
        <f>IFERROR(INPUT!F75/INPUT!F9,"–")</f>
        <v/>
      </c>
      <c r="G52" s="552">
        <f>IFERROR(INPUT!G75/INPUT!G9,"–")</f>
        <v/>
      </c>
      <c r="H52" s="552">
        <f>IFERROR(INPUT!H75/INPUT!H9,"–")</f>
        <v/>
      </c>
    </row>
    <row r="53" ht="15" customHeight="1" s="489">
      <c r="A53" s="182" t="n"/>
      <c r="B53" s="59" t="inlineStr">
        <is>
          <t>Free Cash Flow (FCF)</t>
        </is>
      </c>
      <c r="C53" s="11" t="n"/>
      <c r="D53" s="556">
        <f>IFERROR(INPUT!D75+INPUT!D78,"–")</f>
        <v/>
      </c>
      <c r="E53" s="557">
        <f>IFERROR(INPUT!E75+INPUT!E78,"–")</f>
        <v/>
      </c>
      <c r="F53" s="557">
        <f>IFERROR(INPUT!F75+INPUT!F78,"–")</f>
        <v/>
      </c>
      <c r="G53" s="557">
        <f>IFERROR(INPUT!G75+INPUT!G78,"–")</f>
        <v/>
      </c>
      <c r="H53" s="557">
        <f>IFERROR(INPUT!H75+INPUT!H78,"–")</f>
        <v/>
      </c>
    </row>
    <row r="54" ht="15" customHeight="1" s="489">
      <c r="A54" s="182" t="n"/>
      <c r="B54" s="27" t="inlineStr">
        <is>
          <t>FCF Margin</t>
        </is>
      </c>
      <c r="C54" s="9" t="n"/>
      <c r="D54" s="550">
        <f>IFERROR(D53/INPUT!D9,"–")</f>
        <v/>
      </c>
      <c r="E54" s="552">
        <f>IFERROR(E53/INPUT!E9,"–")</f>
        <v/>
      </c>
      <c r="F54" s="552">
        <f>IFERROR(F53/INPUT!F9,"–")</f>
        <v/>
      </c>
      <c r="G54" s="552">
        <f>IFERROR(G53/INPUT!G9,"–")</f>
        <v/>
      </c>
      <c r="H54" s="552">
        <f>IFERROR(H53/INPUT!H9,"–")</f>
        <v/>
      </c>
    </row>
    <row r="55" ht="15" customHeight="1" s="489">
      <c r="A55" s="182" t="n"/>
      <c r="B55" s="27" t="inlineStr">
        <is>
          <t>CapEx / Revenue</t>
        </is>
      </c>
      <c r="C55" s="9" t="n"/>
      <c r="D55" s="550">
        <f>IFERROR(ABS(INPUT!D78)/INPUT!D9,"–")</f>
        <v/>
      </c>
      <c r="E55" s="552">
        <f>IFERROR(ABS(INPUT!E78)/INPUT!E9,"–")</f>
        <v/>
      </c>
      <c r="F55" s="552">
        <f>IFERROR(ABS(INPUT!F78)/INPUT!F9,"–")</f>
        <v/>
      </c>
      <c r="G55" s="552">
        <f>IFERROR(ABS(INPUT!G78)/INPUT!G9,"–")</f>
        <v/>
      </c>
      <c r="H55" s="552">
        <f>IFERROR(ABS(INPUT!H78)/INPUT!H9,"–")</f>
        <v/>
      </c>
    </row>
    <row r="56" ht="15" customHeight="1" s="489">
      <c r="A56" s="182" t="n"/>
      <c r="B56" s="27" t="inlineStr">
        <is>
          <t>Dividend Payout Ratio</t>
        </is>
      </c>
      <c r="C56" s="9" t="n"/>
      <c r="D56" s="550">
        <f>IFERROR(ABS(INPUT!D85)/INPUT!D26,"–")</f>
        <v/>
      </c>
      <c r="E56" s="552">
        <f>IFERROR(ABS(INPUT!E85)/INPUT!E26,"–")</f>
        <v/>
      </c>
      <c r="F56" s="552">
        <f>IFERROR(ABS(INPUT!F85)/INPUT!F26,"–")</f>
        <v/>
      </c>
      <c r="G56" s="552">
        <f>IFERROR(ABS(INPUT!G85)/INPUT!G26,"–")</f>
        <v/>
      </c>
      <c r="H56" s="552">
        <f>IFERROR(ABS(INPUT!H85)/INPUT!H26,"–")</f>
        <v/>
      </c>
    </row>
    <row r="57" ht="15" customHeight="1" s="489">
      <c r="A57" s="182" t="n"/>
      <c r="B57" s="14" t="n"/>
      <c r="C57" s="9" t="n"/>
      <c r="D57" s="526" t="n"/>
      <c r="E57" s="22" t="n"/>
      <c r="F57" s="22" t="n"/>
      <c r="G57" s="22" t="n"/>
      <c r="H57" s="22" t="n"/>
    </row>
    <row r="58" ht="15" customHeight="1" s="489">
      <c r="A58" s="182" t="n"/>
      <c r="B58" s="415" t="inlineStr">
        <is>
          <t>MÉTRIQUES OPÉRATIONNELLES — UTILITY</t>
        </is>
      </c>
      <c r="C58" s="454" t="n"/>
      <c r="D58" s="415" t="n"/>
      <c r="E58" s="415" t="n"/>
      <c r="F58" s="415" t="n"/>
      <c r="G58" s="415" t="n"/>
      <c r="H58" s="415" t="n"/>
    </row>
    <row r="59" ht="15" customHeight="1" s="489">
      <c r="A59" s="182" t="n"/>
      <c r="B59" s="14" t="n"/>
      <c r="C59" s="9" t="n"/>
      <c r="D59" s="526" t="n"/>
      <c r="E59" s="22" t="n"/>
      <c r="F59" s="22" t="n"/>
      <c r="G59" s="22" t="n"/>
      <c r="H59" s="22" t="n"/>
    </row>
    <row r="60" ht="15" customHeight="1" s="489">
      <c r="A60" s="182" t="n"/>
      <c r="B60" s="416" t="inlineStr">
        <is>
          <t>Dividend Payout Ratio</t>
        </is>
      </c>
      <c r="C60" s="417" t="n"/>
      <c r="D60" s="526" t="n"/>
      <c r="E60" s="558">
        <f>IFERROR(ABS(INPUT!E85)/INPUT!E26,"–")</f>
        <v/>
      </c>
      <c r="F60" s="558">
        <f>IFERROR(ABS(INPUT!F85)/INPUT!F26,"–")</f>
        <v/>
      </c>
      <c r="G60" s="558">
        <f>IFERROR(ABS(INPUT!G85)/INPUT!G26,"–")</f>
        <v/>
      </c>
      <c r="H60" s="559">
        <f>IFERROR(ABS(INPUT!H85)/INPUT!H26,"–")</f>
        <v/>
      </c>
    </row>
    <row r="61" ht="15" customHeight="1" s="489">
      <c r="A61" s="182" t="n"/>
      <c r="B61" s="416" t="inlineStr">
        <is>
          <t>Dividend Coverage</t>
        </is>
      </c>
      <c r="C61" s="417" t="n"/>
      <c r="D61" s="526" t="n"/>
      <c r="E61" s="558">
        <f>IFERROR(INPUT!E26/ABS(INPUT!E85),"–")</f>
        <v/>
      </c>
      <c r="F61" s="558">
        <f>IFERROR(INPUT!F26/ABS(INPUT!F85),"–")</f>
        <v/>
      </c>
      <c r="G61" s="558">
        <f>IFERROR(INPUT!G26/ABS(INPUT!G85),"–")</f>
        <v/>
      </c>
      <c r="H61" s="559">
        <f>IFERROR(INPUT!H26/ABS(INPUT!H85),"–")</f>
        <v/>
      </c>
    </row>
    <row r="62" ht="15" customHeight="1" s="489">
      <c r="A62" s="182" t="n"/>
      <c r="B62" s="416" t="inlineStr">
        <is>
          <t>CapEx / Revenue</t>
        </is>
      </c>
      <c r="C62" s="417" t="n"/>
      <c r="D62" s="526" t="n"/>
      <c r="E62" s="419">
        <f>IFERROR(ABS(INPUT!E78)/INPUT!E9,"–")</f>
        <v/>
      </c>
      <c r="F62" s="419">
        <f>IFERROR(ABS(INPUT!F78)/INPUT!F9,"–")</f>
        <v/>
      </c>
      <c r="G62" s="419">
        <f>IFERROR(ABS(INPUT!G78)/INPUT!G9,"–")</f>
        <v/>
      </c>
      <c r="H62" s="457">
        <f>IFERROR(ABS(INPUT!H78)/INPUT!H9,"–")</f>
        <v/>
      </c>
    </row>
    <row r="63" ht="15" customHeight="1" s="489">
      <c r="A63" s="182" t="n"/>
      <c r="B63" s="416" t="inlineStr">
        <is>
          <t>Allowed ROE (n.d.)</t>
        </is>
      </c>
      <c r="C63" s="417" t="n"/>
      <c r="D63" s="526" t="n"/>
      <c r="E63" s="419" t="inlineStr">
        <is>
          <t>n.d.</t>
        </is>
      </c>
      <c r="F63" s="419" t="inlineStr">
        <is>
          <t>n.d.</t>
        </is>
      </c>
      <c r="G63" s="419" t="inlineStr">
        <is>
          <t>n.d.</t>
        </is>
      </c>
      <c r="H63" s="457" t="inlineStr">
        <is>
          <t>n.d.</t>
        </is>
      </c>
    </row>
    <row r="64" ht="15" customHeight="1" s="489">
      <c r="A64" s="182" t="n"/>
      <c r="B64" s="416" t="inlineStr">
        <is>
          <t>FCF Yield @ Current Strip (%)</t>
        </is>
      </c>
      <c r="C64" s="417" t="n"/>
      <c r="D64" s="526" t="n"/>
      <c r="E64" s="560">
        <f>IFERROR((INPUT!E75+INPUT!E78)/INPUT!E97,"–")</f>
        <v/>
      </c>
      <c r="F64" s="560">
        <f>IFERROR((INPUT!F75+INPUT!F78)/INPUT!F97,"–")</f>
        <v/>
      </c>
      <c r="G64" s="560">
        <f>IFERROR((INPUT!G75+INPUT!G78)/INPUT!G97,"–")</f>
        <v/>
      </c>
      <c r="H64" s="561">
        <f>IFERROR((INPUT!H75+INPUT!H78)/INPUT!H97,"–")</f>
        <v/>
      </c>
    </row>
    <row r="65" ht="15" customHeight="1" s="489">
      <c r="A65" s="182" t="n"/>
      <c r="B65" s="416" t="inlineStr">
        <is>
          <t>Shareholder Yield (Div + Buyback / Mkt Cap)</t>
        </is>
      </c>
      <c r="C65" s="417" t="n"/>
      <c r="D65" s="526" t="n"/>
      <c r="E65" s="560">
        <f>IFERROR((ABS(INPUT!E85)+ABS(INPUT!E86))/INPUT!E97,"–")</f>
        <v/>
      </c>
      <c r="F65" s="560">
        <f>IFERROR((ABS(INPUT!F85)+ABS(INPUT!F86))/INPUT!F97,"–")</f>
        <v/>
      </c>
      <c r="G65" s="560">
        <f>IFERROR((ABS(INPUT!G85)+ABS(INPUT!G86))/INPUT!G97,"–")</f>
        <v/>
      </c>
      <c r="H65" s="561">
        <f>IFERROR((ABS(INPUT!H85)+ABS(INPUT!H86))/INPUT!H97,"–")</f>
        <v/>
      </c>
    </row>
    <row r="66" ht="15" customHeight="1" s="489">
      <c r="A66" s="182" t="n"/>
      <c r="B66" s="14" t="n"/>
      <c r="C66" s="9" t="n"/>
      <c r="D66" s="526" t="n"/>
      <c r="E66" s="22" t="n"/>
      <c r="F66" s="22" t="n"/>
      <c r="G66" s="22" t="n"/>
      <c r="H66" s="22" t="n"/>
    </row>
    <row r="67" ht="15" customHeight="1" s="489">
      <c r="A67" s="182" t="n"/>
      <c r="B67" s="14" t="n"/>
      <c r="C67" s="9" t="n"/>
      <c r="D67" s="526" t="n"/>
      <c r="E67" s="22" t="n"/>
      <c r="F67" s="22" t="n"/>
      <c r="G67" s="22" t="n"/>
      <c r="H67" s="22" t="n"/>
    </row>
    <row r="68" ht="15" customHeight="1" s="489">
      <c r="A68" s="182" t="n"/>
      <c r="B68" s="14" t="n"/>
      <c r="C68" s="9" t="n"/>
      <c r="D68" s="526" t="n"/>
      <c r="E68" s="22" t="n"/>
      <c r="F68" s="22" t="n"/>
      <c r="G68" s="22" t="n"/>
      <c r="H68" s="22" t="n"/>
    </row>
    <row r="69" ht="15" customHeight="1" s="489">
      <c r="A69" s="182" t="n"/>
      <c r="B69" s="14" t="n"/>
      <c r="C69" s="9" t="n"/>
      <c r="D69" s="526" t="n"/>
      <c r="E69" s="22" t="n"/>
      <c r="F69" s="22" t="n"/>
      <c r="G69" s="22" t="n"/>
      <c r="H69" s="22" t="n"/>
    </row>
    <row r="70" ht="15" customHeight="1" s="489">
      <c r="A70" s="181" t="n"/>
      <c r="B70" s="31" t="inlineStr">
        <is>
          <t>© 2015 to 2024 FinSight</t>
        </is>
      </c>
      <c r="C70" s="2" t="n"/>
      <c r="D70" s="2" t="n"/>
      <c r="E70" s="78" t="n"/>
      <c r="F70" s="78" t="n"/>
      <c r="G70" s="78" t="n"/>
      <c r="H70" s="78" t="n"/>
    </row>
    <row r="71" ht="15" customHeight="1" s="489">
      <c r="A71" s="181" t="n"/>
      <c r="B71" s="31" t="inlineStr">
        <is>
          <t>This Excel model is for educational purposes only.</t>
        </is>
      </c>
      <c r="C71" s="2" t="n"/>
      <c r="D71" s="2" t="n"/>
      <c r="E71" s="78" t="n"/>
      <c r="F71" s="78" t="n"/>
      <c r="G71" s="78" t="n"/>
      <c r="H71" s="78" t="n"/>
    </row>
    <row r="72" ht="15" customHeight="1" s="489">
      <c r="A72" s="181" t="n"/>
      <c r="B72" s="31" t="inlineStr">
        <is>
          <t>https://finsight.com/</t>
        </is>
      </c>
      <c r="C72" s="2" t="n"/>
      <c r="D72" s="2" t="n"/>
      <c r="E72" s="78" t="n"/>
      <c r="F72" s="78" t="n"/>
      <c r="G72" s="78" t="n"/>
      <c r="H72" s="78" t="n"/>
    </row>
    <row r="73" ht="15" customHeight="1" s="489">
      <c r="B73" s="45" t="n"/>
      <c r="D73" s="208" t="n"/>
    </row>
    <row r="74" ht="15" customHeight="1" s="489">
      <c r="B74" s="45" t="n"/>
      <c r="D74" s="208" t="n"/>
    </row>
    <row r="75" ht="15" customHeight="1" s="489">
      <c r="B75" s="97" t="inlineStr">
        <is>
          <t>CHART DATA</t>
        </is>
      </c>
      <c r="C75" s="99" t="n"/>
      <c r="D75" s="20" t="n"/>
      <c r="E75" s="100" t="n"/>
      <c r="F75" s="100" t="n"/>
      <c r="G75" s="100" t="n"/>
      <c r="H75" s="100" t="n"/>
    </row>
    <row r="76" ht="15" customHeight="1" s="489">
      <c r="B76" s="83" t="inlineStr">
        <is>
          <t>Year</t>
        </is>
      </c>
      <c r="C76" s="83" t="n"/>
      <c r="D76" s="404">
        <f>IF(INPUT!D9="","",D5)</f>
        <v/>
      </c>
      <c r="E76" s="83">
        <f>IF(INPUT!E9="",NA(),E5)</f>
        <v/>
      </c>
      <c r="F76" s="83">
        <f>IF(INPUT!F9="",NA(),F5)</f>
        <v/>
      </c>
      <c r="G76" s="83">
        <f>IF(INPUT!G9="",NA(),G5)</f>
        <v/>
      </c>
      <c r="H76" s="83">
        <f>IF(INPUT!H9="",NA(),H5)</f>
        <v/>
      </c>
    </row>
    <row r="77" ht="15" customHeight="1" s="489">
      <c r="B77" s="45" t="inlineStr">
        <is>
          <t>Revenue ($M)</t>
        </is>
      </c>
      <c r="D77" s="527">
        <f>IF(INPUT!D9="","",INPUT!D9)</f>
        <v/>
      </c>
      <c r="E77" s="225">
        <f>IF(INPUT!E9="",NA(),INPUT!E9)</f>
        <v/>
      </c>
      <c r="F77" s="225">
        <f>IF(INPUT!F9="",NA(),INPUT!F9)</f>
        <v/>
      </c>
      <c r="G77" s="225">
        <f>IF(INPUT!G9="",NA(),INPUT!G9)</f>
        <v/>
      </c>
      <c r="H77" s="225">
        <f>IF(INPUT!H9="",NA(),INPUT!H9)</f>
        <v/>
      </c>
    </row>
    <row r="78" ht="15" customHeight="1" s="489">
      <c r="B78" s="45" t="inlineStr">
        <is>
          <t>EBITDA ($M)</t>
        </is>
      </c>
      <c r="D78" s="527">
        <f>IF(INPUT!E9="",NA(),INPUT!E30)</f>
        <v/>
      </c>
      <c r="E78" s="225">
        <f>IF(INPUT!F9="",NA(),INPUT!F30)</f>
        <v/>
      </c>
      <c r="F78" s="225">
        <f>IF(INPUT!G9="",NA(),INPUT!G30)</f>
        <v/>
      </c>
      <c r="G78" s="225">
        <f>IF(INPUT!G9="",NA(),INPUT!G30)</f>
        <v/>
      </c>
      <c r="H78" s="225">
        <f>IF(INPUT!H9="",NA(),INPUT!H30)</f>
        <v/>
      </c>
    </row>
    <row r="79" ht="15" customHeight="1" s="489">
      <c r="B79" s="45" t="inlineStr">
        <is>
          <t>Net Income ($M)</t>
        </is>
      </c>
      <c r="D79" s="527">
        <f>IF(INPUT!E9="",NA(),INPUT!E26)</f>
        <v/>
      </c>
      <c r="E79" s="225">
        <f>IF(INPUT!F9="",NA(),INPUT!F26)</f>
        <v/>
      </c>
      <c r="F79" s="225">
        <f>IF(INPUT!G9="",NA(),INPUT!G26)</f>
        <v/>
      </c>
      <c r="G79" s="225">
        <f>IF(INPUT!G9="",NA(),INPUT!G26)</f>
        <v/>
      </c>
      <c r="H79" s="225">
        <f>IF(INPUT!H9="",NA(),INPUT!H26)</f>
        <v/>
      </c>
    </row>
    <row r="80" ht="15" customHeight="1" s="489">
      <c r="B80" s="45" t="inlineStr">
        <is>
          <t>Cumul. Revenue ($M)</t>
        </is>
      </c>
      <c r="D80" s="527">
        <f>IF(INPUT!E9="",NA(),INPUT!D9+INPUT!E9)</f>
        <v/>
      </c>
      <c r="E80" s="225">
        <f>IF(INPUT!F9="",NA(),INPUT!D9+INPUT!E9+INPUT!F9)</f>
        <v/>
      </c>
      <c r="F80" s="225">
        <f>IF(INPUT!G9="",NA(),INPUT!D9+INPUT!E9+INPUT!F9+INPUT!G9)</f>
        <v/>
      </c>
      <c r="G80" s="304">
        <f>IF(INPUT!G9="",NA(),INPUT!D9+INPUT!E9+INPUT!F9+INPUT!G9)</f>
        <v/>
      </c>
      <c r="H80" s="225">
        <f>IF(INPUT!H9="",NA(),INPUT!D9+INPUT!E9+INPUT!F9+INPUT!G9+INPUT!H9)</f>
        <v/>
      </c>
    </row>
    <row r="81" ht="15" customHeight="1" s="489">
      <c r="B81" s="45" t="n"/>
      <c r="D81" s="208" t="n"/>
    </row>
    <row r="82" ht="15" customHeight="1" s="489">
      <c r="B82" s="45" t="inlineStr">
        <is>
          <t>Gross Profit Margin</t>
        </is>
      </c>
      <c r="D82" s="528">
        <f>IF(INPUT!D9="","",D19)</f>
        <v/>
      </c>
      <c r="E82" s="226">
        <f>IF(INPUT!E9="",NA(),E19)</f>
        <v/>
      </c>
      <c r="F82" s="226">
        <f>IF(INPUT!F9="",NA(),F19)</f>
        <v/>
      </c>
      <c r="G82" s="226">
        <f>IF(INPUT!G9="",NA(),G19)</f>
        <v/>
      </c>
      <c r="H82" s="226">
        <f>IF(INPUT!H9="",NA(),H19)</f>
        <v/>
      </c>
    </row>
    <row r="83" ht="15" customHeight="1" s="489">
      <c r="B83" s="45" t="inlineStr">
        <is>
          <t>EBITDA Margin</t>
        </is>
      </c>
      <c r="D83" s="528">
        <f>IF(INPUT!D9="","",D20)</f>
        <v/>
      </c>
      <c r="E83" s="226">
        <f>IF(INPUT!E9="",NA(),E20)</f>
        <v/>
      </c>
      <c r="F83" s="226">
        <f>IF(INPUT!F9="",NA(),F20)</f>
        <v/>
      </c>
      <c r="G83" s="226">
        <f>IF(INPUT!G9="",NA(),G20)</f>
        <v/>
      </c>
      <c r="H83" s="226">
        <f>IF(INPUT!H9="",NA(),H20)</f>
        <v/>
      </c>
    </row>
    <row r="84" ht="15" customHeight="1" s="489">
      <c r="B84" s="45" t="inlineStr">
        <is>
          <t>Net Profit Margin</t>
        </is>
      </c>
      <c r="D84" s="528">
        <f>IF(INPUT!D9="","",D22)</f>
        <v/>
      </c>
      <c r="E84" s="226">
        <f>IF(INPUT!E9="",NA(),E22)</f>
        <v/>
      </c>
      <c r="F84" s="226">
        <f>IF(INPUT!F9="",NA(),F22)</f>
        <v/>
      </c>
      <c r="G84" s="226">
        <f>IF(INPUT!G9="",NA(),G22)</f>
        <v/>
      </c>
      <c r="H84" s="226">
        <f>IF(INPUT!H9="",NA(),H22)</f>
        <v/>
      </c>
    </row>
    <row r="85" ht="15" customHeight="1" s="489">
      <c r="B85" s="45" t="n"/>
      <c r="D85" s="208" t="n"/>
    </row>
    <row r="86" ht="15" customHeight="1" s="489"/>
    <row r="87" ht="15" customHeight="1" s="489">
      <c r="B87" s="45" t="inlineStr">
        <is>
          <t>SG&amp;A ($M)</t>
        </is>
      </c>
      <c r="D87" s="529">
        <f>IF(INPUT!D9="","",ABS(INPUT!D14))</f>
        <v/>
      </c>
      <c r="E87" s="228">
        <f>IF(INPUT!E9="",NA(),ABS(INPUT!E14))</f>
        <v/>
      </c>
      <c r="F87" s="228">
        <f>IF(INPUT!F9="",NA(),ABS(INPUT!F14))</f>
        <v/>
      </c>
      <c r="G87" s="228">
        <f>IF(INPUT!G9="",NA(),ABS(INPUT!G14))</f>
        <v/>
      </c>
      <c r="H87" s="228">
        <f>IF(INPUT!H9="",NA(),ABS(INPUT!H14))</f>
        <v/>
      </c>
    </row>
    <row r="88" ht="15" customHeight="1" s="489">
      <c r="B88" s="45" t="inlineStr">
        <is>
          <t>R&amp;D ($M)</t>
        </is>
      </c>
      <c r="D88" s="529">
        <f>IF(INPUT!D9="","",ABS(INPUT!D15))</f>
        <v/>
      </c>
      <c r="E88" s="228">
        <f>IF(INPUT!E9="",NA(),ABS(INPUT!E15))</f>
        <v/>
      </c>
      <c r="F88" s="228">
        <f>IF(INPUT!F9="",NA(),ABS(INPUT!F15))</f>
        <v/>
      </c>
      <c r="G88" s="228">
        <f>IF(INPUT!G9="",NA(),ABS(INPUT!G15))</f>
        <v/>
      </c>
      <c r="H88" s="228">
        <f>IF(INPUT!H9="",NA(),ABS(INPUT!H15))</f>
        <v/>
      </c>
    </row>
    <row r="89" ht="15" customHeight="1" s="489">
      <c r="B89" s="45" t="inlineStr">
        <is>
          <t>D&amp;A ($M)</t>
        </is>
      </c>
      <c r="D89" s="529">
        <f>IF(INPUT!D9="","",ABS(INPUT!D16))</f>
        <v/>
      </c>
      <c r="E89" s="228">
        <f>IF(INPUT!E9="",NA(),ABS(INPUT!E16))</f>
        <v/>
      </c>
      <c r="F89" s="228">
        <f>IF(INPUT!F9="",NA(),ABS(INPUT!F16))</f>
        <v/>
      </c>
      <c r="G89" s="228">
        <f>IF(INPUT!G9="",NA(),ABS(INPUT!G16))</f>
        <v/>
      </c>
      <c r="H89" s="228">
        <f>IF(INPUT!H9="",NA(),ABS(INPUT!H16))</f>
        <v/>
      </c>
    </row>
    <row r="90" ht="15" customHeight="1" s="489">
      <c r="B90" s="45" t="inlineStr">
        <is>
          <t>Interest ($M)</t>
        </is>
      </c>
      <c r="D90" s="529">
        <f>IF(INPUT!D9="","",ABS(INPUT!D20))</f>
        <v/>
      </c>
      <c r="E90" s="228">
        <f>IF(INPUT!E9="",NA(),ABS(INPUT!E20))</f>
        <v/>
      </c>
      <c r="F90" s="228">
        <f>IF(INPUT!F9="",NA(),ABS(INPUT!F20))</f>
        <v/>
      </c>
      <c r="G90" s="228">
        <f>IF(INPUT!G9="",NA(),ABS(INPUT!G20))</f>
        <v/>
      </c>
      <c r="H90" s="228">
        <f>IF(INPUT!H9="",NA(),ABS(INPUT!H20))</f>
        <v/>
      </c>
    </row>
    <row r="91" ht="15" customHeight="1" s="489">
      <c r="B91" s="45" t="n"/>
      <c r="D91" s="208" t="n"/>
    </row>
    <row r="92" ht="15" customHeight="1" s="489"/>
    <row r="93" ht="15" customHeight="1" s="489">
      <c r="B93" s="45" t="inlineStr">
        <is>
          <t>SG&amp;A ($M)</t>
        </is>
      </c>
      <c r="D93" s="562">
        <f>IF(INPUT!D9="","",D87/1000)</f>
        <v/>
      </c>
      <c r="E93" s="563">
        <f>E87/1000</f>
        <v/>
      </c>
      <c r="F93" s="563">
        <f>F87/1000</f>
        <v/>
      </c>
      <c r="G93" s="563">
        <f>G87/1000</f>
        <v/>
      </c>
      <c r="H93" s="563">
        <f>H87/1000</f>
        <v/>
      </c>
    </row>
    <row r="94" ht="15" customHeight="1" s="489">
      <c r="B94" s="45" t="inlineStr">
        <is>
          <t>R&amp;D ($M)</t>
        </is>
      </c>
      <c r="D94" s="562">
        <f>IF(INPUT!D9="","",D88/1000)</f>
        <v/>
      </c>
      <c r="E94" s="563">
        <f>E88/1000</f>
        <v/>
      </c>
      <c r="F94" s="563">
        <f>F88/1000</f>
        <v/>
      </c>
      <c r="G94" s="563">
        <f>G88/1000</f>
        <v/>
      </c>
      <c r="H94" s="563">
        <f>H88/1000</f>
        <v/>
      </c>
    </row>
    <row r="95" ht="15" customHeight="1" s="489">
      <c r="B95" s="45" t="inlineStr">
        <is>
          <t>D&amp;A ($M)</t>
        </is>
      </c>
      <c r="D95" s="562">
        <f>IF(INPUT!D9="","",D89/1000)</f>
        <v/>
      </c>
      <c r="E95" s="563">
        <f>E89/1000</f>
        <v/>
      </c>
      <c r="F95" s="563">
        <f>F89/1000</f>
        <v/>
      </c>
      <c r="G95" s="563">
        <f>G89/1000</f>
        <v/>
      </c>
      <c r="H95" s="563">
        <f>H89/1000</f>
        <v/>
      </c>
    </row>
    <row r="96" ht="15" customHeight="1" s="489">
      <c r="B96" s="45" t="inlineStr">
        <is>
          <t>Interest ($M)</t>
        </is>
      </c>
      <c r="D96" s="562">
        <f>IF(INPUT!D9="","",D90/1000)</f>
        <v/>
      </c>
      <c r="E96" s="563">
        <f>E90/1000</f>
        <v/>
      </c>
      <c r="F96" s="563">
        <f>F90/1000</f>
        <v/>
      </c>
      <c r="G96" s="563">
        <f>G90/1000</f>
        <v/>
      </c>
      <c r="H96" s="563">
        <f>H90/1000</f>
        <v/>
      </c>
    </row>
    <row r="97" ht="15" customHeight="1" s="489">
      <c r="B97" s="45" t="n"/>
      <c r="D97" s="208" t="n"/>
      <c r="G97" s="228">
        <f>G90/1000</f>
        <v/>
      </c>
      <c r="H97" s="228">
        <f>H90/1000</f>
        <v/>
      </c>
    </row>
    <row r="98" ht="15" customHeight="1" s="489">
      <c r="B98" s="45" t="n"/>
      <c r="D98" s="208" t="n"/>
    </row>
    <row r="99" ht="15" customHeight="1" s="489">
      <c r="B99" s="45" t="inlineStr">
        <is>
          <t>Cumul. Revenue ($M)</t>
        </is>
      </c>
      <c r="D99" s="529">
        <f>D80/1000</f>
        <v/>
      </c>
      <c r="E99" s="228">
        <f>E80/1000</f>
        <v/>
      </c>
      <c r="F99" s="228">
        <f>F80/1000</f>
        <v/>
      </c>
      <c r="G99" s="228">
        <f>G80/1000</f>
        <v/>
      </c>
      <c r="H99" s="228">
        <f>H80/1000</f>
        <v/>
      </c>
    </row>
    <row r="100" ht="15" customHeight="1" s="489">
      <c r="B100" s="45" t="n"/>
      <c r="D100" s="208" t="n"/>
    </row>
    <row r="101" ht="15" customHeight="1" s="489">
      <c r="B101" s="45" t="n"/>
      <c r="D101" s="208" t="n"/>
      <c r="G101" s="228">
        <f>G80/1000</f>
        <v/>
      </c>
      <c r="H101" s="228">
        <f>H80/1000</f>
        <v/>
      </c>
    </row>
    <row r="102" ht="15" customHeight="1" s="489">
      <c r="B102" s="83" t="inlineStr">
        <is>
          <t>FCF &amp; CapEx Trend ($M)</t>
        </is>
      </c>
      <c r="C102" s="83" t="n"/>
      <c r="D102" s="404" t="n"/>
      <c r="E102" s="83" t="n"/>
      <c r="F102" s="83" t="n"/>
      <c r="G102" s="83" t="n"/>
      <c r="H102" s="83" t="n"/>
    </row>
    <row r="103" ht="15" customHeight="1" s="489">
      <c r="B103" s="298" t="inlineStr">
        <is>
          <t>Metric</t>
        </is>
      </c>
    </row>
    <row r="104" ht="15" customHeight="1" s="489">
      <c r="B104" s="45" t="inlineStr">
        <is>
          <t>Free Cash Flow ($M)</t>
        </is>
      </c>
      <c r="D104" s="208" t="n"/>
      <c r="E104" s="564">
        <f>E53</f>
        <v/>
      </c>
      <c r="F104" s="564">
        <f>F53</f>
        <v/>
      </c>
      <c r="G104" s="564">
        <f>G53</f>
        <v/>
      </c>
      <c r="H104" s="564">
        <f>H53</f>
        <v/>
      </c>
    </row>
    <row r="105" ht="15" customHeight="1" s="489">
      <c r="B105" s="45" t="inlineStr">
        <is>
          <t>CapEx ($M)</t>
        </is>
      </c>
      <c r="D105" s="208" t="n"/>
      <c r="E105" s="531">
        <f>ABS(INPUT!E78)</f>
        <v/>
      </c>
      <c r="F105" s="531">
        <f>ABS(INPUT!F78)</f>
        <v/>
      </c>
      <c r="G105" s="531">
        <f>ABS(INPUT!G78)</f>
        <v/>
      </c>
      <c r="H105" s="531">
        <f>ABS(INPUT!H78)</f>
        <v/>
      </c>
    </row>
    <row r="106" ht="15" customHeight="1" s="489">
      <c r="B106" s="45" t="inlineStr">
        <is>
          <t>Cash from Operations ($M)</t>
        </is>
      </c>
      <c r="D106" s="208" t="n"/>
      <c r="E106" s="533">
        <f>INPUT!E75</f>
        <v/>
      </c>
      <c r="F106" s="533">
        <f>INPUT!F75</f>
        <v/>
      </c>
      <c r="G106" s="533">
        <f>INPUT!G75</f>
        <v/>
      </c>
      <c r="H106" s="533">
        <f>INPUT!H75</f>
        <v/>
      </c>
    </row>
    <row r="107" ht="15" customHeight="1" s="489">
      <c r="B107" s="45" t="n"/>
      <c r="D107" s="208" t="n"/>
    </row>
    <row r="108" ht="15" customHeight="1" s="489">
      <c r="B108" s="83" t="inlineStr">
        <is>
          <t>Returns Chart Data</t>
        </is>
      </c>
      <c r="C108" s="83" t="n"/>
      <c r="D108" s="404" t="n"/>
      <c r="E108" s="83" t="n"/>
      <c r="F108" s="83" t="n"/>
      <c r="G108" s="83" t="n"/>
      <c r="H108" s="83" t="n"/>
    </row>
    <row r="109" ht="15" customHeight="1" s="489">
      <c r="B109" s="298" t="inlineStr">
        <is>
          <t>Metric</t>
        </is>
      </c>
    </row>
    <row r="110" ht="15" customHeight="1" s="489">
      <c r="B110" s="45" t="inlineStr">
        <is>
          <t>Return on Equity (ROE)</t>
        </is>
      </c>
      <c r="D110" s="208" t="n"/>
      <c r="E110" s="565">
        <f>E23</f>
        <v/>
      </c>
      <c r="F110" s="565">
        <f>F23</f>
        <v/>
      </c>
      <c r="G110" s="565">
        <f>G23</f>
        <v/>
      </c>
      <c r="H110" s="565">
        <f>H23</f>
        <v/>
      </c>
    </row>
    <row r="111" ht="15" customHeight="1" s="489">
      <c r="B111" s="45" t="inlineStr">
        <is>
          <t>Return on Assets (ROA)</t>
        </is>
      </c>
      <c r="D111" s="208" t="n"/>
      <c r="E111" s="565">
        <f>E24</f>
        <v/>
      </c>
      <c r="F111" s="565">
        <f>F24</f>
        <v/>
      </c>
      <c r="G111" s="565">
        <f>G24</f>
        <v/>
      </c>
      <c r="H111" s="565">
        <f>H24</f>
        <v/>
      </c>
    </row>
    <row r="112" ht="15" customHeight="1" s="489">
      <c r="B112" s="45" t="inlineStr">
        <is>
          <t>Return on Invested Capital (ROIC)</t>
        </is>
      </c>
      <c r="D112" s="208" t="n"/>
      <c r="E112" s="565">
        <f>E25</f>
        <v/>
      </c>
      <c r="F112" s="565">
        <f>F25</f>
        <v/>
      </c>
      <c r="G112" s="565">
        <f>G25</f>
        <v/>
      </c>
      <c r="H112" s="565">
        <f>H25</f>
        <v/>
      </c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  <row r="122" ht="15" customHeight="1" s="489">
      <c r="B122" s="45" t="n"/>
    </row>
    <row r="123" ht="15" customHeight="1" s="489">
      <c r="B123" s="45" t="n"/>
    </row>
    <row r="124" ht="15" customHeight="1" s="489">
      <c r="B124" s="45" t="n"/>
    </row>
    <row r="125" ht="15" customHeight="1" s="489">
      <c r="B125" s="45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27"/>
  <sheetViews>
    <sheetView showGridLines="0" zoomScale="85" zoomScaleNormal="85" workbookViewId="0">
      <selection activeCell="O20" sqref="O20"/>
    </sheetView>
  </sheetViews>
  <sheetFormatPr baseColWidth="10" defaultRowHeight="14.4"/>
  <cols>
    <col width="11" customWidth="1" style="489" min="1" max="1"/>
    <col width="49.5546875" customWidth="1" style="19" min="2" max="2"/>
    <col width="10.88671875" customWidth="1" style="489" min="3" max="3"/>
    <col width="11" customWidth="1" style="21" min="4" max="5"/>
    <col width="11.6640625" bestFit="1" customWidth="1" style="21" min="6" max="6"/>
    <col width="11" customWidth="1" style="21" min="7" max="14"/>
  </cols>
  <sheetData>
    <row r="1" ht="54.9" customHeight="1" s="489">
      <c r="A1" s="6" t="n"/>
      <c r="B1" s="96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95" t="inlineStr">
        <is>
          <t>DCF — Discounted Cash Flow Valuation</t>
        </is>
      </c>
      <c r="L1" s="29" t="n"/>
      <c r="M1" s="29" t="n"/>
      <c r="N1" s="29" t="n"/>
    </row>
    <row r="2" ht="15" customHeight="1" s="489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 s="489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 s="489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 s="489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 s="489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 s="489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 s="489">
      <c r="A8" s="108" t="n"/>
      <c r="B8" s="109" t="n"/>
      <c r="C8" s="108" t="n"/>
      <c r="D8" s="305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</row>
    <row r="9" ht="15" customHeight="1" s="489">
      <c r="A9" s="3" t="n"/>
      <c r="B9" s="17" t="inlineStr">
        <is>
          <t>Revenue</t>
        </is>
      </c>
      <c r="C9" s="405" t="n"/>
      <c r="D9" s="410">
        <f>INPUT!D9</f>
        <v/>
      </c>
      <c r="E9" s="566">
        <f>INPUT!E9</f>
        <v/>
      </c>
      <c r="F9" s="566">
        <f>INPUT!F9</f>
        <v/>
      </c>
      <c r="G9" s="566">
        <f>INPUT!G9</f>
        <v/>
      </c>
      <c r="H9" s="566">
        <f>IF(INPUT!H9&lt;&gt;"",INPUT!H9,INPUT!G9)</f>
        <v/>
      </c>
      <c r="I9" s="567">
        <f>H9*(1+$I$29)</f>
        <v/>
      </c>
      <c r="J9" s="567">
        <f>I9*(1+$I$29)</f>
        <v/>
      </c>
      <c r="K9" s="567">
        <f>J9*(1+$I$29)</f>
        <v/>
      </c>
      <c r="L9" s="568">
        <f>K9*(1+$I$29)</f>
        <v/>
      </c>
      <c r="M9" s="568">
        <f>L9*(1+$I$29)</f>
        <v/>
      </c>
      <c r="N9" s="569" t="n"/>
    </row>
    <row r="10" ht="15" customHeight="1" s="489">
      <c r="A10" s="3" t="n"/>
      <c r="B10" s="17" t="inlineStr">
        <is>
          <t>Cost of Goods Sold</t>
        </is>
      </c>
      <c r="C10" s="405" t="n"/>
      <c r="D10" s="410">
        <f>INPUT!D10</f>
        <v/>
      </c>
      <c r="E10" s="570">
        <f>INPUT!E10</f>
        <v/>
      </c>
      <c r="F10" s="570">
        <f>INPUT!F10</f>
        <v/>
      </c>
      <c r="G10" s="571">
        <f>INPUT!G10</f>
        <v/>
      </c>
      <c r="H10" s="571">
        <f>IF(INPUT!H10&lt;&gt;"",INPUT!H10,INPUT!G10)</f>
        <v/>
      </c>
      <c r="I10" s="571">
        <f>-I9*(1-$I$30)</f>
        <v/>
      </c>
      <c r="J10" s="571">
        <f>-J9*(1-$I$30)</f>
        <v/>
      </c>
      <c r="K10" s="571">
        <f>-K9*(1-$I$30)</f>
        <v/>
      </c>
      <c r="L10" s="572">
        <f>-L9*(1-$I$30)</f>
        <v/>
      </c>
      <c r="M10" s="572">
        <f>-M9*(1-$I$30)</f>
        <v/>
      </c>
      <c r="N10" s="569" t="n"/>
    </row>
    <row r="11" ht="15" customHeight="1" s="489">
      <c r="A11" s="3" t="n"/>
      <c r="B11" s="52" t="inlineStr">
        <is>
          <t>Gross Profit</t>
        </is>
      </c>
      <c r="C11" s="406" t="n"/>
      <c r="D11" s="412">
        <f>SUM(D9:D10)</f>
        <v/>
      </c>
      <c r="E11" s="573">
        <f>SUM(E9:E10)</f>
        <v/>
      </c>
      <c r="F11" s="573">
        <f>SUM(F9:F10)</f>
        <v/>
      </c>
      <c r="G11" s="557">
        <f>SUM(G9:G10)</f>
        <v/>
      </c>
      <c r="H11" s="557">
        <f>SUM(H9:H10)</f>
        <v/>
      </c>
      <c r="I11" s="557">
        <f>SUM(I9:I10)</f>
        <v/>
      </c>
      <c r="J11" s="557">
        <f>SUM(J9:J10)</f>
        <v/>
      </c>
      <c r="K11" s="557">
        <f>SUM(K9:K10)</f>
        <v/>
      </c>
      <c r="L11" s="574">
        <f>SUM(L9:L10)</f>
        <v/>
      </c>
      <c r="M11" s="574">
        <f>SUM(M9:M10)</f>
        <v/>
      </c>
      <c r="N11" s="575" t="n"/>
    </row>
    <row r="12" ht="15" customHeight="1" s="489">
      <c r="A12" s="112" t="n"/>
      <c r="B12" s="113" t="n"/>
      <c r="C12" s="408" t="n"/>
      <c r="D12" s="411" t="n"/>
      <c r="E12" s="576" t="n"/>
      <c r="F12" s="576" t="n"/>
      <c r="G12" s="576" t="n"/>
      <c r="H12" s="576" t="n"/>
      <c r="I12" s="576" t="n"/>
      <c r="J12" s="576" t="n"/>
      <c r="K12" s="576" t="n"/>
      <c r="L12" s="115" t="n"/>
      <c r="M12" s="115" t="n"/>
      <c r="N12" s="115" t="n"/>
    </row>
    <row r="13" ht="15" customHeight="1" s="489">
      <c r="A13" s="3" t="n"/>
      <c r="B13" s="17" t="inlineStr">
        <is>
          <t>SG&amp;A Expenses</t>
        </is>
      </c>
      <c r="C13" s="405" t="n"/>
      <c r="D13" s="410">
        <f>INPUT!D14</f>
        <v/>
      </c>
      <c r="E13" s="566">
        <f>INPUT!E14</f>
        <v/>
      </c>
      <c r="F13" s="566">
        <f>INPUT!F14</f>
        <v/>
      </c>
      <c r="G13" s="567">
        <f>INPUT!G14</f>
        <v/>
      </c>
      <c r="H13" s="567">
        <f>IF(INPUT!H14&lt;&gt;"",INPUT!H14,INPUT!G14)</f>
        <v/>
      </c>
      <c r="I13" s="567">
        <f>-I9*$I$31</f>
        <v/>
      </c>
      <c r="J13" s="567">
        <f>-J9*$I$31</f>
        <v/>
      </c>
      <c r="K13" s="567">
        <f>-K9*$I$31</f>
        <v/>
      </c>
      <c r="L13" s="568">
        <f>-L9*$I$31</f>
        <v/>
      </c>
      <c r="M13" s="568">
        <f>-M9*$I$31</f>
        <v/>
      </c>
      <c r="N13" s="569" t="n"/>
    </row>
    <row r="14" ht="15" customHeight="1" s="489">
      <c r="A14" s="3" t="n"/>
      <c r="B14" s="17" t="inlineStr">
        <is>
          <t>Research &amp; Development</t>
        </is>
      </c>
      <c r="C14" s="405" t="n"/>
      <c r="D14" s="410">
        <f>INPUT!D15</f>
        <v/>
      </c>
      <c r="E14" s="570">
        <f>INPUT!E15</f>
        <v/>
      </c>
      <c r="F14" s="570">
        <f>INPUT!F15</f>
        <v/>
      </c>
      <c r="G14" s="571">
        <f>INPUT!G15</f>
        <v/>
      </c>
      <c r="H14" s="571">
        <f>IF(INPUT!H15&lt;&gt;"",INPUT!H15,INPUT!G15)</f>
        <v/>
      </c>
      <c r="I14" s="571">
        <f>-I9*$I$32</f>
        <v/>
      </c>
      <c r="J14" s="571">
        <f>-J9*$I$32</f>
        <v/>
      </c>
      <c r="K14" s="571">
        <f>-K9*$I$32</f>
        <v/>
      </c>
      <c r="L14" s="572">
        <f>-L9*$I$32</f>
        <v/>
      </c>
      <c r="M14" s="572">
        <f>-M9*$I$32</f>
        <v/>
      </c>
      <c r="N14" s="569" t="n"/>
    </row>
    <row r="15" ht="15" customHeight="1" s="489">
      <c r="A15" s="3" t="n"/>
      <c r="B15" s="52" t="inlineStr">
        <is>
          <t>EBITDA</t>
        </is>
      </c>
      <c r="C15" s="406" t="n"/>
      <c r="D15" s="412">
        <f>INPUT!D30</f>
        <v/>
      </c>
      <c r="E15" s="573">
        <f>INPUT!E30</f>
        <v/>
      </c>
      <c r="F15" s="573">
        <f>INPUT!F30</f>
        <v/>
      </c>
      <c r="G15" s="557">
        <f>INPUT!G30</f>
        <v/>
      </c>
      <c r="H15" s="557">
        <f>IF(INPUT!H30&lt;&gt;"",INPUT!H30,INPUT!G30)</f>
        <v/>
      </c>
      <c r="I15" s="557">
        <f>I11+I13+I14</f>
        <v/>
      </c>
      <c r="J15" s="557">
        <f>J11+J13+J14</f>
        <v/>
      </c>
      <c r="K15" s="557">
        <f>K11+K13+K14</f>
        <v/>
      </c>
      <c r="L15" s="574">
        <f>L11+L13+L14</f>
        <v/>
      </c>
      <c r="M15" s="574">
        <f>M11+M13+M14</f>
        <v/>
      </c>
      <c r="N15" s="575" t="n"/>
    </row>
    <row r="16" ht="15" customHeight="1" s="489">
      <c r="A16" s="112" t="n"/>
      <c r="B16" s="113" t="n"/>
      <c r="C16" s="408" t="n"/>
      <c r="D16" s="411" t="n"/>
      <c r="E16" s="576" t="n"/>
      <c r="F16" s="576" t="n"/>
      <c r="G16" s="576" t="n"/>
      <c r="H16" s="576" t="n"/>
      <c r="I16" s="576" t="n"/>
      <c r="J16" s="576" t="n"/>
      <c r="K16" s="576" t="n"/>
      <c r="L16" s="115" t="n"/>
      <c r="M16" s="115" t="n"/>
      <c r="N16" s="115" t="n"/>
    </row>
    <row r="17" ht="15" customHeight="1" s="489">
      <c r="A17" s="3" t="n"/>
      <c r="B17" s="17" t="inlineStr">
        <is>
          <t>Depreciation &amp; Amortization</t>
        </is>
      </c>
      <c r="C17" s="405" t="n"/>
      <c r="D17" s="410">
        <f>INPUT!D16</f>
        <v/>
      </c>
      <c r="E17" s="570">
        <f>INPUT!E16</f>
        <v/>
      </c>
      <c r="F17" s="570">
        <f>INPUT!F16</f>
        <v/>
      </c>
      <c r="G17" s="571">
        <f>INPUT!G16</f>
        <v/>
      </c>
      <c r="H17" s="571">
        <f>IF(INPUT!H16&lt;&gt;"",INPUT!H16,INPUT!G16)</f>
        <v/>
      </c>
      <c r="I17" s="571">
        <f>-I9*$I$33</f>
        <v/>
      </c>
      <c r="J17" s="571">
        <f>-J9*$I$33</f>
        <v/>
      </c>
      <c r="K17" s="571">
        <f>-K9*$I$33</f>
        <v/>
      </c>
      <c r="L17" s="572">
        <f>-L9*$I$33</f>
        <v/>
      </c>
      <c r="M17" s="572">
        <f>-M9*$I$33</f>
        <v/>
      </c>
      <c r="N17" s="569" t="n"/>
    </row>
    <row r="18" ht="15" customHeight="1" s="489">
      <c r="A18" s="3" t="n"/>
      <c r="B18" s="52" t="inlineStr">
        <is>
          <t>EBIT (Operating Profit)</t>
        </is>
      </c>
      <c r="C18" s="406" t="n"/>
      <c r="D18" s="412">
        <f>D15+D17</f>
        <v/>
      </c>
      <c r="E18" s="573">
        <f>E15+E17</f>
        <v/>
      </c>
      <c r="F18" s="573">
        <f>F15+F17</f>
        <v/>
      </c>
      <c r="G18" s="557">
        <f>G15+G17</f>
        <v/>
      </c>
      <c r="H18" s="557">
        <f>H15+H17</f>
        <v/>
      </c>
      <c r="I18" s="557">
        <f>I15+I17</f>
        <v/>
      </c>
      <c r="J18" s="557">
        <f>J15+J17</f>
        <v/>
      </c>
      <c r="K18" s="557">
        <f>K15+K17</f>
        <v/>
      </c>
      <c r="L18" s="574">
        <f>L15+L17</f>
        <v/>
      </c>
      <c r="M18" s="574">
        <f>M15+M17</f>
        <v/>
      </c>
      <c r="N18" s="575" t="n"/>
    </row>
    <row r="19" ht="15" customHeight="1" s="489">
      <c r="A19" s="112" t="n"/>
      <c r="B19" s="113" t="n"/>
      <c r="C19" s="408" t="n"/>
      <c r="D19" s="411" t="n"/>
      <c r="E19" s="576" t="n"/>
      <c r="F19" s="576" t="n"/>
      <c r="G19" s="576" t="n"/>
      <c r="H19" s="576" t="n"/>
      <c r="I19" s="576" t="n"/>
      <c r="J19" s="576" t="n"/>
      <c r="K19" s="576" t="n"/>
      <c r="L19" s="115" t="n"/>
      <c r="M19" s="115" t="n"/>
      <c r="N19" s="115" t="n"/>
    </row>
    <row r="20" ht="15" customHeight="1" s="489">
      <c r="A20" s="3" t="n"/>
      <c r="B20" s="17" t="inlineStr">
        <is>
          <t>Interest Expense</t>
        </is>
      </c>
      <c r="C20" s="405" t="n"/>
      <c r="D20" s="410">
        <f>INPUT!D20</f>
        <v/>
      </c>
      <c r="E20" s="570">
        <f>INPUT!E20</f>
        <v/>
      </c>
      <c r="F20" s="570">
        <f>INPUT!F20</f>
        <v/>
      </c>
      <c r="G20" s="571">
        <f>INPUT!G20</f>
        <v/>
      </c>
      <c r="H20" s="571">
        <f>IF(INPUT!H20&lt;&gt;"",INPUT!H20,INPUT!G20)</f>
        <v/>
      </c>
      <c r="I20" s="571">
        <f>-I18*(INPUT!H103)/(1-$I$34)</f>
        <v/>
      </c>
      <c r="J20" s="571">
        <f>-J18*(INPUT!H103)/(1-$I$34)</f>
        <v/>
      </c>
      <c r="K20" s="571">
        <f>-K18*(INPUT!H103)/(1-$I$34)</f>
        <v/>
      </c>
      <c r="L20" s="572">
        <f>-L18*(INPUT!H103)/(1-$I$34)</f>
        <v/>
      </c>
      <c r="M20" s="572">
        <f>-M18*(INPUT!H103)/(1-$I$34)</f>
        <v/>
      </c>
      <c r="N20" s="569" t="n"/>
    </row>
    <row r="21" ht="15" customHeight="1" s="489">
      <c r="A21" s="3" t="n"/>
      <c r="B21" s="52" t="inlineStr">
        <is>
          <t>Earnings Before Tax (EBT)</t>
        </is>
      </c>
      <c r="C21" s="406" t="n"/>
      <c r="D21" s="412">
        <f>D18+D20</f>
        <v/>
      </c>
      <c r="E21" s="573">
        <f>E18+E20</f>
        <v/>
      </c>
      <c r="F21" s="573">
        <f>F18+F20</f>
        <v/>
      </c>
      <c r="G21" s="557">
        <f>G18+G20</f>
        <v/>
      </c>
      <c r="H21" s="557">
        <f>H18+H20</f>
        <v/>
      </c>
      <c r="I21" s="557">
        <f>I18+I20</f>
        <v/>
      </c>
      <c r="J21" s="557">
        <f>J18+J20</f>
        <v/>
      </c>
      <c r="K21" s="557">
        <f>K18+K20</f>
        <v/>
      </c>
      <c r="L21" s="574">
        <f>L18+L20</f>
        <v/>
      </c>
      <c r="M21" s="574">
        <f>M18+M20</f>
        <v/>
      </c>
      <c r="N21" s="575" t="n"/>
    </row>
    <row r="22" ht="15" customHeight="1" s="489">
      <c r="A22" s="112" t="n"/>
      <c r="B22" s="113" t="n"/>
      <c r="C22" s="408" t="n"/>
      <c r="D22" s="411" t="n"/>
      <c r="E22" s="576" t="n"/>
      <c r="F22" s="576" t="n"/>
      <c r="G22" s="576" t="n"/>
      <c r="H22" s="576" t="n"/>
      <c r="I22" s="576" t="n"/>
      <c r="J22" s="576" t="n"/>
      <c r="K22" s="576" t="n"/>
      <c r="L22" s="115" t="n"/>
      <c r="M22" s="115" t="n"/>
      <c r="N22" s="115" t="n"/>
    </row>
    <row r="23" ht="15" customHeight="1" s="489">
      <c r="A23" s="3" t="n"/>
      <c r="B23" s="17" t="inlineStr">
        <is>
          <t>Income Taxes</t>
        </is>
      </c>
      <c r="C23" s="405" t="n"/>
      <c r="D23" s="410">
        <f>INPUT!D24</f>
        <v/>
      </c>
      <c r="E23" s="566">
        <f>INPUT!E24</f>
        <v/>
      </c>
      <c r="F23" s="566">
        <f>INPUT!F24</f>
        <v/>
      </c>
      <c r="G23" s="567">
        <f>INPUT!G24</f>
        <v/>
      </c>
      <c r="H23" s="567">
        <f>IF(INPUT!H24&lt;&gt;"",INPUT!H24,INPUT!G24)</f>
        <v/>
      </c>
      <c r="I23" s="567">
        <f>-I21*$I$34</f>
        <v/>
      </c>
      <c r="J23" s="567">
        <f>-J21*$I$34</f>
        <v/>
      </c>
      <c r="K23" s="567">
        <f>-K21*$I$34</f>
        <v/>
      </c>
      <c r="L23" s="568">
        <f>-L21*$I$34</f>
        <v/>
      </c>
      <c r="M23" s="568">
        <f>-M21*$I$34</f>
        <v/>
      </c>
      <c r="N23" s="569" t="n"/>
    </row>
    <row r="24" ht="15" customHeight="1" s="489" thickBot="1">
      <c r="A24" s="3" t="n"/>
      <c r="B24" s="52" t="inlineStr">
        <is>
          <t>Net Income</t>
        </is>
      </c>
      <c r="C24" s="406" t="n"/>
      <c r="D24" s="412">
        <f>D21+D23</f>
        <v/>
      </c>
      <c r="E24" s="577">
        <f>E21+E23</f>
        <v/>
      </c>
      <c r="F24" s="577">
        <f>F21+F23</f>
        <v/>
      </c>
      <c r="G24" s="578">
        <f>G21+G23</f>
        <v/>
      </c>
      <c r="H24" s="578">
        <f>H21+H23</f>
        <v/>
      </c>
      <c r="I24" s="578">
        <f>I21+I23</f>
        <v/>
      </c>
      <c r="J24" s="578">
        <f>J21+J23</f>
        <v/>
      </c>
      <c r="K24" s="578">
        <f>K21+K23</f>
        <v/>
      </c>
      <c r="L24" s="579">
        <f>L21+L23</f>
        <v/>
      </c>
      <c r="M24" s="579">
        <f>M21+M23</f>
        <v/>
      </c>
      <c r="N24" s="575" t="n"/>
    </row>
    <row r="25" ht="15" customHeight="1" s="489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 s="489">
      <c r="A26" s="7" t="inlineStr">
        <is>
          <t xml:space="preserve"> </t>
        </is>
      </c>
      <c r="B26" s="47" t="inlineStr">
        <is>
          <t>ASSUMPTIONS &amp; DRIVERS</t>
        </is>
      </c>
      <c r="C26" s="42" t="n"/>
      <c r="D26" s="42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 s="489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 s="489">
      <c r="A28" s="1" t="inlineStr">
        <is>
          <t xml:space="preserve"> </t>
        </is>
      </c>
      <c r="B28" s="79" t="inlineStr">
        <is>
          <t>INCOME STATEMENT DRIVERS</t>
        </is>
      </c>
      <c r="C28" s="80" t="n"/>
      <c r="D28" s="80" t="n"/>
      <c r="E28" s="1" t="n"/>
      <c r="F28" s="1" t="n"/>
      <c r="G28" s="24" t="n"/>
      <c r="H28" s="24" t="n"/>
      <c r="I28" s="24" t="n"/>
      <c r="J28" s="24" t="n"/>
      <c r="K28" s="24" t="n"/>
      <c r="L28" s="24" t="n"/>
      <c r="M28" s="24" t="n"/>
      <c r="N28" s="190" t="n"/>
    </row>
    <row r="29" ht="15" customHeight="1" s="489">
      <c r="A29" s="3" t="n"/>
      <c r="B29" s="17" t="inlineStr">
        <is>
          <t>Revenue Growth Rate (YoY)</t>
        </is>
      </c>
      <c r="C29" s="9" t="n"/>
      <c r="D29" s="306">
        <f>IFERROR(IF(NOT(ISBLANK(INPUT!H9)),INPUT!H9/INPUT!G9-1,IF(NOT(ISBLANK(INPUT!G9)),INPUT!G9/INPUT!F9-1,IF(NOT(ISBLANK(INPUT!F9)),INPUT!F9/INPUT!E9-1,IF(NOT(ISBLANK(INPUT!E9)),INPUT!E9/INPUT!D9-1,0.05)))),0.05)</f>
        <v/>
      </c>
      <c r="I29" s="580">
        <f>IF(D46="Yes",D45,IFERROR(AVERAGE(IF(ISNUMBER(RATIOS!F44),RATIOS!F44,0),IF(ISNUMBER(RATIOS!G44),RATIOS!G44,0),IF(ISNUMBER(RATIOS!H44),RATIOS!H44,0)),0.05))</f>
        <v/>
      </c>
    </row>
    <row r="30" ht="15" customHeight="1" s="489">
      <c r="A30" s="3" t="n"/>
      <c r="B30" s="17" t="inlineStr">
        <is>
          <t>Gross Margin</t>
        </is>
      </c>
      <c r="C30" s="9" t="n"/>
      <c r="D30" s="306">
        <f>IFERROR(INPUT!H11/INPUT!H9,0.4)</f>
        <v/>
      </c>
      <c r="I30" s="580">
        <f>IFERROR(AVERAGE(IF(INPUT!E9&lt;&gt;0,INPUT!E11/INPUT!E9),IF(INPUT!F9&lt;&gt;0,INPUT!F11/INPUT!F9),IF(INPUT!G9&lt;&gt;0,INPUT!G11/INPUT!G9),IF(INPUT!H9&lt;&gt;0,INPUT!H11/INPUT!H9)),0.4)</f>
        <v/>
      </c>
    </row>
    <row r="31" ht="15" customHeight="1" s="489">
      <c r="A31" s="3" t="n"/>
      <c r="B31" s="17" t="inlineStr">
        <is>
          <t>SG&amp;A (% of Revenue)</t>
        </is>
      </c>
      <c r="C31" s="9" t="n"/>
      <c r="D31" s="306">
        <f>IFERROR(ABS(INPUT!H14)/INPUT!H9,0.15)</f>
        <v/>
      </c>
      <c r="I31" s="580">
        <f>IFERROR(AVERAGE(IF(INPUT!E9&lt;&gt;0,ABS(INPUT!E14)/INPUT!E9),IF(INPUT!F9&lt;&gt;0,ABS(INPUT!F14)/INPUT!F9),IF(INPUT!G9&lt;&gt;0,ABS(INPUT!G14)/INPUT!G9),IF(INPUT!H9&lt;&gt;0,ABS(INPUT!H14)/INPUT!H9)),0.15)</f>
        <v/>
      </c>
    </row>
    <row r="32" ht="15" customHeight="1" s="489">
      <c r="A32" s="3" t="n"/>
      <c r="B32" s="17" t="inlineStr">
        <is>
          <t>R&amp;D (% of Revenue)</t>
        </is>
      </c>
      <c r="C32" s="9" t="n"/>
      <c r="D32" s="306">
        <f>IFERROR(ABS(INPUT!H15)/INPUT!H9,0.05)</f>
        <v/>
      </c>
      <c r="I32" s="580">
        <f>IFERROR(AVERAGE(IF(INPUT!E9&lt;&gt;0,ABS(INPUT!E15)/INPUT!E9),IF(INPUT!F9&lt;&gt;0,ABS(INPUT!F15)/INPUT!F9),IF(INPUT!G9&lt;&gt;0,ABS(INPUT!G15)/INPUT!G9),IF(INPUT!H9&lt;&gt;0,ABS(INPUT!H15)/INPUT!H9)),0.05)</f>
        <v/>
      </c>
    </row>
    <row r="33" ht="15" customHeight="1" s="489">
      <c r="A33" s="3" t="n"/>
      <c r="B33" s="17" t="inlineStr">
        <is>
          <t>D&amp;A (% of Revenue)</t>
        </is>
      </c>
      <c r="C33" s="9" t="n"/>
      <c r="D33" s="306">
        <f>IFERROR(ABS(INPUT!H16)/INPUT!H9,0.04)</f>
        <v/>
      </c>
      <c r="I33" s="580">
        <f>IFERROR(AVERAGE(IF(INPUT!E9&lt;&gt;0,ABS(INPUT!E16)/INPUT!E9),IF(INPUT!F9&lt;&gt;0,ABS(INPUT!F16)/INPUT!F9),IF(INPUT!G9&lt;&gt;0,ABS(INPUT!G16)/INPUT!G9),IF(INPUT!H9&lt;&gt;0,ABS(INPUT!H16)/INPUT!H9)),0.04)</f>
        <v/>
      </c>
    </row>
    <row r="34" ht="15" customHeight="1" s="489">
      <c r="A34" s="3" t="n"/>
      <c r="B34" s="17" t="inlineStr">
        <is>
          <t>Effective Tax Rate</t>
        </is>
      </c>
      <c r="C34" s="9" t="n"/>
      <c r="D34" s="306">
        <f>IFERROR(INPUT!H104,0.21)</f>
        <v/>
      </c>
      <c r="I34" s="580">
        <f>IFERROR(AVERAGEIF(INPUT!E104:H104,"&lt;&gt;0"),0.21)</f>
        <v/>
      </c>
    </row>
    <row r="35" ht="15" customHeight="1" s="489">
      <c r="A35" s="3" t="n"/>
      <c r="B35" s="14" t="n"/>
      <c r="C35" s="9" t="n"/>
      <c r="D35" s="9" t="n"/>
      <c r="E35" s="68" t="n"/>
      <c r="F35" s="68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 s="489">
      <c r="A36" s="7" t="inlineStr">
        <is>
          <t xml:space="preserve"> </t>
        </is>
      </c>
      <c r="B36" s="415" t="inlineStr">
        <is>
          <t>BALANCE SHEET / CASH FLOW DRIVERS</t>
        </is>
      </c>
      <c r="C36" s="42" t="n"/>
      <c r="D36" s="42" t="n"/>
      <c r="E36" s="42" t="n"/>
      <c r="F36" s="42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 s="489">
      <c r="A37" s="3" t="n"/>
      <c r="B37" s="17" t="inlineStr">
        <is>
          <t>CapEx (% of Revenue)</t>
        </is>
      </c>
      <c r="C37" s="9" t="n"/>
      <c r="D37" s="306">
        <f>IFERROR(ABS(INPUT!H78)/INPUT!H9,0.05)</f>
        <v/>
      </c>
      <c r="E37" s="581">
        <f>I37</f>
        <v/>
      </c>
      <c r="F37" s="581">
        <f>I37</f>
        <v/>
      </c>
      <c r="G37" s="582" t="n"/>
      <c r="H37" s="582" t="n"/>
      <c r="I37" s="583">
        <f>IFERROR(AVERAGE(IF(INPUT!E9&lt;&gt;0,ABS(INPUT!E78)/INPUT!E9),IF(INPUT!F9&lt;&gt;0,ABS(INPUT!F78)/INPUT!F9),IF(INPUT!G9&lt;&gt;0,ABS(INPUT!G78)/INPUT!G9),IF(INPUT!H9&lt;&gt;0,ABS(INPUT!H78)/INPUT!H9)),0.05)</f>
        <v/>
      </c>
      <c r="J37" s="584">
        <f>I37</f>
        <v/>
      </c>
      <c r="K37" s="584">
        <f>I37</f>
        <v/>
      </c>
      <c r="L37" s="585">
        <f>I37</f>
        <v/>
      </c>
      <c r="M37" s="585">
        <f>I37</f>
        <v/>
      </c>
      <c r="N37" s="586" t="n"/>
    </row>
    <row r="38" ht="15" customHeight="1" s="489">
      <c r="A38" s="3" t="n"/>
      <c r="B38" s="17" t="inlineStr">
        <is>
          <t>Change in NWC (% of Revenue Change)</t>
        </is>
      </c>
      <c r="C38" s="9" t="n"/>
      <c r="D38" s="306">
        <f>IFERROR(ABS((INPUT!H71+INPUT!H72+INPUT!H73)/INPUT!H9),0.1)</f>
        <v/>
      </c>
      <c r="E38" s="581">
        <f>I38</f>
        <v/>
      </c>
      <c r="F38" s="581">
        <f>I38</f>
        <v/>
      </c>
      <c r="G38" s="582" t="n"/>
      <c r="H38" s="582" t="n"/>
      <c r="I38" s="583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84">
        <f>I38</f>
        <v/>
      </c>
      <c r="K38" s="584">
        <f>I38</f>
        <v/>
      </c>
      <c r="L38" s="585">
        <f>I38</f>
        <v/>
      </c>
      <c r="M38" s="585">
        <f>I38</f>
        <v/>
      </c>
      <c r="N38" s="586" t="n"/>
    </row>
    <row r="39" ht="15" customHeight="1" s="489">
      <c r="A39" s="3" t="n"/>
      <c r="B39" s="17" t="n"/>
      <c r="C39" s="9" t="n"/>
      <c r="D39" s="306" t="n"/>
      <c r="E39" s="587" t="n"/>
      <c r="F39" s="587" t="n"/>
      <c r="G39" s="582" t="n"/>
      <c r="H39" s="582" t="n"/>
      <c r="I39" s="588" t="n"/>
      <c r="J39" s="582" t="n"/>
      <c r="K39" s="582" t="n"/>
      <c r="L39" s="586" t="n"/>
      <c r="M39" s="586" t="n"/>
      <c r="N39" s="586" t="n"/>
    </row>
    <row r="40" ht="15" customHeight="1" s="489">
      <c r="A40" s="462" t="n"/>
      <c r="B40" s="462" t="inlineStr">
        <is>
          <t>(Section Brent désactivée — non pertinente Utility)</t>
        </is>
      </c>
      <c r="C40" s="462" t="n"/>
      <c r="D40" s="462" t="n"/>
      <c r="E40" s="462" t="n"/>
      <c r="F40" s="462" t="n"/>
      <c r="G40" s="462" t="n"/>
      <c r="H40" s="462" t="n"/>
      <c r="I40" s="462" t="n"/>
      <c r="J40" s="462" t="n"/>
      <c r="K40" s="462" t="n"/>
      <c r="L40" s="462" t="n"/>
      <c r="M40" s="462" t="n"/>
      <c r="N40" s="462" t="n"/>
    </row>
    <row r="41" ht="18" customHeight="1" s="489" thickBot="1">
      <c r="A41" s="474" t="n"/>
      <c r="B41" s="69" t="n"/>
      <c r="C41" s="191" t="n"/>
      <c r="D41" s="471" t="n"/>
      <c r="E41" s="471" t="n"/>
      <c r="F41" s="471" t="n"/>
      <c r="G41" s="463" t="n"/>
    </row>
    <row r="42" ht="18" customHeight="1" s="489" thickBot="1">
      <c r="A42" s="107" t="n"/>
      <c r="B42" s="504" t="n"/>
      <c r="C42" s="417" t="n"/>
      <c r="D42" s="473" t="n"/>
      <c r="E42" s="472">
        <f>IF(D42="Bear",60,IF(D42="Base",75,IF(D42="Bull",90,75)))</f>
        <v/>
      </c>
    </row>
    <row r="43" ht="15" customHeight="1" s="489">
      <c r="A43" s="3" t="n"/>
      <c r="B43" s="69" t="n"/>
      <c r="C43" s="191" t="n"/>
      <c r="D43" s="535" t="n"/>
      <c r="E43" s="589">
        <f>E18</f>
        <v/>
      </c>
      <c r="F43" s="589">
        <f>F18</f>
        <v/>
      </c>
      <c r="G43" s="590">
        <f>G18</f>
        <v/>
      </c>
      <c r="H43" s="590">
        <f>H18</f>
        <v/>
      </c>
      <c r="I43" s="590">
        <f>I18</f>
        <v/>
      </c>
      <c r="J43" s="590">
        <f>J18</f>
        <v/>
      </c>
      <c r="K43" s="590">
        <f>K18</f>
        <v/>
      </c>
      <c r="L43" s="590">
        <f>L18</f>
        <v/>
      </c>
      <c r="M43" s="590">
        <f>M18</f>
        <v/>
      </c>
    </row>
    <row r="44" ht="15" customHeight="1" s="489">
      <c r="A44" s="3" t="n"/>
      <c r="B44" s="69" t="n"/>
      <c r="C44" s="191" t="n"/>
      <c r="D44" s="536" t="n"/>
      <c r="E44" s="589">
        <f>E18*(-INPUT!E104)</f>
        <v/>
      </c>
      <c r="F44" s="589">
        <f>F18*(-INPUT!F104)</f>
        <v/>
      </c>
      <c r="G44" s="590">
        <f>G18*(-INPUT!G104)</f>
        <v/>
      </c>
      <c r="H44" s="590">
        <f>H18*(-INPUT!H104)</f>
        <v/>
      </c>
      <c r="I44" s="590">
        <f>I18*(-$I$34)</f>
        <v/>
      </c>
      <c r="J44" s="590">
        <f>J18*(-$I$34)</f>
        <v/>
      </c>
      <c r="K44" s="590">
        <f>K18*(-$I$34)</f>
        <v/>
      </c>
      <c r="L44" s="590">
        <f>L18*(-$I$34)</f>
        <v/>
      </c>
      <c r="M44" s="591">
        <f>M18*(-$I$34)</f>
        <v/>
      </c>
    </row>
    <row r="45" ht="15" customHeight="1" s="489">
      <c r="A45" s="3" t="n"/>
      <c r="B45" s="504" t="n"/>
      <c r="C45" s="191" t="n"/>
      <c r="D45" s="592">
        <f>IFERROR(((INPUT!H9+(E42-D44)*D43)/INPUT!H9)-1,0)</f>
        <v/>
      </c>
      <c r="E45" s="593">
        <f>E43+E44</f>
        <v/>
      </c>
      <c r="F45" s="593">
        <f>F43+F44</f>
        <v/>
      </c>
      <c r="G45" s="594">
        <f>G43+G44</f>
        <v/>
      </c>
      <c r="H45" s="594">
        <f>H43+H44</f>
        <v/>
      </c>
      <c r="I45" s="594">
        <f>I43+I44</f>
        <v/>
      </c>
      <c r="J45" s="594">
        <f>J43+J44</f>
        <v/>
      </c>
      <c r="K45" s="594">
        <f>K43+K44</f>
        <v/>
      </c>
      <c r="L45" s="594">
        <f>L43+L44</f>
        <v/>
      </c>
      <c r="M45" s="595">
        <f>M43+M44</f>
        <v/>
      </c>
    </row>
    <row r="46" ht="15" customHeight="1" s="489">
      <c r="A46" s="65" t="n"/>
      <c r="B46" s="48" t="n"/>
      <c r="C46" s="82" t="n"/>
      <c r="D46" s="538" t="n"/>
    </row>
    <row r="47" ht="15" customHeight="1" s="489">
      <c r="A47" s="65" t="n"/>
      <c r="B47" s="48" t="n"/>
      <c r="C47" s="82" t="n"/>
      <c r="D47" s="461" t="n"/>
    </row>
    <row r="48" ht="15" customHeight="1" s="489">
      <c r="A48" s="470" t="n"/>
      <c r="B48" s="470" t="inlineStr">
        <is>
          <t>FREE CASH FLOW CALCULATION</t>
        </is>
      </c>
      <c r="C48" s="470" t="n"/>
      <c r="D48" s="470" t="n"/>
      <c r="E48" s="470" t="n"/>
      <c r="F48" s="470" t="n"/>
      <c r="G48" s="470" t="n"/>
      <c r="H48" s="470" t="n"/>
      <c r="I48" s="470" t="n"/>
      <c r="J48" s="470" t="n"/>
      <c r="K48" s="470" t="n"/>
      <c r="L48" s="470" t="n"/>
      <c r="M48" s="470" t="n"/>
      <c r="N48" s="470" t="n"/>
    </row>
    <row r="49" ht="15" customHeight="1" s="489">
      <c r="A49" s="65" t="inlineStr">
        <is>
          <t xml:space="preserve"> </t>
        </is>
      </c>
      <c r="B49" s="418" t="inlineStr">
        <is>
          <t>(+) Depreciation &amp; Amortization</t>
        </is>
      </c>
      <c r="C49" s="417" t="n"/>
      <c r="E49" s="589">
        <f>ABS(E17)</f>
        <v/>
      </c>
      <c r="F49" s="589">
        <f>ABS(F17)</f>
        <v/>
      </c>
      <c r="G49" s="590">
        <f>ABS(G17)</f>
        <v/>
      </c>
      <c r="H49" s="590">
        <f>ABS(H17)</f>
        <v/>
      </c>
      <c r="I49" s="590">
        <f>ABS(I17)</f>
        <v/>
      </c>
      <c r="J49" s="590">
        <f>ABS(J17)</f>
        <v/>
      </c>
      <c r="K49" s="590">
        <f>ABS(K17)</f>
        <v/>
      </c>
      <c r="L49" s="590">
        <f>ABS(L17)</f>
        <v/>
      </c>
      <c r="M49" s="590">
        <f>ABS(M17)</f>
        <v/>
      </c>
    </row>
    <row r="50" ht="15" customHeight="1" s="489">
      <c r="A50" s="3" t="n"/>
      <c r="B50" s="69" t="inlineStr">
        <is>
          <t>(-) Capital Expenditures (CapEx)</t>
        </is>
      </c>
      <c r="E50" s="589">
        <f>INPUT!E78</f>
        <v/>
      </c>
      <c r="F50" s="589">
        <f>INPUT!F78</f>
        <v/>
      </c>
      <c r="G50" s="590">
        <f>INPUT!G78</f>
        <v/>
      </c>
      <c r="H50" s="590">
        <f>IF(INPUT!H78&lt;&gt;"",INPUT!H78,INPUT!G78)</f>
        <v/>
      </c>
      <c r="I50" s="590">
        <f>-I9*$I$37</f>
        <v/>
      </c>
      <c r="J50" s="590">
        <f>-J9*$I$37</f>
        <v/>
      </c>
      <c r="K50" s="590">
        <f>-K9*$I$37</f>
        <v/>
      </c>
      <c r="L50" s="590">
        <f>-L9*$I$37</f>
        <v/>
      </c>
      <c r="M50" s="590">
        <f>-M9*$I$37</f>
        <v/>
      </c>
    </row>
    <row r="51" ht="15" customHeight="1" s="489">
      <c r="A51" s="3" t="n"/>
      <c r="B51" s="69" t="inlineStr">
        <is>
          <t>(-) Change in Working Capital</t>
        </is>
      </c>
      <c r="E51" s="589">
        <f>INPUT!E70+INPUT!E71+INPUT!E72+INPUT!E73</f>
        <v/>
      </c>
      <c r="F51" s="589">
        <f>INPUT!F70+INPUT!F71+INPUT!F72+INPUT!F73</f>
        <v/>
      </c>
      <c r="G51" s="590">
        <f>INPUT!G70+INPUT!G71+INPUT!G72+INPUT!G73</f>
        <v/>
      </c>
      <c r="H51" s="590">
        <f>IF(INPUT!H70&lt;&gt;"",INPUT!H70,INPUT!G70)+IF(INPUT!H71&lt;&gt;"",INPUT!H71,INPUT!G71)+IF(INPUT!H72&lt;&gt;"",INPUT!H72,INPUT!G72)+IF(INPUT!H73&lt;&gt;"",INPUT!H73,INPUT!G73)</f>
        <v/>
      </c>
      <c r="I51" s="590">
        <f>-(I9-H9)*$I$38</f>
        <v/>
      </c>
      <c r="J51" s="590">
        <f>-(J9-I9)*$I$38</f>
        <v/>
      </c>
      <c r="K51" s="590">
        <f>-(K9-J9)*$I$38</f>
        <v/>
      </c>
      <c r="L51" s="590">
        <f>-(L9-K9)*$I$38</f>
        <v/>
      </c>
      <c r="M51" s="590">
        <f>-(M9-L9)*$I$38</f>
        <v/>
      </c>
    </row>
    <row r="52" ht="15" customHeight="1" s="489">
      <c r="A52" s="65" t="n"/>
      <c r="B52" s="504" t="inlineStr">
        <is>
          <t>Unlevered Free Cash Flow (UFCF)</t>
        </is>
      </c>
      <c r="E52" s="593">
        <f>E45+E49+E50+E51</f>
        <v/>
      </c>
      <c r="F52" s="593">
        <f>F45+F49+F50+F51</f>
        <v/>
      </c>
      <c r="G52" s="594">
        <f>G45+G49+G50+G51</f>
        <v/>
      </c>
      <c r="H52" s="594">
        <f>H45+H49+H50+H51</f>
        <v/>
      </c>
      <c r="I52" s="594">
        <f>I45+I49+I50+I51</f>
        <v/>
      </c>
      <c r="J52" s="594">
        <f>J45+J49+J50+J51</f>
        <v/>
      </c>
      <c r="K52" s="594">
        <f>K45+K49+K50+K51</f>
        <v/>
      </c>
      <c r="L52" s="594">
        <f>L45+L49+L50+L51</f>
        <v/>
      </c>
      <c r="M52" s="595">
        <f>M45+M49+M50+M51</f>
        <v/>
      </c>
    </row>
    <row r="53" ht="18" customHeight="1" s="489">
      <c r="A53" s="3" t="n"/>
    </row>
    <row r="54" ht="18" customHeight="1" s="489">
      <c r="A54" s="7" t="n"/>
      <c r="B54" s="47" t="inlineStr">
        <is>
          <t>WACC CALCULATION (Capital Asset Pricing Model)</t>
        </is>
      </c>
      <c r="C54" s="42" t="n"/>
      <c r="D54" s="42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313" t="n"/>
    </row>
    <row r="55" ht="15" customHeight="1" s="489">
      <c r="A55" s="107" t="n"/>
      <c r="B55" s="116" t="n"/>
      <c r="C55" s="117" t="n"/>
      <c r="D55" s="117" t="n"/>
      <c r="E55" s="98" t="n"/>
      <c r="F55" s="98" t="n"/>
      <c r="G55" s="98" t="n"/>
      <c r="H55" s="98" t="n"/>
      <c r="J55" s="98" t="n"/>
      <c r="K55" s="98" t="n"/>
      <c r="L55" s="98" t="n"/>
      <c r="M55" s="98" t="n"/>
      <c r="N55" s="98" t="n"/>
    </row>
    <row r="56" ht="15" customHeight="1" s="489">
      <c r="A56" s="3" t="n"/>
      <c r="B56" s="17" t="inlineStr">
        <is>
          <t>Risk-Free Rate (Rf)</t>
        </is>
      </c>
      <c r="C56" s="9" t="n"/>
      <c r="D56" s="306">
        <f>INPUT!H100</f>
        <v/>
      </c>
      <c r="E56" s="292" t="n"/>
      <c r="F56" s="292" t="n"/>
      <c r="G56" s="292" t="n"/>
      <c r="H56" s="292" t="n"/>
      <c r="J56" s="292" t="n"/>
      <c r="K56" s="292" t="n"/>
      <c r="L56" s="292" t="n"/>
      <c r="M56" s="292" t="n"/>
      <c r="N56" s="315">
        <f>D56</f>
        <v/>
      </c>
    </row>
    <row r="57" ht="15" customHeight="1" s="489">
      <c r="A57" s="3" t="n"/>
      <c r="B57" s="17" t="inlineStr">
        <is>
          <t>Beta (Levered)</t>
        </is>
      </c>
      <c r="C57" s="9" t="n"/>
      <c r="D57" s="306">
        <f>INPUT!H99</f>
        <v/>
      </c>
      <c r="E57" s="292" t="n"/>
      <c r="F57" s="292" t="n"/>
      <c r="G57" s="292" t="n"/>
      <c r="H57" s="292" t="n"/>
      <c r="J57" s="292" t="n"/>
      <c r="K57" s="292" t="n"/>
      <c r="L57" s="292" t="n"/>
      <c r="M57" s="292" t="n"/>
      <c r="N57" s="316">
        <f>D57</f>
        <v/>
      </c>
    </row>
    <row r="58" ht="15" customHeight="1" s="489">
      <c r="A58" s="3" t="n"/>
      <c r="B58" s="17" t="inlineStr">
        <is>
          <t>Equity Risk Premium (ERP)</t>
        </is>
      </c>
      <c r="C58" s="9" t="n"/>
      <c r="D58" s="306">
        <f>INPUT!H101</f>
        <v/>
      </c>
      <c r="E58" s="292" t="n"/>
      <c r="F58" s="292" t="n"/>
      <c r="G58" s="292" t="n"/>
      <c r="H58" s="292" t="n"/>
      <c r="J58" s="292" t="n"/>
      <c r="K58" s="292" t="n"/>
      <c r="L58" s="292" t="n"/>
      <c r="M58" s="292" t="n"/>
      <c r="N58" s="315">
        <f>D58</f>
        <v/>
      </c>
    </row>
    <row r="59" ht="15" customHeight="1" s="489">
      <c r="A59" s="3" t="n"/>
      <c r="B59" s="52" t="inlineStr">
        <is>
          <t>Cost of Equity (CAPM)</t>
        </is>
      </c>
      <c r="C59" s="11" t="n"/>
      <c r="D59" s="307">
        <f>D56+D57*D58</f>
        <v/>
      </c>
      <c r="E59" s="293" t="n"/>
      <c r="F59" s="293" t="n"/>
      <c r="G59" s="293" t="n"/>
      <c r="H59" s="293" t="n"/>
      <c r="J59" s="293" t="n"/>
      <c r="K59" s="293" t="n"/>
      <c r="L59" s="293" t="n"/>
      <c r="M59" s="293" t="n"/>
      <c r="N59" s="317">
        <f>D59</f>
        <v/>
      </c>
    </row>
    <row r="60" ht="15" customHeight="1" s="489">
      <c r="A60" s="3" t="n"/>
      <c r="B60" s="17" t="n"/>
      <c r="C60" s="9" t="n"/>
      <c r="D60" s="9" t="n"/>
      <c r="E60" s="22" t="n"/>
      <c r="F60" s="22" t="n"/>
      <c r="G60" s="22" t="n"/>
      <c r="H60" s="22" t="n"/>
      <c r="J60" s="22" t="n"/>
      <c r="K60" s="22" t="n"/>
      <c r="L60" s="22" t="n"/>
      <c r="M60" s="22" t="n"/>
      <c r="N60" s="55" t="n"/>
    </row>
    <row r="61" ht="15" customHeight="1" s="489">
      <c r="A61" s="3" t="n"/>
      <c r="B61" s="17" t="inlineStr">
        <is>
          <t>Target Equity Weight (We)</t>
        </is>
      </c>
      <c r="C61" s="9" t="n"/>
      <c r="D61" s="306">
        <f>INPUT!H106</f>
        <v/>
      </c>
      <c r="E61" s="292" t="n"/>
      <c r="F61" s="292" t="n"/>
      <c r="G61" s="292" t="n"/>
      <c r="H61" s="292" t="n"/>
      <c r="J61" s="292" t="n"/>
      <c r="K61" s="292" t="n"/>
      <c r="L61" s="292" t="n"/>
      <c r="M61" s="292" t="n"/>
      <c r="N61" s="596">
        <f>D61</f>
        <v/>
      </c>
    </row>
    <row r="62" ht="15" customHeight="1" s="489">
      <c r="A62" s="3" t="n"/>
      <c r="B62" s="17" t="inlineStr">
        <is>
          <t>Target Debt Weight (Wd)</t>
        </is>
      </c>
      <c r="C62" s="9" t="n"/>
      <c r="D62" s="306">
        <f>INPUT!H107</f>
        <v/>
      </c>
      <c r="E62" s="292" t="n"/>
      <c r="F62" s="292" t="n"/>
      <c r="G62" s="292" t="n"/>
      <c r="H62" s="292" t="n"/>
      <c r="J62" s="292" t="n"/>
      <c r="K62" s="292" t="n"/>
      <c r="L62" s="292" t="n"/>
      <c r="M62" s="292" t="n"/>
      <c r="N62" s="596">
        <f>D62</f>
        <v/>
      </c>
    </row>
    <row r="63" ht="15" customHeight="1" s="489">
      <c r="A63" s="3" t="n"/>
      <c r="B63" s="17" t="inlineStr">
        <is>
          <t>Pre-Tax Cost of Debt (Kd)</t>
        </is>
      </c>
      <c r="C63" s="9" t="n"/>
      <c r="D63" s="306">
        <f>INPUT!H103</f>
        <v/>
      </c>
      <c r="E63" s="292" t="n"/>
      <c r="F63" s="292" t="n"/>
      <c r="G63" s="292" t="n"/>
      <c r="H63" s="292" t="n"/>
      <c r="J63" s="292" t="n"/>
      <c r="K63" s="292" t="n"/>
      <c r="L63" s="292" t="n"/>
      <c r="M63" s="292" t="n"/>
      <c r="N63" s="315">
        <f>D63</f>
        <v/>
      </c>
    </row>
    <row r="64" ht="15" customHeight="1" s="489">
      <c r="A64" s="3" t="n"/>
      <c r="B64" s="17" t="inlineStr">
        <is>
          <t>Tax Rate</t>
        </is>
      </c>
      <c r="C64" s="9" t="n"/>
      <c r="D64" s="306">
        <f>INPUT!H104</f>
        <v/>
      </c>
      <c r="E64" s="292" t="n"/>
      <c r="F64" s="292" t="n"/>
      <c r="G64" s="292" t="n"/>
      <c r="H64" s="292" t="n"/>
      <c r="J64" s="292" t="n"/>
      <c r="K64" s="292" t="n"/>
      <c r="L64" s="292" t="n"/>
      <c r="M64" s="292" t="n"/>
      <c r="N64" s="596">
        <f>D64</f>
        <v/>
      </c>
    </row>
    <row r="65" ht="15" customHeight="1" s="489">
      <c r="A65" s="3" t="n"/>
      <c r="B65" s="17" t="inlineStr">
        <is>
          <t>After-Tax Cost of Debt</t>
        </is>
      </c>
      <c r="C65" s="9" t="n"/>
      <c r="D65" s="306">
        <f>D63*(1-D64)</f>
        <v/>
      </c>
      <c r="E65" s="292" t="n"/>
      <c r="F65" s="292" t="n"/>
      <c r="G65" s="292" t="n"/>
      <c r="H65" s="292" t="n"/>
      <c r="J65" s="292" t="n"/>
      <c r="K65" s="292" t="n"/>
      <c r="L65" s="292" t="n"/>
      <c r="M65" s="292" t="n"/>
      <c r="N65" s="315">
        <f>D65</f>
        <v/>
      </c>
    </row>
    <row r="66" ht="15" customHeight="1" s="489">
      <c r="A66" s="3" t="n"/>
      <c r="B66" s="49" t="inlineStr">
        <is>
          <t>WACC</t>
        </is>
      </c>
      <c r="C66" s="11" t="n"/>
      <c r="D66" s="307">
        <f>D61*D59+D65*D62</f>
        <v/>
      </c>
      <c r="E66" s="293" t="n"/>
      <c r="F66" s="293" t="n"/>
      <c r="G66" s="293" t="n"/>
      <c r="H66" s="293" t="n"/>
      <c r="J66" s="293" t="n"/>
      <c r="K66" s="293" t="n"/>
      <c r="L66" s="293" t="n"/>
      <c r="M66" s="293" t="n"/>
      <c r="N66" s="319">
        <f>D66</f>
        <v/>
      </c>
    </row>
    <row r="67" ht="18" customHeight="1" s="489">
      <c r="A67" s="3" t="n"/>
      <c r="B67" s="14" t="n"/>
      <c r="C67" s="9" t="n"/>
      <c r="D67" s="9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55" t="n"/>
    </row>
    <row r="68" ht="18" customHeight="1" s="489">
      <c r="A68" s="7" t="n"/>
      <c r="B68" s="47" t="inlineStr">
        <is>
          <t>TERMINAL VALUE &amp; ENTERPRISE VALUE</t>
        </is>
      </c>
      <c r="C68" s="42" t="n"/>
      <c r="D68" s="42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313" t="n"/>
    </row>
    <row r="69" ht="15" customHeight="1" s="489">
      <c r="A69" s="107" t="n"/>
      <c r="B69" s="116" t="n"/>
      <c r="C69" s="117" t="n"/>
      <c r="D69" s="117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</row>
    <row r="70" ht="15" customHeight="1" s="489">
      <c r="A70" s="3" t="n"/>
      <c r="B70" s="17" t="inlineStr">
        <is>
          <t>Terminal Growth Rate (g)</t>
        </is>
      </c>
      <c r="C70" s="9" t="n"/>
      <c r="D70" s="306">
        <f>INPUT!H109</f>
        <v/>
      </c>
      <c r="E70" s="292" t="n"/>
      <c r="F70" s="292" t="n"/>
      <c r="G70" s="292" t="n"/>
      <c r="H70" s="292" t="n"/>
      <c r="I70" s="292" t="n"/>
      <c r="J70" s="292" t="n"/>
      <c r="K70" s="292" t="n"/>
      <c r="L70" s="292" t="n"/>
      <c r="M70" s="292" t="n"/>
      <c r="N70" s="596">
        <f>D70</f>
        <v/>
      </c>
    </row>
    <row r="71" ht="15" customHeight="1" s="489">
      <c r="A71" s="3" t="n"/>
      <c r="B71" s="17" t="inlineStr">
        <is>
          <t>WACC</t>
        </is>
      </c>
      <c r="C71" s="9" t="n"/>
      <c r="D71" s="306">
        <f>D66</f>
        <v/>
      </c>
      <c r="E71" s="292" t="n"/>
      <c r="F71" s="292" t="n"/>
      <c r="G71" s="292" t="n"/>
      <c r="H71" s="292" t="n"/>
      <c r="I71" s="292" t="n"/>
      <c r="J71" s="292" t="n"/>
      <c r="K71" s="292" t="n"/>
      <c r="L71" s="292" t="n"/>
      <c r="M71" s="292" t="n"/>
      <c r="N71" s="315">
        <f>D71</f>
        <v/>
      </c>
    </row>
    <row r="72" ht="15" customHeight="1" s="489">
      <c r="A72" s="3" t="n"/>
      <c r="B72" s="17" t="inlineStr">
        <is>
          <t>Year 5 UFCF</t>
        </is>
      </c>
      <c r="C72" s="405" t="n"/>
      <c r="D72" s="413">
        <f>M52</f>
        <v/>
      </c>
      <c r="E72" s="292" t="n"/>
      <c r="F72" s="292" t="n"/>
      <c r="G72" s="292" t="n"/>
      <c r="H72" s="292" t="n"/>
      <c r="I72" s="292" t="n"/>
      <c r="J72" s="292" t="n"/>
      <c r="K72" s="292" t="n"/>
      <c r="L72" s="292" t="n"/>
      <c r="M72" s="292" t="n"/>
      <c r="N72" s="320">
        <f>D72</f>
        <v/>
      </c>
    </row>
    <row r="73" ht="15" customHeight="1" s="489">
      <c r="A73" s="3" t="n"/>
      <c r="B73" s="17" t="inlineStr">
        <is>
          <t>Terminal Year UFCF (t+1)</t>
        </is>
      </c>
      <c r="C73" s="405" t="n"/>
      <c r="D73" s="413">
        <f>D72*(1+D70)</f>
        <v/>
      </c>
      <c r="E73" s="292" t="n"/>
      <c r="F73" s="292" t="n"/>
      <c r="G73" s="292" t="n"/>
      <c r="H73" s="292" t="n"/>
      <c r="I73" s="293" t="n"/>
      <c r="J73" s="292" t="n"/>
      <c r="K73" s="292" t="n"/>
      <c r="L73" s="292" t="n"/>
      <c r="M73" s="292" t="n"/>
      <c r="N73" s="320">
        <f>D73</f>
        <v/>
      </c>
    </row>
    <row r="74" ht="15" customHeight="1" s="489">
      <c r="A74" s="3" t="n"/>
      <c r="B74" s="52" t="inlineStr">
        <is>
          <t>Terminal Value (Gordon Growth)</t>
        </is>
      </c>
      <c r="C74" s="406" t="n"/>
      <c r="D74" s="414">
        <f>IFERROR(D73/(D71-D70),"–")</f>
        <v/>
      </c>
      <c r="E74" s="293" t="n"/>
      <c r="F74" s="293" t="n"/>
      <c r="G74" s="293" t="n"/>
      <c r="H74" s="293" t="n"/>
      <c r="I74" s="22" t="n"/>
      <c r="J74" s="293" t="n"/>
      <c r="K74" s="293" t="n"/>
      <c r="L74" s="293" t="n"/>
      <c r="M74" s="293" t="n"/>
      <c r="N74" s="321">
        <f>D74</f>
        <v/>
      </c>
    </row>
    <row r="75" ht="15" customHeight="1" s="489">
      <c r="A75" s="3" t="n"/>
      <c r="B75" s="17" t="inlineStr">
        <is>
          <t>Terminal EBITDA Multiple (Alt.)</t>
        </is>
      </c>
      <c r="C75" s="9" t="n"/>
      <c r="D75" s="306">
        <f>IFERROR(D74/M15,"–")</f>
        <v/>
      </c>
      <c r="E75" s="292" t="n"/>
      <c r="F75" s="292" t="n"/>
      <c r="G75" s="292" t="n"/>
      <c r="H75" s="292" t="n"/>
      <c r="I75" s="292" t="n"/>
      <c r="J75" s="292" t="n"/>
      <c r="K75" s="292" t="n"/>
      <c r="L75" s="292" t="n"/>
      <c r="M75" s="292" t="n"/>
      <c r="N75" s="597">
        <f>D75</f>
        <v/>
      </c>
    </row>
    <row r="76" ht="15" customHeight="1" s="489">
      <c r="A76" s="3" t="n"/>
      <c r="B76" s="14" t="inlineStr">
        <is>
          <t>Discounting Period (Years)</t>
        </is>
      </c>
      <c r="C76" s="9" t="n"/>
      <c r="D76" s="306">
        <f>1</f>
        <v/>
      </c>
      <c r="E76" s="22" t="n"/>
      <c r="F76" s="22" t="n"/>
      <c r="G76" s="598" t="n"/>
      <c r="H76" s="598" t="n"/>
      <c r="I76" s="292" t="n"/>
      <c r="J76" s="303" t="n">
        <v>2</v>
      </c>
      <c r="K76" s="303" t="n">
        <v>3</v>
      </c>
      <c r="L76" s="303" t="n">
        <v>4</v>
      </c>
      <c r="M76" s="303" t="n">
        <v>5</v>
      </c>
      <c r="N76" s="303" t="n">
        <v>5</v>
      </c>
    </row>
    <row r="77" ht="15" customHeight="1" s="489">
      <c r="A77" s="3" t="n"/>
      <c r="B77" s="14" t="n"/>
      <c r="C77" s="9" t="n"/>
      <c r="D77" s="306" t="n"/>
      <c r="E77" s="22" t="n"/>
      <c r="F77" s="22" t="n"/>
      <c r="G77" s="598" t="n"/>
      <c r="H77" s="598" t="n"/>
      <c r="I77" s="292" t="n"/>
      <c r="J77" s="479" t="n"/>
      <c r="K77" s="479" t="n"/>
      <c r="L77" s="479" t="n"/>
      <c r="M77" s="479" t="n"/>
      <c r="N77" s="479" t="n"/>
    </row>
    <row r="78" ht="15" customHeight="1" s="489">
      <c r="A78" s="3" t="n"/>
      <c r="B78" s="14" t="inlineStr">
        <is>
          <t>Discount Factor</t>
        </is>
      </c>
      <c r="C78" s="9" t="n"/>
      <c r="D78" s="306">
        <f>1/(1+$D$71)^I76</f>
        <v/>
      </c>
      <c r="E78" s="22" t="n"/>
      <c r="F78" s="22" t="n"/>
      <c r="G78" s="599" t="n"/>
      <c r="H78" s="599" t="n"/>
      <c r="I78" s="292" t="n"/>
      <c r="J78" s="302">
        <f>1/(1+$D$71)^J76</f>
        <v/>
      </c>
      <c r="K78" s="302">
        <f>1/(1+$D$71)^K76</f>
        <v/>
      </c>
      <c r="L78" s="302">
        <f>1/(1+$D$71)^L76</f>
        <v/>
      </c>
      <c r="M78" s="302">
        <f>1/(1+$D$71)^M76</f>
        <v/>
      </c>
      <c r="N78" s="302">
        <f>1/(1+$D$71)^M76</f>
        <v/>
      </c>
    </row>
    <row r="79" ht="15" customHeight="1" s="489">
      <c r="A79" s="3" t="n"/>
      <c r="B79" s="14" t="inlineStr">
        <is>
          <t>UFCF to Discount</t>
        </is>
      </c>
      <c r="C79" s="405" t="n"/>
      <c r="D79" s="413">
        <f>I52</f>
        <v/>
      </c>
      <c r="E79" s="22" t="n"/>
      <c r="F79" s="22" t="n"/>
      <c r="G79" s="600" t="n"/>
      <c r="H79" s="600" t="n"/>
      <c r="I79" s="292" t="n"/>
      <c r="J79" s="304">
        <f>J52</f>
        <v/>
      </c>
      <c r="K79" s="304">
        <f>K52</f>
        <v/>
      </c>
      <c r="L79" s="304">
        <f>L52</f>
        <v/>
      </c>
      <c r="M79" s="304">
        <f>M52</f>
        <v/>
      </c>
      <c r="N79" s="600" t="n"/>
    </row>
    <row r="80" ht="15" customHeight="1" s="489">
      <c r="A80" s="3" t="n"/>
      <c r="B80" s="14" t="inlineStr">
        <is>
          <t>Terminal Value to Discount</t>
        </is>
      </c>
      <c r="C80" s="405" t="n"/>
      <c r="D80" s="601" t="n"/>
      <c r="E80" s="22" t="n"/>
      <c r="F80" s="22" t="n"/>
      <c r="G80" s="600" t="n"/>
      <c r="H80" s="600" t="n"/>
      <c r="I80" s="293" t="n"/>
      <c r="J80" s="600" t="n"/>
      <c r="K80" s="600" t="n"/>
      <c r="L80" s="600" t="n"/>
      <c r="M80" s="600" t="n"/>
      <c r="N80" s="304">
        <f>D74</f>
        <v/>
      </c>
    </row>
    <row r="81" ht="15" customHeight="1" s="489">
      <c r="A81" s="3" t="n"/>
      <c r="B81" s="14" t="inlineStr">
        <is>
          <t>PV of UFCF + Terminal Value</t>
        </is>
      </c>
      <c r="C81" s="405" t="n"/>
      <c r="D81" s="601" t="n"/>
      <c r="E81" s="22" t="n"/>
      <c r="F81" s="22" t="n"/>
      <c r="G81" s="600" t="n"/>
      <c r="H81" s="600" t="n"/>
      <c r="I81" s="22" t="n"/>
      <c r="J81" s="304">
        <f>J78*J79</f>
        <v/>
      </c>
      <c r="K81" s="304">
        <f>K78*K79</f>
        <v/>
      </c>
      <c r="L81" s="304">
        <f>L78*L79</f>
        <v/>
      </c>
      <c r="M81" s="304">
        <f>M78*M79</f>
        <v/>
      </c>
      <c r="N81" s="314">
        <f>IFERROR(N78*N80,"–")</f>
        <v/>
      </c>
    </row>
    <row r="82" ht="18" customHeight="1" s="489">
      <c r="A82" s="3" t="n"/>
      <c r="B82" s="14" t="n"/>
      <c r="C82" s="9" t="n"/>
      <c r="D82" s="9" t="n"/>
      <c r="E82" s="22" t="n"/>
      <c r="F82" s="22" t="n"/>
      <c r="G82" s="22" t="n"/>
      <c r="H82" s="22" t="n"/>
      <c r="I82" s="324" t="n"/>
      <c r="J82" s="22" t="n"/>
      <c r="K82" s="22" t="n"/>
      <c r="L82" s="22" t="n"/>
      <c r="M82" s="22" t="n"/>
      <c r="N82" s="55" t="n"/>
    </row>
    <row r="83" ht="18" customHeight="1" s="489">
      <c r="A83" s="7" t="n"/>
      <c r="B83" s="47" t="inlineStr">
        <is>
          <t>ENTERPRISE VALUE &amp; EQUITY VALUE</t>
        </is>
      </c>
      <c r="C83" s="42" t="n"/>
      <c r="D83" s="42" t="n"/>
      <c r="E83" s="23" t="n"/>
      <c r="F83" s="23" t="n"/>
      <c r="G83" s="23" t="n"/>
      <c r="H83" s="23" t="n"/>
      <c r="I83" s="42" t="n"/>
      <c r="J83" s="23" t="n"/>
      <c r="K83" s="23" t="n"/>
      <c r="L83" s="23" t="n"/>
      <c r="M83" s="23" t="n"/>
      <c r="N83" s="313" t="n"/>
    </row>
    <row r="84" ht="15" customHeight="1" s="489">
      <c r="A84" s="107" t="n"/>
      <c r="B84" s="116" t="n"/>
      <c r="C84" s="117" t="n"/>
      <c r="D84" s="311" t="n"/>
      <c r="E84" s="98" t="n"/>
      <c r="F84" s="98" t="n"/>
      <c r="G84" s="98" t="n"/>
      <c r="H84" s="98" t="n"/>
      <c r="J84" s="98" t="n"/>
      <c r="K84" s="98" t="n"/>
      <c r="L84" s="98" t="n"/>
      <c r="M84" s="98" t="n"/>
      <c r="N84" s="98" t="n"/>
    </row>
    <row r="85" ht="15" customHeight="1" s="489">
      <c r="A85" s="3" t="n"/>
      <c r="B85" s="52" t="inlineStr">
        <is>
          <t>Sum of PV of UFCFs (Years 1-5)</t>
        </is>
      </c>
      <c r="C85" s="406" t="n"/>
      <c r="D85" s="312">
        <f>SUM(I81:M81)</f>
        <v/>
      </c>
      <c r="E85" s="292" t="n"/>
      <c r="F85" s="292" t="n"/>
      <c r="G85" s="292" t="n"/>
      <c r="H85" s="292" t="n"/>
      <c r="J85" s="292" t="n"/>
      <c r="K85" s="292" t="n"/>
      <c r="L85" s="292" t="n"/>
      <c r="M85" s="292" t="n"/>
      <c r="N85" s="304">
        <f>D85</f>
        <v/>
      </c>
    </row>
    <row r="86" ht="15" customHeight="1" s="489">
      <c r="A86" s="3" t="n"/>
      <c r="B86" s="17" t="inlineStr">
        <is>
          <t>PV of Terminal Value</t>
        </is>
      </c>
      <c r="C86" s="405" t="n"/>
      <c r="D86" s="409">
        <f>N81</f>
        <v/>
      </c>
      <c r="E86" s="292" t="n"/>
      <c r="F86" s="292" t="n"/>
      <c r="G86" s="292" t="n"/>
      <c r="H86" s="292" t="n"/>
      <c r="J86" s="292" t="n"/>
      <c r="K86" s="292" t="n"/>
      <c r="L86" s="292" t="n"/>
      <c r="M86" s="292" t="n"/>
      <c r="N86" s="304">
        <f>D86</f>
        <v/>
      </c>
    </row>
    <row r="87" ht="15" customHeight="1" s="489">
      <c r="A87" s="3" t="n"/>
      <c r="B87" s="52" t="inlineStr">
        <is>
          <t>Enterprise Value (EV)</t>
        </is>
      </c>
      <c r="C87" s="406" t="n"/>
      <c r="D87" s="312">
        <f>IFERROR(D85+D86,"–")</f>
        <v/>
      </c>
      <c r="E87" s="293" t="n"/>
      <c r="F87" s="293" t="n"/>
      <c r="G87" s="293" t="n"/>
      <c r="H87" s="293" t="n"/>
      <c r="J87" s="293" t="n"/>
      <c r="K87" s="293" t="n"/>
      <c r="L87" s="293" t="n"/>
      <c r="M87" s="293" t="n"/>
      <c r="N87" s="304">
        <f>D87</f>
        <v/>
      </c>
    </row>
    <row r="88" ht="15" customHeight="1" s="489">
      <c r="A88" s="65" t="n"/>
      <c r="B88" s="111" t="n"/>
      <c r="C88" s="407" t="n"/>
      <c r="D88" s="312" t="n"/>
      <c r="E88" s="294" t="n"/>
      <c r="F88" s="294" t="n"/>
      <c r="G88" s="294" t="n"/>
      <c r="H88" s="294" t="n"/>
      <c r="J88" s="294" t="n"/>
      <c r="K88" s="294" t="n"/>
      <c r="L88" s="294" t="n"/>
      <c r="M88" s="294" t="n"/>
      <c r="N88" s="58" t="n"/>
    </row>
    <row r="89" ht="15" customHeight="1" s="489">
      <c r="A89" s="3" t="n"/>
      <c r="B89" s="17" t="inlineStr">
        <is>
          <t>(-) Total Debt</t>
        </is>
      </c>
      <c r="C89" s="405" t="n"/>
      <c r="D89" s="594">
        <f>-(INPUT!H48+INPUT!H54)</f>
        <v/>
      </c>
      <c r="E89" s="292" t="n"/>
      <c r="F89" s="292" t="n"/>
      <c r="G89" s="292" t="n"/>
      <c r="H89" s="292" t="n"/>
      <c r="J89" s="292" t="n"/>
      <c r="K89" s="292" t="n"/>
      <c r="L89" s="292" t="n"/>
      <c r="M89" s="292" t="n"/>
      <c r="N89" s="304">
        <f>D89</f>
        <v/>
      </c>
    </row>
    <row r="90" ht="15" customHeight="1" s="489">
      <c r="A90" s="3" t="n"/>
      <c r="B90" s="17" t="inlineStr">
        <is>
          <t>(+) Cash &amp; Cash Equivalents</t>
        </is>
      </c>
      <c r="C90" s="405" t="n"/>
      <c r="D90" s="409">
        <f>INPUT!H34</f>
        <v/>
      </c>
      <c r="E90" s="292" t="n"/>
      <c r="F90" s="292" t="n"/>
      <c r="G90" s="292" t="n"/>
      <c r="H90" s="292" t="n"/>
      <c r="J90" s="292" t="n"/>
      <c r="K90" s="292" t="n"/>
      <c r="L90" s="292" t="n"/>
      <c r="M90" s="292" t="n"/>
      <c r="N90" s="304">
        <f>D90</f>
        <v/>
      </c>
    </row>
    <row r="91" ht="15" customHeight="1" s="489">
      <c r="A91" s="3" t="n"/>
      <c r="B91" s="52" t="inlineStr">
        <is>
          <t>Equity Value</t>
        </is>
      </c>
      <c r="C91" s="406" t="n"/>
      <c r="D91" s="312">
        <f>IFERROR(D87+D89+D90,"–")</f>
        <v/>
      </c>
      <c r="E91" s="293" t="n"/>
      <c r="F91" s="293" t="n"/>
      <c r="G91" s="293" t="n"/>
      <c r="H91" s="293" t="n"/>
      <c r="J91" s="293" t="n"/>
      <c r="K91" s="293" t="n"/>
      <c r="L91" s="293" t="n"/>
      <c r="M91" s="293" t="n"/>
      <c r="N91" s="304">
        <f>D91</f>
        <v/>
      </c>
    </row>
    <row r="92" ht="15" customHeight="1" s="489">
      <c r="A92" s="65" t="n"/>
      <c r="B92" s="111" t="n"/>
      <c r="C92" s="407" t="n"/>
      <c r="D92" s="312" t="n"/>
      <c r="E92" s="294" t="n"/>
      <c r="F92" s="294" t="n"/>
      <c r="G92" s="294" t="n"/>
      <c r="H92" s="294" t="n"/>
      <c r="J92" s="294" t="n"/>
      <c r="K92" s="294" t="n"/>
      <c r="L92" s="294" t="n"/>
      <c r="M92" s="294" t="n"/>
      <c r="N92" s="58" t="n"/>
    </row>
    <row r="93" ht="15" customHeight="1" s="489">
      <c r="A93" s="3" t="n"/>
      <c r="B93" s="17" t="inlineStr">
        <is>
          <t>Shares Outstanding (Diluted)</t>
        </is>
      </c>
      <c r="C93" s="9" t="n"/>
      <c r="D93" s="309">
        <f>INPUT!H96</f>
        <v/>
      </c>
      <c r="E93" s="292" t="n"/>
      <c r="F93" s="292" t="n"/>
      <c r="G93" s="292" t="n"/>
      <c r="H93" s="292" t="n"/>
      <c r="J93" s="292" t="n"/>
      <c r="K93" s="292" t="n"/>
      <c r="L93" s="292" t="n"/>
      <c r="M93" s="292" t="n"/>
      <c r="N93" s="304">
        <f>D93</f>
        <v/>
      </c>
    </row>
    <row r="94" ht="15" customHeight="1" s="489">
      <c r="A94" s="3" t="n"/>
      <c r="B94" s="52" t="inlineStr">
        <is>
          <t>Implied Share Price (DCF)</t>
        </is>
      </c>
      <c r="C94" s="11" t="n"/>
      <c r="D94" s="310">
        <f>IFERROR(D91/D93,"–")</f>
        <v/>
      </c>
      <c r="E94" s="293" t="n"/>
      <c r="F94" s="293" t="n"/>
      <c r="G94" s="293" t="n"/>
      <c r="H94" s="293" t="n"/>
      <c r="J94" s="293" t="n"/>
      <c r="K94" s="293" t="n"/>
      <c r="L94" s="293" t="n"/>
      <c r="M94" s="293" t="n"/>
      <c r="N94" s="304">
        <f>D94</f>
        <v/>
      </c>
    </row>
    <row r="95" ht="15" customHeight="1" s="489">
      <c r="A95" s="3" t="n"/>
      <c r="B95" s="17" t="inlineStr">
        <is>
          <t>Current Share Price</t>
        </is>
      </c>
      <c r="C95" s="308" t="inlineStr">
        <is>
          <t>($)</t>
        </is>
      </c>
      <c r="D95" s="309">
        <f>INPUT!H95</f>
        <v/>
      </c>
      <c r="E95" s="292" t="n"/>
      <c r="F95" s="292" t="n"/>
      <c r="G95" s="292" t="n"/>
      <c r="H95" s="292" t="n"/>
      <c r="J95" s="292" t="n"/>
      <c r="K95" s="292" t="n"/>
      <c r="L95" s="292" t="n"/>
      <c r="M95" s="292" t="n"/>
      <c r="N95" s="304">
        <f>D95</f>
        <v/>
      </c>
    </row>
    <row r="96" ht="15" customHeight="1" s="489">
      <c r="A96" s="3" t="n"/>
      <c r="B96" s="17" t="inlineStr">
        <is>
          <t>Upside / (Downside)</t>
        </is>
      </c>
      <c r="C96" s="308" t="inlineStr">
        <is>
          <t>(%)</t>
        </is>
      </c>
      <c r="D96" s="309">
        <f>IFERROR(D94/D95-1,"–")</f>
        <v/>
      </c>
      <c r="E96" s="292" t="n"/>
      <c r="F96" s="292" t="n"/>
      <c r="G96" s="292" t="n"/>
      <c r="H96" s="292" t="n"/>
      <c r="J96" s="292" t="n"/>
      <c r="K96" s="292" t="n"/>
      <c r="L96" s="292" t="n"/>
      <c r="M96" s="292" t="n"/>
      <c r="N96" s="304">
        <f>D96</f>
        <v/>
      </c>
    </row>
    <row r="97" ht="15" customHeight="1" s="489">
      <c r="A97" s="3" t="n"/>
      <c r="B97" s="93" t="inlineStr">
        <is>
          <t>UFCF IRR (5-Year)</t>
        </is>
      </c>
      <c r="C97" s="309" t="inlineStr">
        <is>
          <t>(%)</t>
        </is>
      </c>
      <c r="D97" s="602">
        <f>IFERROR(IRR(CHOOSE({1,2,3,4,5,6},-D87,I52,J52,K52,L52,M52+D74)),"–")</f>
        <v/>
      </c>
      <c r="E97" s="292" t="n"/>
      <c r="F97" s="292" t="n"/>
      <c r="G97" s="292" t="n"/>
      <c r="H97" s="292" t="n"/>
      <c r="I97" s="292" t="n"/>
      <c r="J97" s="292" t="n"/>
      <c r="K97" s="292" t="n"/>
      <c r="L97" s="292" t="n"/>
      <c r="M97" s="292" t="n"/>
      <c r="N97" s="292" t="n"/>
    </row>
    <row r="98" ht="18" customHeight="1" s="489">
      <c r="A98" s="3" t="n"/>
      <c r="B98" s="93" t="n"/>
      <c r="C98" s="94" t="n"/>
      <c r="D98" s="309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325">
        <f>ROUND(C103*100,1)&amp;"%"</f>
        <v/>
      </c>
      <c r="P98" s="325">
        <f>ROUND(C104*100,1)&amp;"%"</f>
        <v/>
      </c>
      <c r="Q98" s="325">
        <f>ROUND(C105*100,1)&amp;"%"</f>
        <v/>
      </c>
    </row>
    <row r="99" ht="15" customHeight="1" s="489">
      <c r="A99" s="7" t="n"/>
      <c r="B99" s="47" t="inlineStr">
        <is>
          <t>SENSITIVITY ANALYSIS — Implied Share Price ($)</t>
        </is>
      </c>
      <c r="C99" s="42" t="n"/>
      <c r="D99" s="42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313">
        <f>ROUND(C101*100,1)&amp;"%"</f>
        <v/>
      </c>
      <c r="N99" s="313">
        <f>ROUND(C102*100,1)&amp;"%"</f>
        <v/>
      </c>
      <c r="O99" s="326">
        <f>D103</f>
        <v/>
      </c>
      <c r="P99" s="326">
        <f>D104</f>
        <v/>
      </c>
      <c r="Q99" s="326">
        <f>D105</f>
        <v/>
      </c>
    </row>
    <row r="100" ht="15" customHeight="1" s="489">
      <c r="A100" s="1" t="n"/>
      <c r="B100" s="16" t="inlineStr">
        <is>
          <t>Terminal Growth Rate →</t>
        </is>
      </c>
      <c r="C100" s="80" t="inlineStr">
        <is>
          <t>WACC ↓</t>
        </is>
      </c>
      <c r="D100" s="332" t="n">
        <v>0</v>
      </c>
      <c r="E100" s="332" t="n">
        <v>0.01</v>
      </c>
      <c r="F100" s="332" t="n">
        <v>0.02</v>
      </c>
      <c r="G100" s="332" t="n">
        <v>0.03</v>
      </c>
      <c r="H100" s="332" t="n">
        <v>0.04</v>
      </c>
      <c r="I100" s="80" t="n"/>
      <c r="J100" s="80" t="n"/>
      <c r="K100" s="80" t="n"/>
      <c r="L100" s="80" t="inlineStr">
        <is>
          <t>g=0%</t>
        </is>
      </c>
      <c r="M100" s="329">
        <f>D101</f>
        <v/>
      </c>
      <c r="N100" s="329">
        <f>D102</f>
        <v/>
      </c>
      <c r="O100" s="328">
        <f>E103</f>
        <v/>
      </c>
      <c r="P100" s="328">
        <f>E104</f>
        <v/>
      </c>
      <c r="Q100" s="328">
        <f>E105</f>
        <v/>
      </c>
    </row>
    <row r="101" ht="15" customHeight="1" s="489">
      <c r="A101" s="3" t="n"/>
      <c r="B101" s="14" t="n"/>
      <c r="C101" s="603">
        <f>D66-0.02</f>
        <v/>
      </c>
      <c r="D101" s="603">
        <f>IFERROR((D85+((D72*(1+0))/(C101-0))/(1+C101)^5+D89+D90)/D93,"–")</f>
        <v/>
      </c>
      <c r="E101" s="604">
        <f>IFERROR((D85+((D72*(1+0.01))/(C101-0.01))/(1+C101)^5+D89+D90)/D93,"–")</f>
        <v/>
      </c>
      <c r="F101" s="604">
        <f>IFERROR((D85+((D72*(1+0.02))/(C101-0.02))/(1+C101)^5+D89+D90)/D93,"–")</f>
        <v/>
      </c>
      <c r="G101" s="604">
        <f>IFERROR((D85+((D72*(1+0.03))/(C101-0.03))/(1+C101)^5+D89+D90)/D93,"–")</f>
        <v/>
      </c>
      <c r="H101" s="604">
        <f>IFERROR((D85+((D72*(1+0.04))/(C101-0.04))/(1+C101)^5+D89+D90)/D93,"–")</f>
        <v/>
      </c>
      <c r="I101" s="605" t="n"/>
      <c r="J101" s="605" t="n"/>
      <c r="K101" s="605" t="n"/>
      <c r="L101" s="327" t="inlineStr">
        <is>
          <t>g=1%</t>
        </is>
      </c>
      <c r="M101" s="330">
        <f>E101</f>
        <v/>
      </c>
      <c r="N101" s="330">
        <f>E102</f>
        <v/>
      </c>
      <c r="O101" s="328">
        <f>F103</f>
        <v/>
      </c>
      <c r="P101" s="328">
        <f>F104</f>
        <v/>
      </c>
      <c r="Q101" s="328">
        <f>F105</f>
        <v/>
      </c>
    </row>
    <row r="102" ht="15" customHeight="1" s="489">
      <c r="A102" s="3" t="n"/>
      <c r="B102" s="14" t="n"/>
      <c r="C102" s="603">
        <f>D66-0.01</f>
        <v/>
      </c>
      <c r="D102" s="603">
        <f>IFERROR((D85+((D72*(1+0))/(C102-0))/(1+C102)^5+D89+D90)/D93,"–")</f>
        <v/>
      </c>
      <c r="E102" s="604">
        <f>IFERROR((D85+((D72*(1+0.01))/(C102-0.01))/(1+C102)^5+D89+D90)/D93,"–")</f>
        <v/>
      </c>
      <c r="F102" s="604">
        <f>IFERROR((D85+((D72*(1+0.02))/(C102-0.02))/(1+C102)^5+D89+D90)/D93,"–")</f>
        <v/>
      </c>
      <c r="G102" s="604">
        <f>IFERROR((D85+((D72*(1+0.03))/(C102-0.03))/(1+C102)^5+D89+D90)/D93,"–")</f>
        <v/>
      </c>
      <c r="H102" s="604">
        <f>IFERROR((D85+((D72*(1+0.04))/(C102-0.04))/(1+C102)^5+D89+D90)/D93,"–")</f>
        <v/>
      </c>
      <c r="I102" s="605" t="n"/>
      <c r="J102" s="605" t="n"/>
      <c r="K102" s="605" t="n"/>
      <c r="L102" s="327" t="inlineStr">
        <is>
          <t>g=2%</t>
        </is>
      </c>
      <c r="M102" s="330">
        <f>F101</f>
        <v/>
      </c>
      <c r="N102" s="330">
        <f>F102</f>
        <v/>
      </c>
      <c r="O102" s="326">
        <f>G103</f>
        <v/>
      </c>
      <c r="P102" s="326">
        <f>G104</f>
        <v/>
      </c>
      <c r="Q102" s="326">
        <f>G105</f>
        <v/>
      </c>
    </row>
    <row r="103" ht="15" customHeight="1" s="489">
      <c r="A103" s="3" t="n"/>
      <c r="B103" s="14" t="n"/>
      <c r="C103" s="606">
        <f>D66</f>
        <v/>
      </c>
      <c r="D103" s="606">
        <f>IFERROR((D85+((D72*(1+0))/(C103-0))/(1+C103)^5+D89+D90)/D93,"–")</f>
        <v/>
      </c>
      <c r="E103" s="604">
        <f>IFERROR((D85+((D72*(1+0.01))/(C103-0.01))/(1+C103)^5+D89+D90)/D93,"–")</f>
        <v/>
      </c>
      <c r="F103" s="607">
        <f>IFERROR((D85+((D72*(1+0.02))/(C103-0.02))/(1+C103)^5+D89+D90)/D93,"–")</f>
        <v/>
      </c>
      <c r="G103" s="608">
        <f>IFERROR((D85+((D72*(1+0.03))/(C103-0.03))/(1+C103)^5+D89+D90)/D93,"–")</f>
        <v/>
      </c>
      <c r="H103" s="604">
        <f>IFERROR((D85+((D72*(1+0.04))/(C103-0.04))/(1+C103)^5+D89+D90)/D93,"–")</f>
        <v/>
      </c>
      <c r="I103" s="605" t="n"/>
      <c r="J103" s="605" t="n"/>
      <c r="K103" s="605" t="n"/>
      <c r="L103" s="327" t="inlineStr">
        <is>
          <t>g=3% (Base)</t>
        </is>
      </c>
      <c r="M103" s="331">
        <f>G101</f>
        <v/>
      </c>
      <c r="N103" s="331">
        <f>G102</f>
        <v/>
      </c>
      <c r="O103" s="328">
        <f>H103</f>
        <v/>
      </c>
      <c r="P103" s="328">
        <f>H104</f>
        <v/>
      </c>
      <c r="Q103" s="328">
        <f>H105</f>
        <v/>
      </c>
    </row>
    <row r="104" ht="15" customHeight="1" s="489">
      <c r="A104" s="3" t="n"/>
      <c r="B104" s="14" t="n"/>
      <c r="C104" s="603">
        <f>D66+0.01</f>
        <v/>
      </c>
      <c r="D104" s="603">
        <f>IFERROR((D85+((D72*(1+0))/(C104-0))/(1+C104)^5+D89+D90)/D93,"–")</f>
        <v/>
      </c>
      <c r="E104" s="604">
        <f>IFERROR((D85+((D72*(1+0.01))/(C104-0.01))/(1+C104)^5+D89+D90)/D93,"–")</f>
        <v/>
      </c>
      <c r="F104" s="604">
        <f>IFERROR((D85+((D72*(1+0.02))/(C104-0.02))/(1+C104)^5+D89+D90)/D93,"–")</f>
        <v/>
      </c>
      <c r="G104" s="604">
        <f>IFERROR((D85+((D72*(1+0.03))/(C104-0.03))/(1+C104)^5+D89+D90)/D93,"–")</f>
        <v/>
      </c>
      <c r="H104" s="604">
        <f>IFERROR((D85+((D72*(1+0.04))/(C104-0.04))/(1+C104)^5+D89+D90)/D93,"–")</f>
        <v/>
      </c>
      <c r="I104" s="605" t="n"/>
      <c r="J104" s="605" t="n"/>
      <c r="K104" s="605" t="n"/>
      <c r="L104" s="327" t="inlineStr">
        <is>
          <t>g=4%</t>
        </is>
      </c>
      <c r="M104" s="330">
        <f>H101</f>
        <v/>
      </c>
      <c r="N104" s="330">
        <f>H102</f>
        <v/>
      </c>
    </row>
    <row r="105" ht="15" customHeight="1" s="489">
      <c r="A105" s="3" t="n"/>
      <c r="B105" s="14" t="n"/>
      <c r="C105" s="603">
        <f>D66+0.02</f>
        <v/>
      </c>
      <c r="D105" s="603">
        <f>IFERROR((D85+((D72*(1+0))/(C105-0))/(1+C105)^5+D89+D90)/D93,"–")</f>
        <v/>
      </c>
      <c r="E105" s="604">
        <f>IFERROR((D85+((D72*(1+0.01))/(C105-0.01))/(1+C105)^5+D89+D90)/D93,"–")</f>
        <v/>
      </c>
      <c r="F105" s="604">
        <f>IFERROR((D85+((D72*(1+0.02))/(C105-0.02))/(1+C105)^5+D89+D90)/D93,"–")</f>
        <v/>
      </c>
      <c r="G105" s="604">
        <f>IFERROR((D85+((D72*(1+0.03))/(C105-0.03))/(1+C105)^5+D89+D90)/D93,"–")</f>
        <v/>
      </c>
      <c r="H105" s="604">
        <f>IFERROR((D85+((D72*(1+0.04))/(C105-0.04))/(1+C105)^5+D89+D90)/D93,"–")</f>
        <v/>
      </c>
      <c r="I105" s="22" t="n"/>
      <c r="J105" s="22" t="n"/>
      <c r="K105" s="22" t="n"/>
      <c r="L105" s="22" t="n"/>
      <c r="M105" s="22" t="n"/>
      <c r="N105" s="22" t="n"/>
    </row>
    <row r="106" ht="15" customHeight="1" s="489">
      <c r="A106" s="3" t="n"/>
      <c r="B106" s="18" t="inlineStr">
        <is>
          <t>Yellow = Base Case (WACC = 10.4%, g = 3.0%)</t>
        </is>
      </c>
      <c r="C106" s="9" t="n"/>
      <c r="D106" s="9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</row>
    <row r="107" ht="18" customHeight="1" s="489">
      <c r="A107" s="3" t="n"/>
      <c r="B107" s="14" t="n"/>
      <c r="C107" s="9" t="n"/>
      <c r="D107" s="9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</row>
    <row r="108" ht="15" customHeight="1" s="489">
      <c r="A108" s="7" t="n"/>
      <c r="B108" s="47" t="inlineStr">
        <is>
          <t>SCENARIO ANALYSIS — 3 SCENARIOS</t>
        </is>
      </c>
      <c r="C108" s="42" t="n"/>
      <c r="D108" s="42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</row>
    <row r="109" ht="15" customHeight="1" s="489">
      <c r="A109" s="1" t="n"/>
      <c r="B109" s="16" t="inlineStr">
        <is>
          <t>METRIC</t>
        </is>
      </c>
      <c r="C109" s="80" t="n"/>
      <c r="D109" s="80" t="n"/>
      <c r="E109" s="24" t="inlineStr">
        <is>
          <t>Pessimistic</t>
        </is>
      </c>
      <c r="F109" s="24" t="inlineStr">
        <is>
          <t>Realistic</t>
        </is>
      </c>
      <c r="G109" s="24" t="inlineStr">
        <is>
          <t>Optimistic</t>
        </is>
      </c>
      <c r="H109" s="24" t="n"/>
      <c r="I109" s="24" t="n"/>
      <c r="J109" s="24" t="n"/>
      <c r="K109" s="24" t="n"/>
      <c r="L109" s="24" t="n"/>
      <c r="M109" s="24" t="n"/>
    </row>
    <row r="110" ht="15" customHeight="1" s="489">
      <c r="A110" s="3" t="n"/>
      <c r="B110" s="17" t="inlineStr">
        <is>
          <t>Revenue Growth (Y1-Y5 avg.)</t>
        </is>
      </c>
      <c r="C110" s="9" t="n"/>
      <c r="D110" s="306">
        <f>D29-0.03</f>
        <v/>
      </c>
      <c r="E110" s="585">
        <f>D29-0.02</f>
        <v/>
      </c>
      <c r="F110" s="585">
        <f>D29</f>
        <v/>
      </c>
      <c r="G110" s="609">
        <f>D29+0.02</f>
        <v/>
      </c>
      <c r="H110" s="22" t="n"/>
      <c r="I110" s="22" t="n"/>
      <c r="J110" s="22" t="n"/>
      <c r="K110" s="22" t="n"/>
      <c r="L110" s="22" t="n"/>
      <c r="M110" s="22" t="n"/>
    </row>
    <row r="111" ht="15" customHeight="1" s="489">
      <c r="A111" s="3" t="n"/>
      <c r="B111" s="17" t="inlineStr">
        <is>
          <t>EBITDA Margin</t>
        </is>
      </c>
      <c r="C111" s="9" t="n"/>
      <c r="D111" s="306">
        <f>IFERROR(D15/D9-0.03,"–")</f>
        <v/>
      </c>
      <c r="E111" s="585">
        <f>IFERROR(H15/H9-0.02,"–")</f>
        <v/>
      </c>
      <c r="F111" s="585">
        <f>IFERROR(H15/H9,"–")</f>
        <v/>
      </c>
      <c r="G111" s="609">
        <f>IFERROR(H15/H9+0.02,"–")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 s="489">
      <c r="A112" s="3" t="n"/>
      <c r="B112" s="17" t="inlineStr">
        <is>
          <t>Terminal Growth Rate</t>
        </is>
      </c>
      <c r="C112" s="9" t="n"/>
      <c r="D112" s="306">
        <f>D70-0.01</f>
        <v/>
      </c>
      <c r="E112" s="585">
        <f>D70-0.01</f>
        <v/>
      </c>
      <c r="F112" s="585">
        <f>D70</f>
        <v/>
      </c>
      <c r="G112" s="609">
        <f>D70+0.01</f>
        <v/>
      </c>
      <c r="H112" s="22" t="n"/>
      <c r="I112" s="22" t="n"/>
      <c r="J112" s="22" t="n"/>
      <c r="K112" s="22" t="n"/>
      <c r="L112" s="22" t="n"/>
      <c r="M112" s="22" t="n"/>
    </row>
    <row r="113" ht="15" customHeight="1" s="489">
      <c r="A113" s="3" t="n"/>
      <c r="B113" s="17" t="inlineStr">
        <is>
          <t>WACC</t>
        </is>
      </c>
      <c r="C113" s="9" t="n"/>
      <c r="D113" s="306">
        <f>D66+0.01</f>
        <v/>
      </c>
      <c r="E113" s="585">
        <f>D66+0.01</f>
        <v/>
      </c>
      <c r="F113" s="585">
        <f>D66</f>
        <v/>
      </c>
      <c r="G113" s="609">
        <f>D66-0.01</f>
        <v/>
      </c>
      <c r="H113" s="22" t="n"/>
      <c r="I113" s="22" t="n"/>
      <c r="J113" s="22" t="n"/>
      <c r="K113" s="22" t="n"/>
      <c r="L113" s="22" t="n"/>
      <c r="M113" s="22" t="n"/>
    </row>
    <row r="114" ht="15" customHeight="1" s="489">
      <c r="A114" s="3" t="n"/>
      <c r="B114" s="17" t="inlineStr">
        <is>
          <t>Implied Share Price ($)</t>
        </is>
      </c>
      <c r="C114" s="9" t="n"/>
      <c r="D114" s="306">
        <f>IFERROR((D85+((D72*(1+D112))/(D113-D112))/(1+D113)^5+D89+D90)/D93,"–")</f>
        <v/>
      </c>
      <c r="E114" s="604">
        <f>IFERROR((D85+((D72*(1+E112))/(E113-E112))/(1+E113)^5+D89+D90)/D93,"–")</f>
        <v/>
      </c>
      <c r="F114" s="610">
        <f>IFERROR((D85+((D72*(1+F112))/(F113-F112))/(1+F113)^5+D89+D90)/D93,"–")</f>
        <v/>
      </c>
      <c r="G114" s="611">
        <f>IFERROR((D85+((D72*(1+G112))/(G113-G112))/(1+G113)^5+D89+D90)/D93,"–")</f>
        <v/>
      </c>
      <c r="H114" s="22" t="n"/>
      <c r="I114" s="22" t="n"/>
      <c r="J114" s="22" t="n"/>
      <c r="K114" s="22" t="n"/>
      <c r="L114" s="22" t="n"/>
      <c r="M114" s="22" t="n"/>
    </row>
    <row r="115" ht="15" customHeight="1" s="489">
      <c r="A115" s="3" t="n"/>
      <c r="B115" s="14" t="n"/>
      <c r="C115" s="9" t="n"/>
      <c r="D115" s="9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</row>
    <row r="116" ht="15" customHeight="1" s="489">
      <c r="A116" s="4" t="n"/>
      <c r="B116" s="31" t="inlineStr">
        <is>
          <t>© 2015 to 2024 FinSight</t>
        </is>
      </c>
      <c r="C116" s="4" t="n"/>
      <c r="D116" s="4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 ht="15" customHeight="1" s="489">
      <c r="A117" s="4" t="n"/>
      <c r="B117" s="31" t="inlineStr">
        <is>
          <t>This Excel model is for educational purposes only.</t>
        </is>
      </c>
      <c r="C117" s="4" t="n"/>
      <c r="D117" s="4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</row>
    <row r="118" ht="15" customHeight="1" s="489">
      <c r="A118" s="4" t="n"/>
      <c r="B118" s="31" t="inlineStr">
        <is>
          <t>https://finsight.com/</t>
        </is>
      </c>
      <c r="C118" s="4" t="n"/>
      <c r="D118" s="4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 ht="15" customHeight="1" s="489">
      <c r="B119" s="45" t="n"/>
    </row>
    <row r="120" ht="15" customHeight="1" s="489">
      <c r="A120" s="81" t="n"/>
      <c r="B120" s="83" t="inlineStr">
        <is>
          <t>UFCF Projection ($M)</t>
        </is>
      </c>
      <c r="C120" s="83">
        <f>TEXT(INPUT!D117+1,"0")&amp;"F"</f>
        <v/>
      </c>
      <c r="D120" s="83">
        <f>TEXT(INPUT!D117+2,"0")&amp;"F"</f>
        <v/>
      </c>
      <c r="E120" s="83">
        <f>TEXT(INPUT!D117+3,"0")&amp;"F"</f>
        <v/>
      </c>
      <c r="F120" s="83">
        <f>TEXT(INPUT!D117+4,"0")&amp;"F"</f>
        <v/>
      </c>
      <c r="G120" s="83">
        <f>TEXT(INPUT!D117+5,"0")&amp;"F"</f>
        <v/>
      </c>
      <c r="H120" s="82" t="n"/>
      <c r="I120" s="82" t="n"/>
      <c r="J120" s="82" t="n"/>
      <c r="K120" s="82" t="n"/>
      <c r="L120" s="82" t="n"/>
      <c r="M120" s="82" t="n"/>
      <c r="N120" s="82" t="n"/>
    </row>
    <row r="121" ht="15" customHeight="1" s="489">
      <c r="B121" s="45" t="inlineStr">
        <is>
          <t>UFCF</t>
        </is>
      </c>
      <c r="C121" s="612">
        <f>IF(I52=0,NA(),I52)</f>
        <v/>
      </c>
      <c r="D121" s="612">
        <f>IF(J52=0,NA(),J52)</f>
        <v/>
      </c>
      <c r="E121" s="612">
        <f>IF(K52=0,NA(),K52)</f>
        <v/>
      </c>
      <c r="F121" s="612">
        <f>IF(L52=0,NA(),L52)</f>
        <v/>
      </c>
      <c r="G121" s="612">
        <f>IF(M52=0,NA(),M52)</f>
        <v/>
      </c>
      <c r="H121" s="82" t="n"/>
      <c r="I121" s="82" t="n"/>
      <c r="J121" s="82" t="n"/>
      <c r="K121" s="82" t="n"/>
      <c r="L121" s="82" t="n"/>
      <c r="M121" s="82" t="n"/>
      <c r="N121" s="82" t="n"/>
    </row>
    <row r="122" ht="15" customHeight="1" s="489">
      <c r="B122" s="45" t="n"/>
      <c r="C122" s="21" t="n"/>
      <c r="H122" s="82" t="n"/>
      <c r="I122" s="82" t="n"/>
      <c r="J122" s="82" t="n"/>
      <c r="K122" s="82" t="n"/>
      <c r="L122" s="82" t="n"/>
      <c r="M122" s="82" t="n"/>
      <c r="N122" s="82" t="n"/>
    </row>
    <row r="123" ht="15" customHeight="1" s="489">
      <c r="A123" s="81" t="n"/>
      <c r="B123" s="83" t="inlineStr">
        <is>
          <t>Revenue Projection ($M)</t>
        </is>
      </c>
      <c r="C123" s="333">
        <f>IF(I9=0,NA(),C120)</f>
        <v/>
      </c>
      <c r="D123" s="333">
        <f>IF(J9=0,NA(),D120)</f>
        <v/>
      </c>
      <c r="E123" s="333">
        <f>IF(K9=0,NA(),E120)</f>
        <v/>
      </c>
      <c r="F123" s="333">
        <f>IF(L9=0,NA(),F120)</f>
        <v/>
      </c>
      <c r="G123" s="333">
        <f>IF(M9=0,NA(),G120)</f>
        <v/>
      </c>
      <c r="H123" s="82" t="n"/>
      <c r="I123" s="82" t="n"/>
      <c r="J123" s="82" t="n"/>
      <c r="K123" s="82" t="n"/>
      <c r="L123" s="82" t="n"/>
      <c r="M123" s="82" t="n"/>
      <c r="N123" s="82" t="n"/>
    </row>
    <row r="124" ht="15" customHeight="1" s="489">
      <c r="B124" s="45" t="inlineStr">
        <is>
          <t>Revenue</t>
        </is>
      </c>
      <c r="C124" s="613">
        <f>IF(I9=0,NA(),I9)</f>
        <v/>
      </c>
      <c r="D124" s="613">
        <f>IF(J9=0,NA(),J9)</f>
        <v/>
      </c>
      <c r="E124" s="612">
        <f>IF(K9=0,NA(),K9)</f>
        <v/>
      </c>
      <c r="F124" s="612">
        <f>IF(L9=0,NA(),L9)</f>
        <v/>
      </c>
      <c r="G124" s="612">
        <f>IF(M9=0,NA(),M9)</f>
        <v/>
      </c>
      <c r="H124" s="82" t="n"/>
      <c r="I124" s="82" t="n"/>
      <c r="J124" s="82" t="n"/>
      <c r="K124" s="82" t="n"/>
      <c r="L124" s="82" t="n"/>
      <c r="M124" s="82" t="n"/>
      <c r="N124" s="82" t="n"/>
    </row>
    <row r="125" ht="15" customHeight="1" s="489">
      <c r="B125" s="45" t="n"/>
    </row>
    <row r="126" ht="15" customHeight="1" s="489">
      <c r="B126" s="45" t="n"/>
    </row>
    <row r="127">
      <c r="B127" s="45" t="n"/>
    </row>
  </sheetData>
  <dataValidations count="1">
    <dataValidation sqref="D42" showDropDown="0" showInputMessage="1" showErrorMessage="1" allowBlank="1" errorTitle="Valeur invalide" error="Veuillez sélectionner Bear, Base ou Bull dans la liste." promptTitle="Scénario Brent" prompt="Choisissez : Bear ($60/bbl), Base ($75/bbl) ou Bull ($90/bbl)" type="list">
      <formula1>"Bear,Base,Bull"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H17" sqref="H17"/>
    </sheetView>
  </sheetViews>
  <sheetFormatPr baseColWidth="10" defaultRowHeight="14.4"/>
  <cols>
    <col width="1.77734375" customWidth="1" style="489" min="1" max="1"/>
    <col width="43.44140625" customWidth="1" style="489" min="2" max="2"/>
    <col width="12.6640625" customWidth="1" style="489" min="3" max="3"/>
    <col width="12.5546875" bestFit="1" customWidth="1" style="489" min="4" max="4"/>
    <col width="13.88671875" bestFit="1" customWidth="1" style="489" min="5" max="5"/>
    <col width="15.6640625" bestFit="1" customWidth="1" style="489" min="6" max="6"/>
    <col width="13.109375" bestFit="1" customWidth="1" style="489" min="7" max="7"/>
    <col width="20.33203125" customWidth="1" style="489" min="8" max="8"/>
  </cols>
  <sheetData>
    <row r="1" ht="26.4" customHeight="1" s="489">
      <c r="B1" s="434" t="inlineStr">
        <is>
          <t>FinSight</t>
        </is>
      </c>
      <c r="C1" s="99" t="n"/>
      <c r="D1" s="99" t="n"/>
      <c r="E1" s="99" t="n"/>
      <c r="F1" s="99" t="n"/>
      <c r="G1" s="99" t="n"/>
      <c r="H1" s="99" t="n"/>
      <c r="I1" s="99" t="n"/>
      <c r="J1" s="435" t="inlineStr">
        <is>
          <t>SOTP — Sum-of-the-Parts Valuation</t>
        </is>
      </c>
      <c r="K1" s="99" t="n"/>
    </row>
    <row r="2" ht="21" customHeight="1" s="489">
      <c r="B2" s="427" t="inlineStr">
        <is>
          <t>SOTP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</row>
    <row r="3">
      <c r="B3" s="480" t="inlineStr">
        <is>
          <t>All figures in USD millions unless stated | Segments: Upstream / iGRP (LNG+Gas) / Renewables &amp; Power / Refining &amp; Chemicals</t>
        </is>
      </c>
    </row>
    <row r="4" ht="15" customHeight="1" s="489">
      <c r="A4" s="82" t="inlineStr">
        <is>
          <t xml:space="preserve"> </t>
        </is>
      </c>
      <c r="B4" s="436" t="inlineStr">
        <is>
          <t>SEGMENT OVERVIEW</t>
        </is>
      </c>
      <c r="C4" s="437" t="inlineStr">
        <is>
          <t>Segment</t>
        </is>
      </c>
      <c r="D4" s="438" t="inlineStr">
        <is>
          <t>EBITDA ($M)</t>
        </is>
      </c>
      <c r="E4" s="438" t="inlineStr">
        <is>
          <t>EV/EBITDA (x)</t>
        </is>
      </c>
      <c r="F4" s="438" t="inlineStr">
        <is>
          <t>Implied EV ($M)</t>
        </is>
      </c>
      <c r="G4" s="438" t="inlineStr">
        <is>
          <t>% of Total EV</t>
        </is>
      </c>
    </row>
    <row r="5" ht="15" customHeight="1" s="489">
      <c r="B5" s="539" t="n"/>
      <c r="C5" s="540" t="n"/>
      <c r="D5" s="541" t="n"/>
      <c r="E5" s="541" t="n"/>
      <c r="F5" s="541" t="n"/>
      <c r="G5" s="541" t="n"/>
    </row>
    <row r="6" ht="15" customHeight="1" s="489">
      <c r="B6" s="416" t="inlineStr">
        <is>
          <t>1. Exploration &amp; Production (Upstream)</t>
        </is>
      </c>
      <c r="C6" s="439" t="inlineStr">
        <is>
          <t>Upstream</t>
        </is>
      </c>
      <c r="D6" s="440" t="n">
        <v>18500</v>
      </c>
      <c r="E6" s="614" t="n">
        <v>5.5</v>
      </c>
      <c r="F6" s="442">
        <f>D6*E6</f>
        <v/>
      </c>
      <c r="G6" s="602">
        <f>IFERROR(F6/F11,"–")</f>
        <v/>
      </c>
    </row>
    <row r="7" ht="15" customHeight="1" s="489">
      <c r="B7" s="416" t="inlineStr">
        <is>
          <t>2. Integrated Gas, Renewables &amp; Power (iGRP)</t>
        </is>
      </c>
      <c r="C7" s="439" t="inlineStr">
        <is>
          <t>iGRP / LNG</t>
        </is>
      </c>
      <c r="D7" s="440" t="n">
        <v>12000</v>
      </c>
      <c r="E7" s="614" t="n">
        <v>7.5</v>
      </c>
      <c r="F7" s="442">
        <f>D7*E7</f>
        <v/>
      </c>
      <c r="G7" s="602">
        <f>IFERROR(F7/F11,"–")</f>
        <v/>
      </c>
    </row>
    <row r="8" ht="15" customHeight="1" s="489">
      <c r="B8" s="416" t="inlineStr">
        <is>
          <t>3. Renewables &amp; Power (R&amp;P)</t>
        </is>
      </c>
      <c r="C8" s="439" t="inlineStr">
        <is>
          <t>Renewables</t>
        </is>
      </c>
      <c r="D8" s="440" t="n">
        <v>2200</v>
      </c>
      <c r="E8" s="614" t="n">
        <v>12</v>
      </c>
      <c r="F8" s="442">
        <f>D8*E8</f>
        <v/>
      </c>
      <c r="G8" s="602">
        <f>IFERROR(F8/F11,"–")</f>
        <v/>
      </c>
    </row>
    <row r="9" ht="15" customHeight="1" s="489">
      <c r="B9" s="416" t="inlineStr">
        <is>
          <t>4. Refining, Chemicals &amp; Marketing (RCM)</t>
        </is>
      </c>
      <c r="C9" s="439" t="inlineStr">
        <is>
          <t>Refining</t>
        </is>
      </c>
      <c r="D9" s="440" t="n">
        <v>4500</v>
      </c>
      <c r="E9" s="614" t="n">
        <v>4</v>
      </c>
      <c r="F9" s="442">
        <f>D9*E9</f>
        <v/>
      </c>
      <c r="G9" s="602">
        <f>IFERROR(F9/F11,"–")</f>
        <v/>
      </c>
    </row>
    <row r="10" ht="15" customHeight="1" s="489">
      <c r="B10" s="416" t="inlineStr">
        <is>
          <t>5. Corporate / Holding (Overhead &amp; Eliminations)</t>
        </is>
      </c>
      <c r="C10" s="439" t="inlineStr">
        <is>
          <t>Corporate</t>
        </is>
      </c>
      <c r="D10" s="440" t="n">
        <v>-2500</v>
      </c>
      <c r="E10" s="614" t="n">
        <v>5</v>
      </c>
      <c r="F10" s="442">
        <f>D10*E10</f>
        <v/>
      </c>
      <c r="G10" s="602">
        <f>IFERROR(F10/F11,"–")</f>
        <v/>
      </c>
    </row>
    <row r="11" ht="15.6" customHeight="1" s="489" thickBot="1">
      <c r="B11" s="418" t="inlineStr">
        <is>
          <t>TOTAL GROSS ASSET VALUE (Sum of Parts)</t>
        </is>
      </c>
      <c r="F11" s="443">
        <f>SUM(F6:F10)</f>
        <v/>
      </c>
      <c r="G11" s="615">
        <f>IFERROR(F11/F11,"–")</f>
        <v/>
      </c>
    </row>
    <row r="12">
      <c r="A12" s="82" t="inlineStr">
        <is>
          <t xml:space="preserve"> </t>
        </is>
      </c>
    </row>
    <row r="13" ht="15" customHeight="1" s="489">
      <c r="B13" s="415" t="inlineStr">
        <is>
          <t>BRIDGE TO EQUITY VALUE</t>
        </is>
      </c>
      <c r="C13" s="124" t="n"/>
      <c r="D13" s="124" t="n"/>
      <c r="E13" s="124" t="n"/>
      <c r="F13" s="124" t="n"/>
    </row>
    <row r="14" ht="15" customHeight="1" s="489">
      <c r="B14" s="542" t="n"/>
      <c r="C14" s="392" t="n"/>
      <c r="D14" s="392" t="n"/>
      <c r="E14" s="392" t="n"/>
      <c r="F14" s="392" t="n"/>
    </row>
    <row r="15" ht="15" customHeight="1" s="489">
      <c r="B15" s="416" t="inlineStr">
        <is>
          <t>Total Gross Asset Value (Segment EV)</t>
        </is>
      </c>
      <c r="F15" s="442">
        <f>F11</f>
        <v/>
      </c>
    </row>
    <row r="16" ht="15" customHeight="1" s="489">
      <c r="B16" s="416" t="inlineStr">
        <is>
          <t>(-) Net Debt (LTM)</t>
        </is>
      </c>
      <c r="C16" s="417" t="n"/>
      <c r="F16" s="590">
        <f>-(INPUT!H48+INPUT!H54-INPUT!H34)</f>
        <v/>
      </c>
    </row>
    <row r="17" ht="15" customHeight="1" s="489">
      <c r="B17" s="416" t="inlineStr">
        <is>
          <t>(+) Minorities &amp; Hybrid Adj. (approx.)</t>
        </is>
      </c>
      <c r="C17" s="417" t="n"/>
      <c r="F17" s="440" t="n">
        <v>-8000</v>
      </c>
    </row>
    <row r="18" ht="15.6" customHeight="1" s="489" thickBot="1">
      <c r="B18" s="418" t="inlineStr">
        <is>
          <t>IMPLIED EQUITY VALUE (SOTP)</t>
        </is>
      </c>
      <c r="F18" s="443">
        <f>F15+F16+F17</f>
        <v/>
      </c>
    </row>
    <row r="20" ht="15" customHeight="1" s="489">
      <c r="B20" s="416" t="inlineStr">
        <is>
          <t>Shares Outstanding (Diluted, M)</t>
        </is>
      </c>
      <c r="C20" s="417" t="n"/>
      <c r="F20" s="444">
        <f>INPUT!H96</f>
        <v/>
      </c>
    </row>
    <row r="21" ht="15" customHeight="1" s="489">
      <c r="B21" s="418" t="inlineStr">
        <is>
          <t>IMPLIED SHARE PRICE (SOTP) ($)</t>
        </is>
      </c>
      <c r="F21" s="616">
        <f>IFERROR(F18/(F20),"–")</f>
        <v/>
      </c>
    </row>
    <row r="22" ht="15" customHeight="1" s="489">
      <c r="B22" s="416" t="inlineStr">
        <is>
          <t>Current Share Price ($)</t>
        </is>
      </c>
      <c r="F22" s="617">
        <f>INPUT!H95</f>
        <v/>
      </c>
    </row>
    <row r="23" ht="15" customHeight="1" s="489">
      <c r="A23" s="82" t="inlineStr">
        <is>
          <t xml:space="preserve"> </t>
        </is>
      </c>
      <c r="B23" s="418" t="inlineStr">
        <is>
          <t>Implied Upside / (Downside)</t>
        </is>
      </c>
      <c r="F23" s="618">
        <f>IFERROR(F21/F22-1,"–")</f>
        <v/>
      </c>
    </row>
    <row r="25" ht="15" customHeight="1" s="489">
      <c r="B25" s="415" t="inlineStr">
        <is>
          <t>SENSITIVITY — Implied Share Price ($) vs Upstream EV/EBITDA &amp; LNG EV/EBITDA</t>
        </is>
      </c>
      <c r="C25" s="124" t="n"/>
      <c r="D25" s="124" t="n"/>
      <c r="E25" s="124" t="n"/>
      <c r="F25" s="124" t="n"/>
      <c r="G25" s="124" t="n"/>
    </row>
    <row r="26">
      <c r="B26" s="485" t="inlineStr">
        <is>
          <t>LNG (iGRP) EV/EBITDA →</t>
        </is>
      </c>
      <c r="C26" s="447" t="n"/>
      <c r="D26" s="619" t="n">
        <v>6</v>
      </c>
      <c r="E26" s="619" t="n">
        <v>7.5</v>
      </c>
      <c r="F26" s="619" t="n">
        <v>9</v>
      </c>
    </row>
    <row r="27">
      <c r="B27" s="485" t="inlineStr">
        <is>
          <t>Upstream (E6) ↓</t>
        </is>
      </c>
      <c r="C27" s="619" t="n">
        <v>4.5</v>
      </c>
      <c r="D27" s="620">
        <f>IFERROR((D6*C27+D7*D26+F8+F9+F10+F16+F17)/(F20),"–")</f>
        <v/>
      </c>
      <c r="E27" s="621">
        <f>IFERROR((D6*C27+D7*E26+F8+F9+F10+F16+F17)/(F20),"–")</f>
        <v/>
      </c>
      <c r="F27" s="621">
        <f>IFERROR((D6*C27+D7*F26+F8+F9+F10+F16+F17)/(F20),"–")</f>
        <v/>
      </c>
    </row>
    <row r="28">
      <c r="C28" s="619" t="n">
        <v>5.5</v>
      </c>
      <c r="D28" s="622">
        <f>IFERROR((D6*C28+D7*D26+F8+F9+F10+F16+F17)/(F20),"–")</f>
        <v/>
      </c>
      <c r="E28" s="623">
        <f>IFERROR((D6*C28+D7*E26+F8+F9+F10+F16+F17)/(F20),"–")</f>
        <v/>
      </c>
      <c r="F28" s="623">
        <f>IFERROR((D6*C28+D7*F26+F8+F9+F10+F16+F17)/(F20),"–")</f>
        <v/>
      </c>
    </row>
    <row r="29">
      <c r="C29" s="619" t="n">
        <v>6.5</v>
      </c>
      <c r="D29" s="624">
        <f>IFERROR((D6*C29+D7*D26+F8+F9+F10+F16+F17)/(F20),"–")</f>
        <v/>
      </c>
      <c r="E29" s="625">
        <f>IFERROR((D6*C29+D7*E26+F8+F9+F10+F16+F17)/(F20),"–")</f>
        <v/>
      </c>
      <c r="F29" s="625">
        <f>IFERROR((D6*C29+D7*F26+F8+F9+F10+F16+F17)/(F20),"–")</f>
        <v/>
      </c>
    </row>
    <row r="32" ht="15" customHeight="1" s="489">
      <c r="B32" s="415" t="inlineStr">
        <is>
          <t>METHODOLOGY NOTES</t>
        </is>
      </c>
      <c r="C32" s="124" t="n"/>
    </row>
    <row r="33">
      <c r="B33" s="451" t="inlineStr">
        <is>
          <t>(1) EBITDA by segment are estimates based on TTE Factbook 2024 &amp; analyst consensus. Update D6:D10 with actual reported segment EBITDA when available.</t>
        </is>
      </c>
    </row>
    <row r="34">
      <c r="B34" s="451" t="inlineStr">
        <is>
          <t>(2) EV/EBITDA multiples sourced from Bloomberg sector comparables (E&amp;P peers, LNG peers, Renewables peers, Refining peers).</t>
        </is>
      </c>
    </row>
    <row r="35">
      <c r="B35" s="451" t="inlineStr">
        <is>
          <t>(3) Net Debt linked to INPUT LTM Balance Sheet (ST Debt + LT Debt - Cash). Minorities adj. ($8B) is an estimate.</t>
        </is>
      </c>
    </row>
    <row r="36">
      <c r="B36" s="451" t="inlineStr">
        <is>
          <t>(4) Sensitivity table (rows 27-29): Yellow = base case (Upstream 5.5x / LNG 7.5x). Adjust inputs in D6:E10.</t>
        </is>
      </c>
    </row>
    <row r="38" ht="15" customHeight="1" s="489">
      <c r="B38" s="452" t="inlineStr">
        <is>
          <t>© 2015 to 2024 FinSight</t>
        </is>
      </c>
    </row>
    <row r="39" ht="15" customHeight="1" s="489">
      <c r="B39" s="452" t="inlineStr">
        <is>
          <t>This Excel model is for educational purposes only.</t>
        </is>
      </c>
    </row>
    <row r="40" ht="15" customHeight="1" s="489">
      <c r="B40" s="453" t="inlineStr">
        <is>
          <t>https://finsight.com/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J10" sqref="J10"/>
    </sheetView>
  </sheetViews>
  <sheetFormatPr baseColWidth="10" defaultRowHeight="14.4"/>
  <cols>
    <col width="6.88671875" customWidth="1" style="489" min="1" max="1"/>
    <col width="34.88671875" customWidth="1" style="19" min="2" max="2"/>
    <col width="11.6640625" customWidth="1" style="489" min="3" max="3"/>
    <col width="13.33203125" customWidth="1" style="21" min="4" max="4"/>
    <col width="14.44140625" customWidth="1" style="21" min="5" max="6"/>
    <col width="12.6640625" bestFit="1" customWidth="1" style="21" min="7" max="7"/>
    <col width="12" customWidth="1" style="21" min="8" max="11"/>
    <col width="16.88671875" customWidth="1" style="21" min="12" max="12"/>
    <col width="11.5546875" customWidth="1" style="21" min="13" max="14"/>
  </cols>
  <sheetData>
    <row r="1" ht="54.9" customHeight="1" s="489">
      <c r="A1" s="200" t="n"/>
      <c r="B1" s="96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95" t="inlineStr">
        <is>
          <t>COMPARABLES — Trading Comparables</t>
        </is>
      </c>
      <c r="L1" s="29" t="n"/>
      <c r="M1" s="208" t="n"/>
      <c r="N1" s="208" t="n"/>
      <c r="O1" s="208" t="n"/>
    </row>
    <row r="2" ht="15" customHeight="1" s="489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 s="489">
      <c r="A3" s="474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87" t="n"/>
      <c r="N3" s="87" t="n"/>
    </row>
    <row r="4" ht="15" customHeight="1" s="489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 s="489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 s="489">
      <c r="A6" s="474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87" t="n"/>
      <c r="N6" s="87" t="n"/>
    </row>
    <row r="7" ht="15" customHeight="1" s="489">
      <c r="A7" s="201" t="n"/>
      <c r="B7" s="16" t="n"/>
      <c r="C7" s="1" t="n"/>
      <c r="D7" s="33" t="inlineStr">
        <is>
          <t>Share
Price</t>
        </is>
      </c>
      <c r="E7" s="33" t="inlineStr">
        <is>
          <t>Enterprise
Value</t>
        </is>
      </c>
      <c r="F7" s="33" t="inlineStr">
        <is>
          <t>Revenue
(LTM)</t>
        </is>
      </c>
      <c r="G7" s="33" t="inlineStr">
        <is>
          <t>EBITDAX
(LTM)</t>
        </is>
      </c>
      <c r="H7" s="33" t="inlineStr">
        <is>
          <t>EV /
EBITDA</t>
        </is>
      </c>
      <c r="I7" s="33" t="inlineStr">
        <is>
          <t>EV /
Revenue</t>
        </is>
      </c>
      <c r="J7" s="33" t="inlineStr">
        <is>
          <t>EPS
(LTM)</t>
        </is>
      </c>
      <c r="K7" s="33" t="inlineStr">
        <is>
          <t>P / E
(LTM)</t>
        </is>
      </c>
      <c r="L7" s="201" t="n"/>
    </row>
    <row r="8" ht="15" customHeight="1" s="489">
      <c r="A8" s="207" t="n"/>
      <c r="B8" s="28" t="inlineStr">
        <is>
          <t>PEER COMPANIES</t>
        </is>
      </c>
      <c r="C8" s="9" t="inlineStr">
        <is>
          <t>TICKER</t>
        </is>
      </c>
      <c r="D8" s="30" t="inlineStr">
        <is>
          <t>(USD/sh)</t>
        </is>
      </c>
      <c r="E8" s="30" t="inlineStr">
        <is>
          <t>($M)</t>
        </is>
      </c>
      <c r="F8" s="30" t="inlineStr">
        <is>
          <t>($M)</t>
        </is>
      </c>
      <c r="G8" s="30" t="inlineStr">
        <is>
          <t>($M)</t>
        </is>
      </c>
      <c r="H8" s="30" t="inlineStr">
        <is>
          <t>(x)</t>
        </is>
      </c>
      <c r="I8" s="30" t="inlineStr">
        <is>
          <t>(x)</t>
        </is>
      </c>
      <c r="J8" s="30" t="inlineStr">
        <is>
          <t>(USD/sh)</t>
        </is>
      </c>
      <c r="K8" s="30" t="inlineStr">
        <is>
          <t>(x)</t>
        </is>
      </c>
    </row>
    <row r="9" ht="15" customHeight="1" s="489">
      <c r="A9" s="3" t="n"/>
      <c r="B9" s="38" t="inlineStr">
        <is>
          <t>XOM</t>
        </is>
      </c>
      <c r="C9" s="9" t="inlineStr">
        <is>
          <t>XOM</t>
        </is>
      </c>
      <c r="D9" s="626" t="n">
        <v>75.33</v>
      </c>
      <c r="E9" s="627" t="n">
        <v>173303.61</v>
      </c>
      <c r="F9" s="627" t="n">
        <v>185019.01</v>
      </c>
      <c r="G9" s="627" t="n">
        <v>17629</v>
      </c>
      <c r="H9" s="628">
        <f>IFERROR(E9/G9,"–")</f>
        <v/>
      </c>
      <c r="I9" s="628">
        <f>IFERROR(E9/F9,"–")</f>
        <v/>
      </c>
      <c r="J9" s="626" t="n">
        <v>15.98</v>
      </c>
      <c r="K9" s="628">
        <f>IFERROR(D9/J9,"–")</f>
        <v/>
      </c>
    </row>
    <row r="10" ht="15" customHeight="1" s="489">
      <c r="A10" s="3" t="n"/>
      <c r="B10" s="38" t="inlineStr">
        <is>
          <t>SHEL.L</t>
        </is>
      </c>
      <c r="C10" s="9" t="inlineStr">
        <is>
          <t>SHEL.L</t>
        </is>
      </c>
      <c r="D10" s="626" t="n">
        <v>11.62</v>
      </c>
      <c r="E10" s="627" t="n">
        <v>183371.55</v>
      </c>
      <c r="F10" s="627" t="n">
        <v>187267.01</v>
      </c>
      <c r="G10" s="627" t="n">
        <v>5393</v>
      </c>
      <c r="H10" s="628">
        <f>IFERROR(E10/G10,"–")</f>
        <v/>
      </c>
      <c r="I10" s="628">
        <f>IFERROR(E10/F10,"–")</f>
        <v/>
      </c>
      <c r="J10" s="626" t="n">
        <v>10.81</v>
      </c>
      <c r="K10" s="628">
        <f>IFERROR(D10/J10,"–")</f>
        <v/>
      </c>
    </row>
    <row r="11" ht="15" customHeight="1" s="489">
      <c r="A11" s="3" t="n"/>
      <c r="B11" s="38" t="inlineStr">
        <is>
          <t>BP.L</t>
        </is>
      </c>
      <c r="C11" s="9" t="inlineStr">
        <is>
          <t>BP.L</t>
        </is>
      </c>
      <c r="D11" s="626" t="n">
        <v>525.72</v>
      </c>
      <c r="E11" s="627" t="n">
        <v>1333326.91</v>
      </c>
      <c r="F11" s="627" t="n">
        <v>200966</v>
      </c>
      <c r="G11" s="627" t="n">
        <v>101892</v>
      </c>
      <c r="H11" s="628">
        <f>IFERROR(E11/G11,"–")</f>
        <v/>
      </c>
      <c r="I11" s="628">
        <f>IFERROR(E11/F11,"–")</f>
        <v/>
      </c>
      <c r="J11" s="626" t="n">
        <v>23.5</v>
      </c>
      <c r="K11" s="628">
        <f>IFERROR(D11/J11,"–")</f>
        <v/>
      </c>
    </row>
    <row r="12" ht="15" customHeight="1" s="489">
      <c r="A12" s="3" t="n"/>
      <c r="B12" s="38" t="inlineStr">
        <is>
          <t>ENI.MI</t>
        </is>
      </c>
      <c r="C12" s="9" t="inlineStr">
        <is>
          <t>ENI.MI</t>
        </is>
      </c>
      <c r="D12" s="626" t="n">
        <v>78.45999999999999</v>
      </c>
      <c r="E12" s="627" t="n">
        <v>144410</v>
      </c>
      <c r="F12" s="627" t="n">
        <v>133453</v>
      </c>
      <c r="G12" s="627" t="n">
        <v>15742</v>
      </c>
      <c r="H12" s="628">
        <f>IFERROR(E12/G12,"–")</f>
        <v/>
      </c>
      <c r="I12" s="628">
        <f>IFERROR(E12/F12,"–")</f>
        <v/>
      </c>
      <c r="J12" s="626" t="n">
        <v>1.3</v>
      </c>
      <c r="K12" s="628">
        <f>IFERROR(D12/J12,"–")</f>
        <v/>
      </c>
    </row>
    <row r="13" ht="15" customHeight="1" s="489">
      <c r="A13" s="3" t="n"/>
      <c r="B13" s="38" t="inlineStr">
        <is>
          <t>REP.MC</t>
        </is>
      </c>
      <c r="C13" s="9" t="inlineStr">
        <is>
          <t>REP.MC</t>
        </is>
      </c>
      <c r="D13" s="629" t="n">
        <v>87.8</v>
      </c>
      <c r="E13" s="630" t="n">
        <v>258704.92</v>
      </c>
      <c r="F13" s="630" t="n">
        <v>321913</v>
      </c>
      <c r="G13" s="630" t="n">
        <v>24292</v>
      </c>
      <c r="H13" s="631">
        <f>IFERROR(E13/G13,"–")</f>
        <v/>
      </c>
      <c r="I13" s="631">
        <f>IFERROR(E13/F13,"–")</f>
        <v/>
      </c>
      <c r="J13" s="629" t="n"/>
      <c r="K13" s="631">
        <f>IFERROR(D13/J13,"–")</f>
        <v/>
      </c>
    </row>
    <row r="14" ht="15" customHeight="1" s="489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 s="489">
      <c r="A15" s="3" t="n"/>
      <c r="B15" s="14" t="inlineStr">
        <is>
          <t>Mean</t>
        </is>
      </c>
      <c r="C15" s="9" t="n"/>
      <c r="D15" s="632">
        <f>IFERROR(AVERAGE(D9:D13),"–")</f>
        <v/>
      </c>
      <c r="E15" s="632">
        <f>IFERROR(AVERAGE(E9:E13),"–")</f>
        <v/>
      </c>
      <c r="F15" s="632">
        <f>IFERROR(AVERAGE(F9:F13),"–")</f>
        <v/>
      </c>
      <c r="G15" s="632">
        <f>IFERROR(AVERAGE(G9:G13),"–")</f>
        <v/>
      </c>
      <c r="H15" s="633">
        <f>IFERROR(AVERAGE(H9:H13),"–")</f>
        <v/>
      </c>
      <c r="I15" s="633">
        <f>IFERROR(AVERAGE(I9:I13),"–")</f>
        <v/>
      </c>
      <c r="J15" s="634">
        <f>IFERROR(AVERAGE(J9:J13),"–")</f>
        <v/>
      </c>
      <c r="K15" s="633">
        <f>IFERROR(AVERAGE(K9:K13),"–")</f>
        <v/>
      </c>
    </row>
    <row r="16" ht="15" customHeight="1" s="489">
      <c r="A16" s="3" t="n"/>
      <c r="B16" s="14" t="inlineStr">
        <is>
          <t>Median</t>
        </is>
      </c>
      <c r="C16" s="9" t="n"/>
      <c r="D16" s="632">
        <f>IFERROR(MEDIAN(D9:D13),"–")</f>
        <v/>
      </c>
      <c r="E16" s="632">
        <f>IFERROR(MEDIAN(E9:E13),"–")</f>
        <v/>
      </c>
      <c r="F16" s="632">
        <f>IFERROR(MEDIAN(F9:F13),"–")</f>
        <v/>
      </c>
      <c r="G16" s="632">
        <f>IFERROR(MEDIAN(G9:G13),"–")</f>
        <v/>
      </c>
      <c r="H16" s="633">
        <f>IFERROR(MEDIAN(H9:H13),"–")</f>
        <v/>
      </c>
      <c r="I16" s="633">
        <f>IFERROR(MEDIAN(I9:I13),"–")</f>
        <v/>
      </c>
      <c r="J16" s="634">
        <f>IFERROR(MEDIAN(J9:J13),"–")</f>
        <v/>
      </c>
      <c r="K16" s="633">
        <f>IFERROR(MEDIAN(K9:K13),"–")</f>
        <v/>
      </c>
    </row>
    <row r="17" ht="15" customHeight="1" s="489">
      <c r="A17" s="3" t="n"/>
      <c r="B17" s="14" t="inlineStr">
        <is>
          <t>Maximum</t>
        </is>
      </c>
      <c r="C17" s="9" t="n"/>
      <c r="D17" s="635">
        <f>IFERROR(MAX(D9:D13),"–")</f>
        <v/>
      </c>
      <c r="E17" s="635">
        <f>IFERROR(MAX(E9:E13),"–")</f>
        <v/>
      </c>
      <c r="F17" s="635">
        <f>IFERROR(MAX(F9:F13),"–")</f>
        <v/>
      </c>
      <c r="G17" s="635">
        <f>IFERROR(MAX(G9:G13),"–")</f>
        <v/>
      </c>
      <c r="H17" s="636">
        <f>IFERROR(MAX(H9:H13),"–")</f>
        <v/>
      </c>
      <c r="I17" s="636">
        <f>IFERROR(MAX(I9:I13),"–")</f>
        <v/>
      </c>
      <c r="J17" s="637">
        <f>IFERROR(MAX(J9:J13),"–")</f>
        <v/>
      </c>
      <c r="K17" s="636">
        <f>IFERROR(MAX(K9:K13),"–")</f>
        <v/>
      </c>
    </row>
    <row r="18" ht="15" customHeight="1" s="489" thickBot="1">
      <c r="A18" s="3" t="n"/>
      <c r="B18" s="14" t="inlineStr">
        <is>
          <t>Minimum</t>
        </is>
      </c>
      <c r="C18" s="9" t="n"/>
      <c r="D18" s="638">
        <f>IFERROR(MIN(D9:D13),"–")</f>
        <v/>
      </c>
      <c r="E18" s="638">
        <f>IFERROR(MIN(E9:E13),"–")</f>
        <v/>
      </c>
      <c r="F18" s="638">
        <f>IFERROR(MIN(F9:F13),"–")</f>
        <v/>
      </c>
      <c r="G18" s="638">
        <f>IFERROR(MIN(G9:G13),"–")</f>
        <v/>
      </c>
      <c r="H18" s="639">
        <f>IFERROR(MIN(H9:H13),"–")</f>
        <v/>
      </c>
      <c r="I18" s="639">
        <f>IFERROR(MIN(I9:I13),"–")</f>
        <v/>
      </c>
      <c r="J18" s="640">
        <f>IFERROR(MIN(J9:J13),"–")</f>
        <v/>
      </c>
      <c r="K18" s="639">
        <f>IFERROR(MIN(K9:K13),"–")</f>
        <v/>
      </c>
    </row>
    <row r="19" ht="15" customHeight="1" s="489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 s="489">
      <c r="A20" s="474" t="inlineStr">
        <is>
          <t xml:space="preserve"> </t>
        </is>
      </c>
      <c r="B20" s="47" t="inlineStr">
        <is>
          <t>TARGET COMPANY VALUATION (Based on Peer Multiples)</t>
        </is>
      </c>
      <c r="C20" s="42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87" t="n"/>
      <c r="N20" s="87" t="n"/>
    </row>
    <row r="21" ht="15" customHeight="1" s="489">
      <c r="A21" s="201" t="n"/>
      <c r="B21" s="46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01" t="n"/>
      <c r="N21" s="201" t="n"/>
    </row>
    <row r="22" ht="15" customHeight="1" s="489">
      <c r="A22" s="3" t="n"/>
      <c r="B22" s="17" t="inlineStr">
        <is>
          <t>Target: Revenue (LTM)</t>
        </is>
      </c>
      <c r="C22" s="9" t="inlineStr">
        <is>
          <t>($M)</t>
        </is>
      </c>
      <c r="D22" s="641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 s="489">
      <c r="A23" s="3" t="n"/>
      <c r="B23" s="66" t="inlineStr">
        <is>
          <t>Target: EBITDAX (LTM)</t>
        </is>
      </c>
      <c r="C23" s="9" t="inlineStr">
        <is>
          <t>($M)</t>
        </is>
      </c>
      <c r="D23" s="641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 s="489">
      <c r="A24" s="3" t="n"/>
      <c r="B24" s="66" t="inlineStr">
        <is>
          <t>Target: DACF (LTM)</t>
        </is>
      </c>
      <c r="C24" s="9" t="inlineStr">
        <is>
          <t>($)</t>
        </is>
      </c>
      <c r="D24" s="428">
        <f>IFERROR(INPUT!H75+ABS(INPUT!H20)*(1-INPUT!H104),"–")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 s="489">
      <c r="A25" s="3" t="n"/>
      <c r="B25" s="17" t="inlineStr">
        <is>
          <t>Target: Net Debt</t>
        </is>
      </c>
      <c r="C25" s="9" t="inlineStr">
        <is>
          <t>($M)</t>
        </is>
      </c>
      <c r="D25" s="641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 s="489">
      <c r="A26" s="3" t="n"/>
      <c r="B26" s="17" t="inlineStr">
        <is>
          <t>Target: Shares Outstanding</t>
        </is>
      </c>
      <c r="C26" s="9" t="inlineStr">
        <is>
          <t>(M)</t>
        </is>
      </c>
      <c r="D26" s="642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 s="489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 s="489">
      <c r="A28" s="474" t="inlineStr">
        <is>
          <t xml:space="preserve"> </t>
        </is>
      </c>
      <c r="B28" s="47" t="inlineStr">
        <is>
          <t>IMPLIED VALUATION</t>
        </is>
      </c>
      <c r="C28" s="42" t="n"/>
      <c r="D28" s="44" t="n"/>
      <c r="E28" s="44" t="n"/>
      <c r="F28" s="44" t="n"/>
      <c r="G28" s="44" t="n"/>
      <c r="H28" s="23" t="n"/>
      <c r="I28" s="23" t="n"/>
      <c r="J28" s="23" t="n"/>
      <c r="K28" s="23" t="n"/>
      <c r="L28" s="23" t="n"/>
      <c r="M28" s="87" t="n"/>
      <c r="N28" s="87" t="n"/>
    </row>
    <row r="29" ht="15" customHeight="1" s="489">
      <c r="A29" s="3" t="n"/>
      <c r="B29" s="66" t="inlineStr">
        <is>
          <t>EV / EBITDAX — Implied EV ($M)</t>
        </is>
      </c>
      <c r="C29" s="9" t="n"/>
      <c r="D29" s="643">
        <f>IFERROR(D23*H18,"–")</f>
        <v/>
      </c>
      <c r="E29" s="643">
        <f>IFERROR(D23*H15,"–")</f>
        <v/>
      </c>
      <c r="F29" s="643">
        <f>IFERROR(D23*H16,"–")</f>
        <v/>
      </c>
      <c r="G29" s="643">
        <f>IFERROR(D23*H17,"–")</f>
        <v/>
      </c>
      <c r="H29" s="22" t="n"/>
      <c r="I29" s="22" t="n"/>
      <c r="J29" s="22" t="n"/>
      <c r="K29" s="22" t="n"/>
      <c r="L29" s="22" t="n"/>
    </row>
    <row r="30" ht="15" customHeight="1" s="489">
      <c r="A30" s="3" t="n"/>
      <c r="B30" s="66" t="inlineStr">
        <is>
          <t>EV / DACF — Implied EV ($M)</t>
        </is>
      </c>
      <c r="C30" s="9" t="n"/>
      <c r="D30" s="643">
        <f>IFERROR(D22*I18,"–")</f>
        <v/>
      </c>
      <c r="E30" s="643">
        <f>IFERROR(D22*I15,"–")</f>
        <v/>
      </c>
      <c r="F30" s="643">
        <f>IFERROR(D22*I16,"–")</f>
        <v/>
      </c>
      <c r="G30" s="643">
        <f>IFERROR(D22*I17,"–")</f>
        <v/>
      </c>
      <c r="H30" s="22" t="n"/>
      <c r="I30" s="22" t="n"/>
      <c r="J30" s="22" t="n"/>
      <c r="K30" s="22" t="n"/>
      <c r="L30" s="22" t="n"/>
    </row>
    <row r="31" ht="15" customHeight="1" s="489">
      <c r="A31" s="3" t="n"/>
      <c r="B31" s="17" t="inlineStr">
        <is>
          <t>P/E — Implied Equity Value ($M)</t>
        </is>
      </c>
      <c r="C31" s="9" t="n"/>
      <c r="D31" s="643">
        <f>IFERROR(D24*K18*D26,"–")</f>
        <v/>
      </c>
      <c r="E31" s="643">
        <f>IFERROR(D24*K15*D26,"–")</f>
        <v/>
      </c>
      <c r="F31" s="643">
        <f>IFERROR(D24*K16*D26,"–")</f>
        <v/>
      </c>
      <c r="G31" s="643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 s="489">
      <c r="A32" s="3" t="n"/>
      <c r="B32" s="17" t="n"/>
      <c r="C32" s="9" t="n"/>
      <c r="D32" s="55" t="n"/>
      <c r="E32" s="22" t="n"/>
      <c r="F32" s="22" t="n"/>
      <c r="G32" s="55" t="n"/>
      <c r="H32" s="22" t="n"/>
      <c r="I32" s="22" t="n"/>
      <c r="J32" s="22" t="n"/>
      <c r="K32" s="22" t="n"/>
      <c r="L32" s="22" t="n"/>
    </row>
    <row r="33" ht="15" customHeight="1" s="489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43">
        <f>IFERROR(AVERAGE(D29,D30),"–")</f>
        <v/>
      </c>
      <c r="E33" s="643">
        <f>IFERROR(AVERAGE(E29,E30),"–")</f>
        <v/>
      </c>
      <c r="F33" s="643">
        <f>IFERROR(AVERAGE(F29,F30),"–")</f>
        <v/>
      </c>
      <c r="G33" s="643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 s="489">
      <c r="A34" s="3" t="n"/>
      <c r="B34" s="17" t="inlineStr">
        <is>
          <t>(-) Net Debt</t>
        </is>
      </c>
      <c r="C34" s="9" t="inlineStr">
        <is>
          <t>($M)</t>
        </is>
      </c>
      <c r="D34" s="643">
        <f>D25</f>
        <v/>
      </c>
      <c r="E34" s="643">
        <f>D25</f>
        <v/>
      </c>
      <c r="F34" s="643">
        <f>D25</f>
        <v/>
      </c>
      <c r="G34" s="643">
        <f>D25</f>
        <v/>
      </c>
      <c r="H34" s="22" t="n"/>
      <c r="I34" s="22" t="n"/>
      <c r="J34" s="22" t="n"/>
      <c r="K34" s="22" t="n"/>
      <c r="L34" s="22" t="n"/>
    </row>
    <row r="35" ht="15" customHeight="1" s="489">
      <c r="A35" s="3" t="n"/>
      <c r="B35" s="17" t="inlineStr">
        <is>
          <t>Implied Equity Value ($M)</t>
        </is>
      </c>
      <c r="C35" s="9" t="inlineStr">
        <is>
          <t>($M)</t>
        </is>
      </c>
      <c r="D35" s="643">
        <f>IFERROR(D33-D34,"–")</f>
        <v/>
      </c>
      <c r="E35" s="643">
        <f>IFERROR(E33-E34,"–")</f>
        <v/>
      </c>
      <c r="F35" s="643">
        <f>IFERROR(F33-F34,"–")</f>
        <v/>
      </c>
      <c r="G35" s="643">
        <f>IFERROR(G33-G34,"–")</f>
        <v/>
      </c>
      <c r="H35" s="22" t="n"/>
      <c r="I35" s="22" t="n"/>
      <c r="J35" s="22" t="n"/>
      <c r="K35" s="22" t="n"/>
      <c r="L35" s="22" t="n"/>
    </row>
    <row r="36" ht="15" customHeight="1" s="489" thickBot="1">
      <c r="A36" s="3" t="n"/>
      <c r="B36" s="52" t="inlineStr">
        <is>
          <t>Implied Share Price ($)</t>
        </is>
      </c>
      <c r="C36" s="11" t="inlineStr">
        <is>
          <t>($)</t>
        </is>
      </c>
      <c r="D36" s="644">
        <f>IFERROR(D35/D26,"–")</f>
        <v/>
      </c>
      <c r="E36" s="644">
        <f>IFERROR(E35/D26,"–")</f>
        <v/>
      </c>
      <c r="F36" s="644">
        <f>IFERROR(F35/D26,"–")</f>
        <v/>
      </c>
      <c r="G36" s="644">
        <f>IFERROR(G35/D26,"–")</f>
        <v/>
      </c>
      <c r="H36" s="294" t="n"/>
      <c r="I36" s="60" t="n"/>
      <c r="J36" s="60" t="n"/>
      <c r="K36" s="60" t="n"/>
      <c r="L36" s="60" t="n"/>
    </row>
    <row r="37" ht="15" customHeight="1" s="489">
      <c r="A37" s="3" t="n"/>
      <c r="B37" s="17" t="inlineStr">
        <is>
          <t>Current Share Price ($)</t>
        </is>
      </c>
      <c r="C37" s="9" t="inlineStr">
        <is>
          <t>($)</t>
        </is>
      </c>
      <c r="D37" s="634">
        <f>INPUT!H95</f>
        <v/>
      </c>
      <c r="E37" s="634">
        <f>INPUT!H95</f>
        <v/>
      </c>
      <c r="F37" s="634">
        <f>INPUT!H95</f>
        <v/>
      </c>
      <c r="G37" s="634">
        <f>INPUT!H95</f>
        <v/>
      </c>
      <c r="H37" s="22" t="n"/>
      <c r="I37" s="22" t="n"/>
      <c r="J37" s="22" t="n"/>
      <c r="K37" s="22" t="n"/>
      <c r="L37" s="22" t="n"/>
    </row>
    <row r="38" ht="15" customHeight="1" s="489" thickBot="1">
      <c r="A38" s="3" t="n"/>
      <c r="B38" s="52" t="inlineStr">
        <is>
          <t>Implied Upside / (Downside)</t>
        </is>
      </c>
      <c r="C38" s="11" t="inlineStr">
        <is>
          <t>(%)</t>
        </is>
      </c>
      <c r="D38" s="645">
        <f>IFERROR(D36/D37-1,"–")</f>
        <v/>
      </c>
      <c r="E38" s="645">
        <f>IFERROR(E36/D37-1,"–")</f>
        <v/>
      </c>
      <c r="F38" s="645">
        <f>IFERROR(F36/D37-1,"–")</f>
        <v/>
      </c>
      <c r="G38" s="645">
        <f>IFERROR(G36/D37-1,"–")</f>
        <v/>
      </c>
      <c r="H38" s="294" t="n"/>
      <c r="I38" s="60" t="n"/>
      <c r="J38" s="60" t="n"/>
      <c r="K38" s="60" t="n"/>
      <c r="L38" s="60" t="n"/>
    </row>
    <row r="39" ht="15" customHeight="1" s="489">
      <c r="A39" s="3" t="n"/>
      <c r="B39" s="52" t="n"/>
      <c r="C39" s="11" t="n"/>
      <c r="D39" s="611" t="n"/>
      <c r="E39" s="611" t="n"/>
      <c r="F39" s="611" t="n"/>
      <c r="G39" s="611" t="n"/>
      <c r="H39" s="294" t="n"/>
      <c r="I39" s="294" t="n"/>
      <c r="J39" s="294" t="n"/>
      <c r="K39" s="294" t="n"/>
      <c r="L39" s="294" t="n"/>
    </row>
    <row r="40" ht="15" customHeight="1" s="489">
      <c r="A40" s="3" t="n"/>
      <c r="B40" s="17" t="n"/>
      <c r="C40" s="9" t="n"/>
      <c r="D40" s="646" t="n"/>
      <c r="E40" s="647" t="n"/>
      <c r="F40" s="647" t="n"/>
      <c r="G40" s="646" t="n"/>
      <c r="H40" s="22" t="n"/>
      <c r="I40" s="22" t="n"/>
      <c r="J40" s="22" t="n"/>
      <c r="K40" s="22" t="n"/>
      <c r="L40" s="22" t="n"/>
    </row>
    <row r="41" ht="15" customHeight="1" s="489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 s="489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 s="489">
      <c r="A43" s="200" t="n"/>
      <c r="B43" s="31" t="inlineStr">
        <is>
          <t>© 2015 to 2024 FinSight</t>
        </is>
      </c>
      <c r="C43" s="4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208" t="n"/>
      <c r="N43" s="208" t="n"/>
    </row>
    <row r="44" ht="15" customHeight="1" s="489">
      <c r="A44" s="200" t="n"/>
      <c r="B44" s="31" t="inlineStr">
        <is>
          <t>This Excel model is for educational purposes only.</t>
        </is>
      </c>
      <c r="C44" s="4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208" t="n"/>
      <c r="N44" s="208" t="n"/>
    </row>
    <row r="45" ht="15" customHeight="1" s="489">
      <c r="A45" s="200" t="n"/>
      <c r="B45" s="31" t="inlineStr">
        <is>
          <t>https://finsight.com/</t>
        </is>
      </c>
      <c r="C45" s="4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208" t="n"/>
      <c r="N45" s="208" t="n"/>
    </row>
    <row r="46" ht="15" customHeight="1" s="489">
      <c r="B46" s="45" t="n"/>
    </row>
    <row r="47" ht="15" customHeight="1" s="489">
      <c r="A47" s="90" t="n"/>
      <c r="B47" s="85" t="inlineStr">
        <is>
          <t>Company</t>
        </is>
      </c>
      <c r="C47" s="86" t="inlineStr">
        <is>
          <t>EV/EBITDA (x)</t>
        </is>
      </c>
      <c r="D47" s="86" t="inlineStr">
        <is>
          <t>EV/Revenue (x)</t>
        </is>
      </c>
      <c r="E47" s="84" t="inlineStr">
        <is>
          <t>P/E (x)</t>
        </is>
      </c>
      <c r="F47" s="84" t="n"/>
      <c r="G47" s="84" t="n"/>
      <c r="H47" s="84" t="n"/>
      <c r="I47" s="84" t="n"/>
      <c r="J47" s="84" t="n"/>
      <c r="K47" s="84" t="n"/>
      <c r="L47" s="84" t="n"/>
      <c r="M47" s="209" t="n"/>
      <c r="N47" s="209" t="n"/>
    </row>
    <row r="48" ht="15" customHeight="1" s="489">
      <c r="B48" s="268">
        <f>B9</f>
        <v/>
      </c>
      <c r="C48" s="379">
        <f>IFERROR(H9*1,0)</f>
        <v/>
      </c>
      <c r="D48" s="380">
        <f>IFERROR(I9*1,0)</f>
        <v/>
      </c>
      <c r="E48" s="381">
        <f>IFERROR(K9*1,0)</f>
        <v/>
      </c>
    </row>
    <row r="49" ht="15" customHeight="1" s="489">
      <c r="B49" s="268">
        <f>B10</f>
        <v/>
      </c>
      <c r="C49" s="379">
        <f>IFERROR(H10*1,0)</f>
        <v/>
      </c>
      <c r="D49" s="380">
        <f>IFERROR(I10*1,0)</f>
        <v/>
      </c>
      <c r="E49" s="381">
        <f>IFERROR(K10*1,0)</f>
        <v/>
      </c>
    </row>
    <row r="50" ht="15" customHeight="1" s="489">
      <c r="B50" s="268">
        <f>B11</f>
        <v/>
      </c>
      <c r="C50" s="379">
        <f>IFERROR(H11*1,0)</f>
        <v/>
      </c>
      <c r="D50" s="380">
        <f>IFERROR(I11*1,0)</f>
        <v/>
      </c>
      <c r="E50" s="381">
        <f>IFERROR(K11*1,0)</f>
        <v/>
      </c>
    </row>
    <row r="51" ht="15" customHeight="1" s="489">
      <c r="B51" s="268">
        <f>B12</f>
        <v/>
      </c>
      <c r="C51" s="379">
        <f>IFERROR(H12*1,0)</f>
        <v/>
      </c>
      <c r="D51" s="380">
        <f>IFERROR(I12*1,0)</f>
        <v/>
      </c>
      <c r="E51" s="381">
        <f>IFERROR(K12*1,0)</f>
        <v/>
      </c>
    </row>
    <row r="52" ht="15" customHeight="1" s="489">
      <c r="B52" s="268">
        <f>B13</f>
        <v/>
      </c>
      <c r="C52" s="379">
        <f>IFERROR(H13*1,0)</f>
        <v/>
      </c>
      <c r="D52" s="380">
        <f>IFERROR(I13*1,0)</f>
        <v/>
      </c>
      <c r="E52" s="381">
        <f>IFERROR(K13*1,0)</f>
        <v/>
      </c>
    </row>
    <row r="53" ht="15" customHeight="1" s="489">
      <c r="B53" s="268">
        <f>B15</f>
        <v/>
      </c>
      <c r="C53" s="379">
        <f>IFERROR(H15*1,0)</f>
        <v/>
      </c>
      <c r="D53" s="380">
        <f>IFERROR(I15*1,0)</f>
        <v/>
      </c>
      <c r="E53" s="381">
        <f>IFERROR(K15*1,0)</f>
        <v/>
      </c>
    </row>
    <row r="54" ht="15" customHeight="1" s="489">
      <c r="B54" s="299" t="inlineStr">
        <is>
          <t>Implied Share Price — Valuation Range ($)</t>
        </is>
      </c>
      <c r="H54" s="21" t="inlineStr">
        <is>
          <t>Method</t>
        </is>
      </c>
      <c r="I54" s="21" t="inlineStr">
        <is>
          <t>Low ($)</t>
        </is>
      </c>
      <c r="J54" s="21" t="inlineStr">
        <is>
          <t>High ($)</t>
        </is>
      </c>
      <c r="K54" s="21" t="inlineStr">
        <is>
          <t>Current ($)</t>
        </is>
      </c>
    </row>
    <row r="55" ht="15" customHeight="1" s="489">
      <c r="B55" s="83" t="inlineStr">
        <is>
          <t>Method</t>
        </is>
      </c>
      <c r="C55" s="81" t="inlineStr">
        <is>
          <t>Low ($)</t>
        </is>
      </c>
      <c r="D55" s="84" t="inlineStr">
        <is>
          <t>Median ($)</t>
        </is>
      </c>
      <c r="E55" s="84" t="inlineStr">
        <is>
          <t>High ($)</t>
        </is>
      </c>
      <c r="H55" s="21" t="inlineStr">
        <is>
          <t>EV/EBITDA</t>
        </is>
      </c>
      <c r="I55" s="21">
        <f>IFERROR(D36,0)</f>
        <v/>
      </c>
      <c r="J55" s="21">
        <f>IFERROR(G36,0)</f>
        <v/>
      </c>
      <c r="K55" s="300">
        <f>INPUT!H95</f>
        <v/>
      </c>
    </row>
    <row r="56" ht="15" customHeight="1" s="489">
      <c r="B56" s="429">
        <f>B29</f>
        <v/>
      </c>
      <c r="C56" s="382">
        <f>IFERROR(D36,"–")</f>
        <v/>
      </c>
      <c r="D56" s="383">
        <f>IFERROR(F36,"–")</f>
        <v/>
      </c>
      <c r="E56" s="383">
        <f>IFERROR(G36,"–")</f>
        <v/>
      </c>
      <c r="H56" s="21" t="inlineStr">
        <is>
          <t>EV/Revenue</t>
        </is>
      </c>
      <c r="I56" s="21">
        <f>IFERROR(D36,0)</f>
        <v/>
      </c>
      <c r="J56" s="21">
        <f>IFERROR(G36,0)</f>
        <v/>
      </c>
      <c r="K56" s="300">
        <f>INPUT!H95</f>
        <v/>
      </c>
    </row>
    <row r="57" ht="15" customHeight="1" s="489">
      <c r="B57" s="429">
        <f>B30</f>
        <v/>
      </c>
      <c r="C57" s="382">
        <f>IFERROR(D36,"–")</f>
        <v/>
      </c>
      <c r="D57" s="383">
        <f>IFERROR(F36,"–")</f>
        <v/>
      </c>
      <c r="E57" s="383">
        <f>IFERROR(G36,"–")</f>
        <v/>
      </c>
      <c r="F57" s="21" t="inlineStr">
        <is>
          <t>vé</t>
        </is>
      </c>
      <c r="H57" s="21" t="inlineStr">
        <is>
          <t>P/E</t>
        </is>
      </c>
      <c r="I57" s="21">
        <f>IFERROR(D36,0)</f>
        <v/>
      </c>
      <c r="J57" s="21">
        <f>IFERROR(G36,0)</f>
        <v/>
      </c>
      <c r="K57" s="300">
        <f>INPUT!H95</f>
        <v/>
      </c>
    </row>
    <row r="58" ht="15" customHeight="1" s="489">
      <c r="B58" s="45" t="n"/>
    </row>
    <row r="59" ht="15" customHeight="1" s="489">
      <c r="B59" s="45" t="n"/>
    </row>
    <row r="60" ht="15" customHeight="1" s="489">
      <c r="B60" s="45" t="n"/>
    </row>
    <row r="61" ht="15" customHeight="1" s="489">
      <c r="B61" s="45" t="n"/>
    </row>
    <row r="62" ht="15" customHeight="1" s="489">
      <c r="B62" s="45" t="n"/>
    </row>
    <row r="63" ht="15" customHeight="1" s="489">
      <c r="B63" s="45" t="n"/>
    </row>
    <row r="64" ht="15" customHeight="1" s="489">
      <c r="B64" s="45" t="n"/>
    </row>
    <row r="65" ht="15" customHeight="1" s="489">
      <c r="B65" s="45" t="n"/>
    </row>
    <row r="66" ht="15" customHeight="1" s="489">
      <c r="B66" s="45" t="n"/>
    </row>
    <row r="67" ht="15" customHeight="1" s="489">
      <c r="B67" s="45" t="n"/>
    </row>
    <row r="68" ht="15" customHeight="1" s="489">
      <c r="B68" s="45" t="n"/>
    </row>
    <row r="69" ht="15" customHeight="1" s="489">
      <c r="B69" s="45" t="n"/>
    </row>
    <row r="70" ht="15" customHeight="1" s="489">
      <c r="B70" s="45" t="n"/>
    </row>
    <row r="71" ht="15" customHeight="1" s="489">
      <c r="B71" s="45" t="n"/>
    </row>
    <row r="72" ht="15" customHeight="1" s="489">
      <c r="B72" s="45" t="n"/>
    </row>
    <row r="73" ht="15" customHeight="1" s="489">
      <c r="B73" s="45" t="n"/>
    </row>
    <row r="74" ht="15" customHeight="1" s="489">
      <c r="B74" s="45" t="n"/>
    </row>
    <row r="75" ht="15" customHeight="1" s="489">
      <c r="B75" s="45" t="n"/>
    </row>
    <row r="76" ht="15" customHeight="1" s="489">
      <c r="B76" s="45" t="n"/>
    </row>
    <row r="77" ht="15" customHeight="1" s="489">
      <c r="B77" s="45" t="n"/>
    </row>
    <row r="78" ht="15" customHeight="1" s="489">
      <c r="B78" s="45" t="n"/>
    </row>
    <row r="79" ht="15" customHeight="1" s="489">
      <c r="B79" s="45" t="n"/>
    </row>
    <row r="80" ht="15" customHeight="1" s="489">
      <c r="B80" s="45" t="n"/>
    </row>
    <row r="81" ht="15" customHeight="1" s="489">
      <c r="B81" s="45" t="n"/>
    </row>
    <row r="82" ht="15" customHeight="1" s="489">
      <c r="B82" s="45" t="n"/>
    </row>
    <row r="83" ht="15" customHeight="1" s="489">
      <c r="B83" s="45" t="n"/>
    </row>
    <row r="84" ht="15" customHeight="1" s="489">
      <c r="B84" s="45" t="n"/>
    </row>
    <row r="85" ht="15" customHeight="1" s="489">
      <c r="B85" s="45" t="n"/>
    </row>
    <row r="86" ht="15" customHeight="1" s="489">
      <c r="B86" s="45" t="n"/>
    </row>
    <row r="87" ht="15" customHeight="1" s="489">
      <c r="B87" s="45" t="n"/>
    </row>
    <row r="88" ht="15" customHeight="1" s="489">
      <c r="B88" s="45" t="n"/>
    </row>
    <row r="89" ht="15" customHeight="1" s="489">
      <c r="B89" s="45" t="n"/>
    </row>
    <row r="90" ht="15" customHeight="1" s="489">
      <c r="B90" s="45" t="n"/>
    </row>
    <row r="91" ht="15" customHeight="1" s="489">
      <c r="B91" s="45" t="n"/>
    </row>
    <row r="92" ht="15" customHeight="1" s="489">
      <c r="B92" s="45" t="n"/>
    </row>
    <row r="93" ht="15" customHeight="1" s="489">
      <c r="B93" s="45" t="n"/>
    </row>
    <row r="94" ht="15" customHeight="1" s="489">
      <c r="B94" s="45" t="n"/>
    </row>
    <row r="95" ht="15" customHeight="1" s="489">
      <c r="B95" s="45" t="n"/>
    </row>
    <row r="96" ht="15" customHeight="1" s="489">
      <c r="B96" s="45" t="n"/>
    </row>
    <row r="97" ht="15" customHeight="1" s="489">
      <c r="B97" s="45" t="n"/>
    </row>
    <row r="98" ht="15" customHeight="1" s="489">
      <c r="B98" s="45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19"/>
  <sheetViews>
    <sheetView showGridLines="0" zoomScale="85" zoomScaleNormal="85" workbookViewId="0">
      <selection activeCell="K27" sqref="K27"/>
    </sheetView>
  </sheetViews>
  <sheetFormatPr baseColWidth="10" defaultRowHeight="14.4"/>
  <cols>
    <col width="11" customWidth="1" style="392" min="1" max="1"/>
    <col width="51" bestFit="1" customWidth="1" style="19" min="2" max="2"/>
    <col width="15.6640625" customWidth="1" style="489" min="3" max="3"/>
    <col width="13.33203125" customWidth="1" style="21" min="4" max="5"/>
    <col width="13.88671875" bestFit="1" customWidth="1" style="21" min="6" max="6"/>
    <col width="14.44140625" bestFit="1" customWidth="1" style="21" min="7" max="7"/>
    <col width="13.33203125" customWidth="1" style="21" min="8" max="9"/>
    <col width="11" customWidth="1" style="21" min="10" max="13"/>
    <col width="11.44140625" customWidth="1" style="89" min="14" max="14"/>
  </cols>
  <sheetData>
    <row r="1" ht="54.9" customHeight="1" s="489">
      <c r="A1" s="96" t="n"/>
      <c r="B1" s="96" t="inlineStr">
        <is>
          <t>FinSight</t>
        </is>
      </c>
      <c r="C1" s="5" t="n"/>
      <c r="D1" s="29" t="n"/>
      <c r="E1" s="29" t="n"/>
      <c r="F1" s="29" t="n"/>
      <c r="G1" s="29" t="n"/>
      <c r="H1" s="95" t="inlineStr">
        <is>
          <t>SCENARIOS — Scenario Analysis</t>
        </is>
      </c>
      <c r="I1" s="29" t="n"/>
      <c r="J1" s="29" t="n"/>
      <c r="K1" s="29" t="n"/>
      <c r="L1" s="29" t="n"/>
      <c r="M1" s="29" t="n"/>
      <c r="N1" s="88" t="n"/>
    </row>
    <row r="2" ht="15" customHeight="1" s="489">
      <c r="A2" s="389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 s="489">
      <c r="A3" s="34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 s="489">
      <c r="A4" s="389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 s="489">
      <c r="A5" s="390" t="inlineStr">
        <is>
          <t xml:space="preserve"> </t>
        </is>
      </c>
      <c r="B5" s="16" t="inlineStr">
        <is>
          <t>METRIC</t>
        </is>
      </c>
      <c r="C5" s="16" t="n"/>
      <c r="D5" s="350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 s="489">
      <c r="A6" s="389" t="n"/>
      <c r="B6" s="16" t="inlineStr">
        <is>
          <t>▶  SELECT SCENARIO</t>
        </is>
      </c>
      <c r="C6" s="72" t="n"/>
      <c r="D6" s="544" t="inlineStr">
        <is>
          <t>Realistic</t>
        </is>
      </c>
      <c r="E6" s="74" t="n"/>
      <c r="F6" s="73" t="n"/>
      <c r="G6" s="74" t="n"/>
      <c r="H6" s="73" t="n"/>
      <c r="I6" s="73" t="n"/>
      <c r="J6" s="73" t="n"/>
      <c r="K6" s="73" t="n"/>
      <c r="L6" s="73" t="n"/>
      <c r="M6" s="73" t="n"/>
    </row>
    <row r="7" ht="18" customHeight="1" s="489">
      <c r="A7" s="390" t="n"/>
      <c r="B7" s="16" t="inlineStr">
        <is>
          <t>DRIVER</t>
        </is>
      </c>
      <c r="C7" s="16" t="n"/>
      <c r="D7" s="16" t="inlineStr">
        <is>
          <t>Pessimistic</t>
        </is>
      </c>
      <c r="E7" s="71" t="inlineStr">
        <is>
          <t>Realistic</t>
        </is>
      </c>
      <c r="F7" s="71" t="inlineStr">
        <is>
          <t>Optimistic</t>
        </is>
      </c>
      <c r="G7" s="24" t="n"/>
      <c r="H7" s="24" t="n"/>
      <c r="I7" s="24" t="n"/>
      <c r="J7" s="24" t="n"/>
      <c r="K7" s="24" t="n"/>
      <c r="L7" s="24" t="n"/>
      <c r="M7" s="24" t="n"/>
    </row>
    <row r="8" ht="15" customHeight="1" s="489">
      <c r="A8" s="389" t="n"/>
      <c r="B8" s="66" t="inlineStr">
        <is>
          <t>Revenue Growth Rate (Y1-Y5)</t>
        </is>
      </c>
      <c r="C8" s="191" t="n"/>
      <c r="D8" s="583">
        <f t="array" ref="D8">IFERROR(INDEX(SECTOR_REF!$C$2:$E$71,MATCH(1,(SECTOR_REF!$A$2:$A$71=INPUT!$D$116)*(SECTOR_REF!$B$2:$B$71="Revenue Growth Rate (Y1-Y5)"),0),MATCH("Pessimiste",{"Pessimiste","Realiste","Optimiste"},0)),IFERROR(INPUT!H9/INPUT!G9-1,0.02))</f>
        <v/>
      </c>
      <c r="E8" s="583">
        <f t="array" ref="E8">IFERROR(INDEX(SECTOR_REF!$C$2:$E$71,MATCH(1,(SECTOR_REF!$A$2:$A$71=INPUT!$D$116)*(SECTOR_REF!$B$2:$B$71="Revenue Growth Rate (Y1-Y5)"),0),MATCH("Realiste",{"Pessimiste","Realiste","Optimiste"},0)),IFERROR(INPUT!H9/INPUT!G9-1,0.05))</f>
        <v/>
      </c>
      <c r="F8" s="583">
        <f t="array" ref="F8">IFERROR(INDEX(SECTOR_REF!$C$2:$E$71,MATCH(1,(SECTOR_REF!$A$2:$A$71=INPUT!$D$116)*(SECTOR_REF!$B$2:$B$71="Revenue Growth Rate (Y1-Y5)"),0),MATCH("Optimiste",{"Pessimiste","Realiste","Optimiste"},0)),IFERROR(INPUT!H9/INPUT!G9-1,0.09))</f>
        <v/>
      </c>
      <c r="G8" s="648" t="n"/>
      <c r="H8" s="586" t="n"/>
      <c r="I8" s="649" t="n"/>
      <c r="J8" s="650" t="n"/>
      <c r="K8" s="650" t="n"/>
      <c r="L8" s="650" t="n"/>
      <c r="M8" s="650" t="n"/>
    </row>
    <row r="9" ht="15" customHeight="1" s="489">
      <c r="A9" s="389" t="n"/>
      <c r="B9" s="66" t="inlineStr">
        <is>
          <t>EBITDA Margin (UTILITY)</t>
        </is>
      </c>
      <c r="C9" s="191" t="n"/>
      <c r="D9" s="583">
        <f t="array" ref="D9">IFERROR(INDEX(SECTOR_REF!$C$2:$E$71,MATCH(1,(SECTOR_REF!$A$2:$A$71=INPUT!$D$116)*(SECTOR_REF!$B$2:$B$71="Gross Margin"),0),MATCH("Pessimiste",{"Pessimiste","Realiste","Optimiste"},0)),IFERROR(INPUT!H11/INPUT!H9,0.4)-0.03)</f>
        <v/>
      </c>
      <c r="E9" s="583">
        <f t="array" ref="E9">IFERROR(INDEX(SECTOR_REF!$C$2:$E$71,MATCH(1,(SECTOR_REF!$A$2:$A$71=INPUT!$D$116)*(SECTOR_REF!$B$2:$B$71="Gross Margin"),0),MATCH("Realiste",{"Pessimiste","Realiste","Optimiste"},0)),IFERROR(INPUT!H11/INPUT!H9,0.4))</f>
        <v/>
      </c>
      <c r="F9" s="583">
        <f t="array" ref="F9">IFERROR(INDEX(SECTOR_REF!$C$2:$E$71,MATCH(1,(SECTOR_REF!$A$2:$A$71=INPUT!$D$116)*(SECTOR_REF!$B$2:$B$71="Gross Margin"),0),MATCH("Optimiste",{"Pessimiste","Realiste","Optimiste"},0)),IFERROR(INPUT!H11/INPUT!H9,0.4)+0.03)</f>
        <v/>
      </c>
      <c r="G9" s="586" t="n"/>
      <c r="H9" s="586" t="n"/>
      <c r="I9" s="649" t="n"/>
      <c r="J9" s="650" t="n"/>
      <c r="K9" s="650" t="n"/>
      <c r="L9" s="650" t="n"/>
      <c r="M9" s="650" t="n"/>
    </row>
    <row r="10" ht="15" customHeight="1" s="489">
      <c r="A10" s="389" t="n"/>
      <c r="B10" s="66" t="inlineStr">
        <is>
          <t>EBITDA Margin</t>
        </is>
      </c>
      <c r="C10" s="191" t="n"/>
      <c r="D10" s="583">
        <f t="array" ref="D10">IFERROR(INDEX(SECTOR_REF!$C$2:$E$71,MATCH(1,(SECTOR_REF!$A$2:$A$71=INPUT!$D$116)*(SECTOR_REF!$B$2:$B$71="EBITDA Margin"),0),MATCH("Pessimiste",{"Pessimiste","Realiste","Optimiste"},0)),IFERROR(INPUT!H30/INPUT!H9,0.15)-0.03)</f>
        <v/>
      </c>
      <c r="E10" s="583">
        <f t="array" ref="E10">IFERROR(INDEX(SECTOR_REF!$C$2:$E$71,MATCH(1,(SECTOR_REF!$A$2:$A$71=INPUT!$D$116)*(SECTOR_REF!$B$2:$B$71="EBITDA Margin"),0),MATCH("Realiste",{"Pessimiste","Realiste","Optimiste"},0)),IFERROR(INPUT!H30/INPUT!H9,0.15))</f>
        <v/>
      </c>
      <c r="F10" s="583">
        <f t="array" ref="F10">IFERROR(INDEX(SECTOR_REF!$C$2:$E$71,MATCH(1,(SECTOR_REF!$A$2:$A$71=INPUT!$D$116)*(SECTOR_REF!$B$2:$B$71="EBITDA Margin"),0),MATCH("Optimiste",{"Pessimiste","Realiste","Optimiste"},0)),IFERROR(INPUT!H30/INPUT!H9,0.15)+0.03)</f>
        <v/>
      </c>
      <c r="G10" s="586" t="n"/>
      <c r="H10" s="586" t="n"/>
      <c r="I10" s="649" t="n"/>
      <c r="J10" s="650" t="n"/>
      <c r="K10" s="650" t="n"/>
      <c r="L10" s="650" t="n"/>
      <c r="M10" s="650" t="n"/>
    </row>
    <row r="11" ht="15" customHeight="1" s="489">
      <c r="A11" s="389" t="n"/>
      <c r="B11" s="66" t="inlineStr">
        <is>
          <t>Terminal Growth Rate</t>
        </is>
      </c>
      <c r="C11" s="191" t="n"/>
      <c r="D11" s="583">
        <f t="array" ref="D11">IFERROR(INDEX(SECTOR_REF!$C$2:$E$71,MATCH(1,(SECTOR_REF!$A$2:$A$71=INPUT!$D$116)*(SECTOR_REF!$B$2:$B$71="Terminal Growth Rate"),0),MATCH("Pessimiste",{"Pessimiste","Realiste","Optimiste"},0)),DCF!D70-0.01)</f>
        <v/>
      </c>
      <c r="E11" s="583">
        <f t="array" ref="E11">IFERROR(INDEX(SECTOR_REF!$C$2:$E$71,MATCH(1,(SECTOR_REF!$A$2:$A$71=INPUT!$D$116)*(SECTOR_REF!$B$2:$B$71="Terminal Growth Rate"),0),MATCH("Realiste",{"Pessimiste","Realiste","Optimiste"},0)),DCF!D70)</f>
        <v/>
      </c>
      <c r="F11" s="583">
        <f t="array" ref="F11">IFERROR(INDEX(SECTOR_REF!$C$2:$E$71,MATCH(1,(SECTOR_REF!$A$2:$A$71=INPUT!$D$116)*(SECTOR_REF!$B$2:$B$71="Terminal Growth Rate"),0),MATCH("Optimiste",{"Pessimiste","Realiste","Optimiste"},0)),DCF!D70+0.01)</f>
        <v/>
      </c>
      <c r="G11" s="586" t="n"/>
      <c r="H11" s="586" t="n"/>
      <c r="I11" s="649" t="n"/>
      <c r="J11" s="650" t="n"/>
      <c r="K11" s="650" t="n"/>
      <c r="L11" s="650" t="n"/>
      <c r="M11" s="650" t="n"/>
    </row>
    <row r="12" ht="15" customHeight="1" s="489">
      <c r="A12" s="389" t="n"/>
      <c r="B12" s="66" t="inlineStr">
        <is>
          <t>WACC</t>
        </is>
      </c>
      <c r="C12" s="191" t="n"/>
      <c r="D12" s="583">
        <f t="array" ref="D12">IFERROR(INDEX(SECTOR_REF!$C$2:$E$71,MATCH(1,(SECTOR_REF!$A$2:$A$71=INPUT!$D$116)*(SECTOR_REF!$B$2:$B$71="WACC"),0),MATCH("Pessimiste",{"Pessimiste","Realiste","Optimiste"},0)),DCF!D66+0.015)</f>
        <v/>
      </c>
      <c r="E12" s="583">
        <f t="array" ref="E12">IFERROR(INDEX(SECTOR_REF!$C$2:$E$71,MATCH(1,(SECTOR_REF!$A$2:$A$71=INPUT!$D$116)*(SECTOR_REF!$B$2:$B$71="WACC"),0),MATCH("Realiste",{"Pessimiste","Realiste","Optimiste"},0)),DCF!D66)</f>
        <v/>
      </c>
      <c r="F12" s="583">
        <f t="array" ref="F12">IFERROR(INDEX(SECTOR_REF!$C$2:$E$71,MATCH(1,(SECTOR_REF!$A$2:$A$71=INPUT!$D$116)*(SECTOR_REF!$B$2:$B$71="WACC"),0),MATCH("Optimiste",{"Pessimiste","Realiste","Optimiste"},0)),DCF!D66-0.015)</f>
        <v/>
      </c>
      <c r="G12" s="586" t="n"/>
      <c r="H12" s="586" t="n"/>
      <c r="I12" s="649" t="n"/>
      <c r="J12" s="650" t="n"/>
      <c r="K12" s="650" t="n"/>
      <c r="L12" s="650" t="n"/>
      <c r="M12" s="650" t="n"/>
    </row>
    <row r="13" ht="15" customHeight="1" s="489">
      <c r="A13" s="389" t="n"/>
      <c r="B13" s="187" t="inlineStr">
        <is>
          <t>▶ Secteur actif :</t>
        </is>
      </c>
      <c r="C13" s="72" t="n"/>
      <c r="D13" s="73">
        <f>IF(INPUT!$D$116="","— Aucun secteur sélectionné (INPUT!D116) —",INPUT!$D$116)</f>
        <v/>
      </c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</row>
    <row r="14" ht="15" customHeight="1" s="489">
      <c r="A14" s="341" t="inlineStr">
        <is>
          <t xml:space="preserve"> </t>
        </is>
      </c>
      <c r="B14" s="15" t="inlineStr">
        <is>
          <t>SCENARIO RESULTS — DYNAMIC VIEW</t>
        </is>
      </c>
      <c r="C14" s="7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</row>
    <row r="15" ht="18" customHeight="1" s="489">
      <c r="A15" s="389" t="n"/>
      <c r="B15" s="79" t="inlineStr">
        <is>
          <t>METRIC</t>
        </is>
      </c>
      <c r="C15" s="651" t="n"/>
      <c r="D15" s="334">
        <f>TEXT(INPUT!D117-3,"0")</f>
        <v/>
      </c>
      <c r="E15" s="334">
        <f>TEXT(INPUT!D117-2,"0")</f>
        <v/>
      </c>
      <c r="F15" s="334">
        <f>TEXT(INPUT!D117-1,"0")</f>
        <v/>
      </c>
      <c r="G15" s="16">
        <f>INPUT!D117&amp;" (LTM)"</f>
        <v/>
      </c>
      <c r="H15" s="651">
        <f>TEXT(INPUT!D117+1,"0")&amp;"F"</f>
        <v/>
      </c>
      <c r="I15" s="651">
        <f>TEXT(INPUT!D117+2,"0")&amp;"F"</f>
        <v/>
      </c>
      <c r="J15" s="651">
        <f>TEXT(INPUT!D117+3,"0")&amp;"F"</f>
        <v/>
      </c>
      <c r="K15" s="651">
        <f>TEXT(INPUT!D117+4,"0")&amp;"F"</f>
        <v/>
      </c>
      <c r="L15" s="651">
        <f>TEXT(INPUT!D117+5,"0")&amp;"F"</f>
        <v/>
      </c>
      <c r="M15" s="89" t="n"/>
    </row>
    <row r="16" ht="15" customHeight="1" s="489">
      <c r="A16" s="389" t="n"/>
      <c r="B16" s="66" t="inlineStr">
        <is>
          <t>Revenue</t>
        </is>
      </c>
      <c r="C16" s="349" t="n"/>
      <c r="D16" s="213">
        <f>INPUT!E9</f>
        <v/>
      </c>
      <c r="E16" s="213">
        <f>INPUT!F9</f>
        <v/>
      </c>
      <c r="F16" s="213">
        <f>INPUT!G9</f>
        <v/>
      </c>
      <c r="G16" s="213">
        <f>INPUT!H9</f>
        <v/>
      </c>
      <c r="H16" s="336">
        <f>INPUT!H9*(1+IF($D$6="Pessimistic",$D$8,IF($D$6="Realistic",$E$8,$F$8)))</f>
        <v/>
      </c>
      <c r="I16" s="336">
        <f>H16*(1+IF($D$6="Pessimistic",$D$8,IF($D$6="Realistic",$E$8,$F$8)))</f>
        <v/>
      </c>
      <c r="J16" s="336">
        <f>I16*(1+IF($D$6="Pessimistic",$D$8,IF($D$6="Realistic",$E$8,$F$8)))</f>
        <v/>
      </c>
      <c r="K16" s="336">
        <f>J16*(1+IF($D$6="Pessimistic",$D$8,IF($D$6="Realistic",$E$8,$F$8)))</f>
        <v/>
      </c>
      <c r="L16" s="336">
        <f>K16*(1+IF($D$6="Pessimistic",$D$8,IF($D$6="Realistic",$E$8,$F$8)))</f>
        <v/>
      </c>
      <c r="M16" s="89" t="n"/>
    </row>
    <row r="17" ht="15" customHeight="1" s="489">
      <c r="A17" s="389" t="n"/>
      <c r="B17" s="62" t="inlineStr">
        <is>
          <t>Gross Profit</t>
        </is>
      </c>
      <c r="C17" s="349" t="n"/>
      <c r="D17" s="213">
        <f>INPUT!E11</f>
        <v/>
      </c>
      <c r="E17" s="213">
        <f>INPUT!F11</f>
        <v/>
      </c>
      <c r="F17" s="213">
        <f>INPUT!G11</f>
        <v/>
      </c>
      <c r="G17" s="213">
        <f>INPUT!H11</f>
        <v/>
      </c>
      <c r="H17" s="337">
        <f>H16*IF($D$6="Pessimistic",$D$9,IF($D$6="Realistic",$E$9,$F$9))</f>
        <v/>
      </c>
      <c r="I17" s="336">
        <f>I16*IF($D$6="Pessimistic",$D$9,IF($D$6="Realistic",$E$9,$F$9))</f>
        <v/>
      </c>
      <c r="J17" s="336">
        <f>J16*IF($D$6="Pessimistic",$D$9,IF($D$6="Realistic",$E$9,$F$9))</f>
        <v/>
      </c>
      <c r="K17" s="336">
        <f>K16*IF($D$6="Pessimistic",$D$9,IF($D$6="Realistic",$E$9,$F$9))</f>
        <v/>
      </c>
      <c r="L17" s="336">
        <f>L16*IF($D$6="Pessimistic",$D$9,IF($D$6="Realistic",$E$9,$F$9))</f>
        <v/>
      </c>
      <c r="M17" s="89" t="n"/>
    </row>
    <row r="18" ht="15" customHeight="1" s="489">
      <c r="A18" s="389" t="n"/>
      <c r="B18" s="62" t="inlineStr">
        <is>
          <t>EBITDA (EBITDAX)</t>
        </is>
      </c>
      <c r="C18" s="349" t="n"/>
      <c r="D18" s="213">
        <f>INPUT!E30</f>
        <v/>
      </c>
      <c r="E18" s="213">
        <f>INPUT!F30</f>
        <v/>
      </c>
      <c r="F18" s="213">
        <f>INPUT!G30</f>
        <v/>
      </c>
      <c r="G18" s="213">
        <f>INPUT!H30</f>
        <v/>
      </c>
      <c r="H18" s="337">
        <f>H16*IF($D$6="Pessimistic",$D$10,IF($D$6="Realistic",$E$10,$F$10))</f>
        <v/>
      </c>
      <c r="I18" s="336">
        <f>I16*IF($D$6="Pessimistic",$D$10,IF($D$6="Realistic",$E$10,$F$10))</f>
        <v/>
      </c>
      <c r="J18" s="336">
        <f>J16*IF($D$6="Pessimistic",$D$10,IF($D$6="Realistic",$E$10,$F$10))</f>
        <v/>
      </c>
      <c r="K18" s="336">
        <f>K16*IF($D$6="Pessimistic",$D$10,IF($D$6="Realistic",$E$10,$F$10))</f>
        <v/>
      </c>
      <c r="L18" s="336">
        <f>L16*IF($D$6="Pessimistic",$D$10,IF($D$6="Realistic",$E$10,$F$10))</f>
        <v/>
      </c>
      <c r="M18" s="89" t="n"/>
    </row>
    <row r="19" ht="15" customHeight="1" s="489">
      <c r="A19" s="389" t="n"/>
      <c r="B19" s="66" t="inlineStr">
        <is>
          <t>Net Income</t>
        </is>
      </c>
      <c r="C19" s="349" t="n"/>
      <c r="D19" s="213">
        <f>INPUT!E26</f>
        <v/>
      </c>
      <c r="E19" s="213">
        <f>INPUT!F26</f>
        <v/>
      </c>
      <c r="F19" s="213">
        <f>INPUT!G26</f>
        <v/>
      </c>
      <c r="G19" s="213">
        <f>INPUT!H26</f>
        <v/>
      </c>
      <c r="H19" s="336">
        <f>H18*0.6</f>
        <v/>
      </c>
      <c r="I19" s="336">
        <f>I18*0.6</f>
        <v/>
      </c>
      <c r="J19" s="336">
        <f>J18*0.6</f>
        <v/>
      </c>
      <c r="K19" s="336">
        <f>K18*0.6</f>
        <v/>
      </c>
      <c r="L19" s="336">
        <f>L18*0.6</f>
        <v/>
      </c>
      <c r="M19" s="89" t="n"/>
    </row>
    <row r="20" ht="15" customHeight="1" s="489">
      <c r="A20" s="389" t="n"/>
      <c r="B20" s="62" t="inlineStr">
        <is>
          <t>Free Cash Flow (Est.)</t>
        </is>
      </c>
      <c r="C20" s="349" t="n"/>
      <c r="D20" s="335">
        <f>IFERROR(INPUT!E75+INPUT!E78,"–")</f>
        <v/>
      </c>
      <c r="E20" s="335">
        <f>IFERROR(INPUT!F75+INPUT!F78,"–")</f>
        <v/>
      </c>
      <c r="F20" s="335">
        <f>IFERROR(INPUT!G75+INPUT!G78,"–")</f>
        <v/>
      </c>
      <c r="G20" s="335">
        <f>IFERROR(INPUT!H75+INPUT!H78,"–")</f>
        <v/>
      </c>
      <c r="H20" s="338">
        <f>H18*0.5</f>
        <v/>
      </c>
      <c r="I20" s="338">
        <f>I18*0.5</f>
        <v/>
      </c>
      <c r="J20" s="338">
        <f>J18*0.5</f>
        <v/>
      </c>
      <c r="K20" s="338">
        <f>K18*0.5</f>
        <v/>
      </c>
      <c r="L20" s="338">
        <f>L18*0.5</f>
        <v/>
      </c>
      <c r="M20" s="89" t="n"/>
    </row>
    <row r="21" ht="15" customHeight="1" s="489" thickBot="1">
      <c r="A21" s="391" t="n"/>
      <c r="B21" s="62" t="inlineStr">
        <is>
          <t>EBITDA Margin</t>
        </is>
      </c>
      <c r="C21" s="193" t="n"/>
      <c r="D21" s="652">
        <f>IFERROR(INPUT!E30/INPUT!E9,"–")</f>
        <v/>
      </c>
      <c r="E21" s="652">
        <f>IFERROR(INPUT!F30/INPUT!F9,"–")</f>
        <v/>
      </c>
      <c r="F21" s="652">
        <f>IFERROR(INPUT!G30/INPUT!G9,"–")</f>
        <v/>
      </c>
      <c r="G21" s="652">
        <f>IFERROR(INPUT!H30/INPUT!H9,"–")</f>
        <v/>
      </c>
      <c r="H21" s="653">
        <f>IFERROR(H18/H16,"–")</f>
        <v/>
      </c>
      <c r="I21" s="653">
        <f>IFERROR(I18/I16,"–")</f>
        <v/>
      </c>
      <c r="J21" s="653">
        <f>IFERROR(J18/J16,"–")</f>
        <v/>
      </c>
      <c r="K21" s="653">
        <f>IFERROR(K18/K16,"–")</f>
        <v/>
      </c>
      <c r="L21" s="653">
        <f>IFERROR(L18/L16,"–")</f>
        <v/>
      </c>
      <c r="M21" s="89" t="n"/>
    </row>
    <row r="22" ht="15" customHeight="1" s="489">
      <c r="A22" s="389" t="n"/>
      <c r="B22" s="504" t="inlineStr">
        <is>
          <t>Implied Share Price</t>
        </is>
      </c>
      <c r="C22" s="191" t="n"/>
      <c r="D22" s="22" t="n"/>
      <c r="E22" s="22" t="n"/>
      <c r="F22" s="55" t="n"/>
      <c r="G22" s="55" t="n"/>
      <c r="H22" s="22" t="n"/>
      <c r="I22" s="22" t="n"/>
      <c r="J22" s="22" t="n"/>
      <c r="K22" s="22" t="n"/>
      <c r="L22" s="22" t="n"/>
      <c r="M22" s="339">
        <f>IFERROR("$"&amp;TEXT(IF($D$6="Pessimistic",DCF!D94*(1+$D$8+$D$10-$E$8-$E$10)*0.8,IF($D$6="Realistic",DCF!D94,DCF!D94*(1+$F$8+$F$10-$E$8-$E$10)*1.2)),"#,##0.00"),"–")</f>
        <v/>
      </c>
    </row>
    <row r="23" ht="15" customHeight="1" s="489">
      <c r="B23" s="504" t="n"/>
    </row>
    <row r="24" ht="18" customHeight="1" s="489">
      <c r="A24" s="341" t="inlineStr">
        <is>
          <t xml:space="preserve"> </t>
        </is>
      </c>
      <c r="B24" s="194" t="inlineStr">
        <is>
          <t>SCENARIO SUMMARY COMPARISON</t>
        </is>
      </c>
      <c r="C24" s="7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21" customHeight="1" s="489">
      <c r="A25" s="389" t="n"/>
      <c r="B25" s="79" t="inlineStr">
        <is>
          <t>METRIC (Year 5)</t>
        </is>
      </c>
      <c r="C25" s="195" t="n"/>
      <c r="D25" s="81" t="inlineStr">
        <is>
          <t>Pessimistic</t>
        </is>
      </c>
      <c r="E25" s="195" t="inlineStr">
        <is>
          <t>Realistic</t>
        </is>
      </c>
      <c r="F25" s="71" t="inlineStr">
        <is>
          <t>Optimistic</t>
        </is>
      </c>
      <c r="G25" s="195" t="n"/>
      <c r="H25" s="195" t="n"/>
      <c r="I25" s="195" t="n"/>
      <c r="J25" s="195" t="n"/>
      <c r="K25" s="195" t="n"/>
      <c r="L25" s="195" t="n"/>
      <c r="M25" s="195" t="n"/>
    </row>
    <row r="26" ht="15" customHeight="1" s="489">
      <c r="A26" s="389" t="n"/>
      <c r="B26" s="66" t="inlineStr">
        <is>
          <t>Revenue (Year 5)</t>
        </is>
      </c>
      <c r="C26" s="349" t="n">
        <v>0</v>
      </c>
      <c r="D26" s="345">
        <f>INPUT!H9*(1+$D$8)^5</f>
        <v/>
      </c>
      <c r="E26" s="213">
        <f>INPUT!H9*(1+$E$8)^5</f>
        <v/>
      </c>
      <c r="F26" s="336">
        <f>INPUT!H9*(1+$F$8)^5</f>
        <v/>
      </c>
      <c r="G26" s="30" t="n"/>
      <c r="H26" s="30" t="n"/>
      <c r="I26" s="89" t="n"/>
    </row>
    <row r="27" ht="15" customHeight="1" s="489">
      <c r="A27" s="389" t="n"/>
      <c r="B27" s="66" t="inlineStr">
        <is>
          <t>EBITDA (Year 5)</t>
        </is>
      </c>
      <c r="C27" s="349" t="n">
        <v>0</v>
      </c>
      <c r="D27" s="345">
        <f>D26*$D$10</f>
        <v/>
      </c>
      <c r="E27" s="213">
        <f>E26*$E$10</f>
        <v/>
      </c>
      <c r="F27" s="336">
        <f>F26*$F$10</f>
        <v/>
      </c>
      <c r="G27" s="30" t="n"/>
      <c r="H27" s="30" t="n"/>
      <c r="I27" s="89" t="n"/>
    </row>
    <row r="28" ht="15" customHeight="1" s="489">
      <c r="A28" s="389" t="n"/>
      <c r="B28" s="66" t="inlineStr">
        <is>
          <t>Net Income (Year 5)</t>
        </is>
      </c>
      <c r="C28" s="349" t="n">
        <v>0</v>
      </c>
      <c r="D28" s="345">
        <f>D27*0.6</f>
        <v/>
      </c>
      <c r="E28" s="213">
        <f>E27*0.6</f>
        <v/>
      </c>
      <c r="F28" s="336">
        <f>F27*0.6</f>
        <v/>
      </c>
      <c r="G28" s="30" t="n"/>
      <c r="H28" s="30" t="n"/>
      <c r="I28" s="89" t="n"/>
    </row>
    <row r="29" ht="15" customHeight="1" s="489">
      <c r="A29" s="389" t="n"/>
      <c r="B29" s="66" t="inlineStr">
        <is>
          <t>FCF (Year 5)</t>
        </is>
      </c>
      <c r="C29" s="349" t="n">
        <v>0</v>
      </c>
      <c r="D29" s="345">
        <f>D27*0.5</f>
        <v/>
      </c>
      <c r="E29" s="213">
        <f>E27*0.5</f>
        <v/>
      </c>
      <c r="F29" s="213">
        <f>F27*0.5</f>
        <v/>
      </c>
      <c r="G29" s="30" t="n"/>
      <c r="H29" s="30" t="n"/>
      <c r="I29" s="89" t="n"/>
    </row>
    <row r="30" ht="15" customHeight="1" s="489">
      <c r="A30" s="391" t="n"/>
      <c r="B30" s="62" t="inlineStr">
        <is>
          <t>EBITDA Margin (Year 5)</t>
        </is>
      </c>
      <c r="C30" s="11" t="n"/>
      <c r="D30" s="654">
        <f>$D$10</f>
        <v/>
      </c>
      <c r="E30" s="655">
        <f>$E$10</f>
        <v/>
      </c>
      <c r="F30" s="655">
        <f>$F$10</f>
        <v/>
      </c>
      <c r="G30" s="30" t="n"/>
      <c r="H30" s="30" t="n"/>
      <c r="I30" s="89" t="n"/>
    </row>
    <row r="31" ht="15" customHeight="1" s="489">
      <c r="A31" s="389" t="n"/>
      <c r="B31" s="504" t="inlineStr">
        <is>
          <t>Implied Share Price</t>
        </is>
      </c>
      <c r="C31" s="9" t="n"/>
      <c r="D31" s="347">
        <f>IFERROR("$"&amp;TEXT(DCF!D94*(1+$D$8+$D$10-$E$8-$E$10)*0.8,"#,##0.00"),"–")</f>
        <v/>
      </c>
      <c r="E31" s="340">
        <f>IFERROR("$"&amp;TEXT(DCF!D94,"#,##0.00"),"–")</f>
        <v/>
      </c>
      <c r="F31" s="340">
        <f>IFERROR("$"&amp;TEXT(DCF!D94*(1+$F$8+$F$10-$E$8-$E$10)*1.2,"#,##0.00"),"–")</f>
        <v/>
      </c>
      <c r="G31" s="22" t="n"/>
      <c r="H31" s="22" t="n"/>
      <c r="I31" s="89" t="n"/>
    </row>
    <row r="32" ht="15" customHeight="1" s="489">
      <c r="A32" s="341" t="inlineStr">
        <is>
          <t xml:space="preserve"> </t>
        </is>
      </c>
      <c r="B32" s="199" t="inlineStr">
        <is>
          <t>Delta (Opt. vs Pess.)</t>
        </is>
      </c>
      <c r="C32" s="474" t="n"/>
      <c r="D32" s="655">
        <f>"—"</f>
        <v/>
      </c>
      <c r="E32" s="655">
        <f>"—"</f>
        <v/>
      </c>
      <c r="F32" s="655">
        <f>IFERROR(F26/D26-1,"–")</f>
        <v/>
      </c>
      <c r="G32" s="101" t="n"/>
      <c r="H32" s="101" t="n"/>
      <c r="I32" s="101" t="n"/>
      <c r="J32" s="101" t="n"/>
      <c r="K32" s="101" t="n"/>
      <c r="L32" s="101" t="n"/>
      <c r="M32" s="101" t="n"/>
    </row>
    <row r="33" ht="18" customHeight="1" s="489">
      <c r="A33" s="389" t="n"/>
      <c r="B33" s="66" t="inlineStr">
        <is>
          <t>Revenue</t>
        </is>
      </c>
      <c r="C33" s="656" t="n"/>
      <c r="D33" s="123" t="n"/>
      <c r="E33" s="122" t="n"/>
      <c r="F33" s="122" t="n"/>
      <c r="G33" s="122" t="n"/>
      <c r="H33" s="122" t="n"/>
      <c r="I33" s="122" t="n"/>
      <c r="J33" s="30" t="n"/>
      <c r="K33" s="30" t="n"/>
      <c r="L33" s="30" t="n"/>
      <c r="M33" s="30" t="n"/>
    </row>
    <row r="34" ht="15" customHeight="1" s="489">
      <c r="A34" s="389" t="n"/>
      <c r="B34" s="657">
        <f>"▶ SCÉNARIO SÉLECTIONNÉ : "&amp;$D$6</f>
        <v/>
      </c>
      <c r="C34" s="657" t="n"/>
      <c r="D34" s="657" t="n"/>
      <c r="E34" s="657" t="n"/>
      <c r="F34" s="657" t="n"/>
      <c r="G34" s="657" t="n"/>
      <c r="H34" s="657" t="n"/>
      <c r="I34" s="657" t="n"/>
      <c r="J34" s="657" t="n"/>
      <c r="K34" s="657" t="n"/>
      <c r="L34" s="657" t="n"/>
      <c r="M34" s="657" t="n"/>
    </row>
    <row r="35" ht="15" customHeight="1" s="489">
      <c r="A35" s="389" t="n"/>
      <c r="B35" s="66" t="n"/>
      <c r="C35" s="656" t="n"/>
      <c r="D35" s="123" t="n"/>
      <c r="E35" s="122" t="n"/>
      <c r="F35" s="122" t="n"/>
      <c r="G35" s="122" t="n"/>
      <c r="H35" s="122" t="n"/>
      <c r="I35" s="122" t="n"/>
      <c r="J35" s="30" t="n"/>
      <c r="K35" s="30" t="n"/>
      <c r="L35" s="30" t="n"/>
      <c r="M35" s="30" t="n"/>
    </row>
    <row r="36" ht="15" customHeight="1" s="489">
      <c r="A36" s="389" t="n"/>
      <c r="B36" s="196" t="inlineStr">
        <is>
          <t>CHART DATA: Revenue by Scenario</t>
        </is>
      </c>
      <c r="C36" s="196" t="n"/>
      <c r="D36" s="196" t="n"/>
      <c r="E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</row>
    <row r="37" ht="15" customHeight="1" s="489">
      <c r="A37" s="389" t="n"/>
      <c r="B37" s="79" t="inlineStr">
        <is>
          <t>Year</t>
        </is>
      </c>
      <c r="C37" s="79" t="n"/>
      <c r="D37" s="195">
        <f>TEXT(INPUT!D117+1,"0")&amp;"F"</f>
        <v/>
      </c>
      <c r="E37" s="195">
        <f>TEXT(INPUT!D117+2,"0")&amp;"F"</f>
        <v/>
      </c>
      <c r="F37" s="195">
        <f>TEXT(INPUT!D117+3,"0")&amp;"F"</f>
        <v/>
      </c>
      <c r="G37" s="195">
        <f>TEXT(INPUT!D117+4,"0")&amp;"F"</f>
        <v/>
      </c>
      <c r="H37" s="195">
        <f>TEXT(INPUT!D117+5,"0")&amp;"F"</f>
        <v/>
      </c>
      <c r="I37" s="195" t="n"/>
      <c r="J37" s="195" t="n"/>
      <c r="K37" s="195" t="n"/>
      <c r="L37" s="195" t="n"/>
      <c r="M37" s="195" t="n"/>
    </row>
    <row r="38" ht="15" customHeight="1" s="489">
      <c r="A38" s="389" t="n"/>
      <c r="B38" s="66" t="inlineStr">
        <is>
          <t>Pessimistic</t>
        </is>
      </c>
      <c r="C38" s="68" t="n"/>
      <c r="D38" s="216">
        <f>IF(INPUT!H9="",NA(),INPUT!H9*(1+$D$8))</f>
        <v/>
      </c>
      <c r="E38" s="217">
        <f>IF(INPUT!H9="",NA(),D38*(1+$D$8))</f>
        <v/>
      </c>
      <c r="F38" s="217">
        <f>IF(INPUT!H9="",NA(),E38*(1+$D$8))</f>
        <v/>
      </c>
      <c r="G38" s="217">
        <f>IF(INPUT!H9="",NA(),F38*(1+$D$8))</f>
        <v/>
      </c>
      <c r="H38" s="217">
        <f>IF(INPUT!H9="",NA(),G38*(1+$D$8))</f>
        <v/>
      </c>
      <c r="I38" s="658" t="n"/>
      <c r="J38" s="30" t="n"/>
      <c r="K38" s="30" t="n"/>
      <c r="L38" s="30" t="n"/>
      <c r="M38" s="30" t="n"/>
    </row>
    <row r="39" ht="15" customHeight="1" s="489">
      <c r="A39" s="391" t="n"/>
      <c r="B39" s="62" t="inlineStr">
        <is>
          <t>Realistic</t>
        </is>
      </c>
      <c r="C39" s="63" t="n"/>
      <c r="D39" s="216">
        <f>IF(INPUT!H9="",NA(),INPUT!H9*(1+$E$8))</f>
        <v/>
      </c>
      <c r="E39" s="217">
        <f>IF(INPUT!H9="",NA(),D39*(1+$E$8))</f>
        <v/>
      </c>
      <c r="F39" s="217">
        <f>IF(INPUT!H9="",NA(),E39*(1+$E$8))</f>
        <v/>
      </c>
      <c r="G39" s="217">
        <f>IF(INPUT!H9="",NA(),F39*(1+$E$8))</f>
        <v/>
      </c>
      <c r="H39" s="217">
        <f>IF(INPUT!H9="",NA(),G39*(1+$E$8))</f>
        <v/>
      </c>
      <c r="I39" s="92" t="n"/>
      <c r="J39" s="30" t="n"/>
      <c r="K39" s="30" t="n"/>
      <c r="L39" s="30" t="n"/>
      <c r="M39" s="30" t="n"/>
    </row>
    <row r="40" ht="15" customHeight="1" s="489">
      <c r="A40" s="389" t="n"/>
      <c r="B40" s="69" t="inlineStr">
        <is>
          <t>Optimistic</t>
        </is>
      </c>
      <c r="C40" s="3" t="n"/>
      <c r="D40" s="216">
        <f>IF(INPUT!H9="",NA(),INPUT!H9*(1+$F$8))</f>
        <v/>
      </c>
      <c r="E40" s="216">
        <f>IF(INPUT!H9="",NA(),D40*(1+$F$8))</f>
        <v/>
      </c>
      <c r="F40" s="216">
        <f>IF(INPUT!H9="",NA(),E40*(1+$F$8))</f>
        <v/>
      </c>
      <c r="G40" s="216">
        <f>IF(INPUT!H9="",NA(),F40*(1+$F$8))</f>
        <v/>
      </c>
      <c r="H40" s="216">
        <f>IF(INPUT!H9="",NA(),G40*(1+$F$8))</f>
        <v/>
      </c>
      <c r="I40" s="22" t="n"/>
      <c r="J40" s="22" t="n"/>
      <c r="K40" s="22" t="n"/>
      <c r="L40" s="22" t="n"/>
      <c r="M40" s="22" t="n"/>
    </row>
    <row r="41" ht="15" customHeight="1" s="489">
      <c r="A41" s="341" t="inlineStr">
        <is>
          <t xml:space="preserve"> </t>
        </is>
      </c>
      <c r="B41" s="342" t="inlineStr">
        <is>
          <t>SCENARIO SUMMARY COMPARISON</t>
        </is>
      </c>
      <c r="C41" s="343" t="n"/>
      <c r="D41" s="502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</row>
    <row r="42" ht="12.75" customHeight="1" s="489">
      <c r="A42" s="390" t="n"/>
      <c r="B42" s="26" t="inlineStr">
        <is>
          <t>CHART DATA: EBITDA by Scenario</t>
        </is>
      </c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 ht="15" customHeight="1" s="489">
      <c r="A43" s="389" t="n"/>
      <c r="B43" s="16" t="inlineStr">
        <is>
          <t>Year</t>
        </is>
      </c>
      <c r="C43" s="79" t="n"/>
      <c r="D43" s="79">
        <f>TEXT(INPUT!D117+1,"0")&amp;"F"</f>
        <v/>
      </c>
      <c r="E43" s="79">
        <f>TEXT(INPUT!D117+2,"0")&amp;"F"</f>
        <v/>
      </c>
      <c r="F43" s="79">
        <f>TEXT(INPUT!D117+3,"0")&amp;"F"</f>
        <v/>
      </c>
      <c r="G43" s="79">
        <f>TEXT(INPUT!D117+4,"0")&amp;"F"</f>
        <v/>
      </c>
      <c r="H43" s="79">
        <f>TEXT(INPUT!D117+5,"0")&amp;"F"</f>
        <v/>
      </c>
      <c r="I43" s="197" t="n"/>
      <c r="J43" s="197" t="n"/>
      <c r="K43" s="197" t="n"/>
      <c r="L43" s="197" t="n"/>
      <c r="M43" s="197" t="n"/>
    </row>
    <row r="44" ht="15" customHeight="1" s="489">
      <c r="A44" s="389" t="n"/>
      <c r="B44" s="69" t="inlineStr">
        <is>
          <t>Pessimistic</t>
        </is>
      </c>
      <c r="C44" s="656" t="n"/>
      <c r="D44" s="567">
        <f>IF(D38=0,0,D38*$D$10)</f>
        <v/>
      </c>
      <c r="E44" s="567">
        <f>IF(E38=0,0,E38*$D$10)</f>
        <v/>
      </c>
      <c r="F44" s="567">
        <f>IF(F38=0,0,F38*$D$10)</f>
        <v/>
      </c>
      <c r="G44" s="567">
        <f>IF(G38=0,0,G38*$D$10)</f>
        <v/>
      </c>
      <c r="H44" s="557">
        <f>IF(H38=0,0,H38*$D$10)</f>
        <v/>
      </c>
      <c r="I44" s="53" t="n"/>
      <c r="J44" s="30" t="n"/>
      <c r="K44" s="30" t="n"/>
      <c r="L44" s="30" t="n"/>
      <c r="M44" s="30" t="n"/>
    </row>
    <row r="45" ht="15" customHeight="1" s="489">
      <c r="A45" s="389" t="n"/>
      <c r="B45" s="69" t="inlineStr">
        <is>
          <t>Realistic</t>
        </is>
      </c>
      <c r="C45" s="656" t="n"/>
      <c r="D45" s="567">
        <f>IF(D39=0,0,D39*$E$10)</f>
        <v/>
      </c>
      <c r="E45" s="567">
        <f>IF(E39=0,0,E39*$E$10)</f>
        <v/>
      </c>
      <c r="F45" s="567">
        <f>IF(F39=0,0,F39*$E$10)</f>
        <v/>
      </c>
      <c r="G45" s="567">
        <f>IF(G39=0,0,G39*$E$10)</f>
        <v/>
      </c>
      <c r="H45" s="557">
        <f>IF(H39=0,0,H39*$E$10)</f>
        <v/>
      </c>
      <c r="I45" s="53" t="n"/>
      <c r="J45" s="30" t="n"/>
      <c r="K45" s="30" t="n"/>
      <c r="L45" s="30" t="n"/>
      <c r="M45" s="30" t="n"/>
    </row>
    <row r="46" ht="15" customHeight="1" s="489">
      <c r="A46" s="389" t="n"/>
      <c r="B46" s="69" t="inlineStr">
        <is>
          <t>Optimistic</t>
        </is>
      </c>
      <c r="C46" s="656" t="n"/>
      <c r="D46" s="567">
        <f>IF(D40=0,0,D40*$F$10)</f>
        <v/>
      </c>
      <c r="E46" s="567">
        <f>IF(E40=0,0,E40*$F$10)</f>
        <v/>
      </c>
      <c r="F46" s="567">
        <f>IF(F40=0,0,F40*$F$10)</f>
        <v/>
      </c>
      <c r="G46" s="567">
        <f>IF(G40=0,0,G40*$F$10)</f>
        <v/>
      </c>
      <c r="H46" s="557">
        <f>IF(H40=0,0,H40*$F$10)</f>
        <v/>
      </c>
      <c r="I46" s="53" t="n"/>
      <c r="J46" s="30" t="n"/>
      <c r="K46" s="30" t="n"/>
      <c r="L46" s="30" t="n"/>
      <c r="M46" s="30" t="n"/>
    </row>
    <row r="47" ht="15" customHeight="1" s="489">
      <c r="A47" s="389" t="n"/>
      <c r="B47" s="69" t="inlineStr">
        <is>
          <t>EBITDA Margin (Year 5)</t>
        </is>
      </c>
      <c r="C47" s="68" t="n"/>
      <c r="D47" s="659" t="n"/>
      <c r="E47" s="660">
        <f>IFERROR(H44/H38,"–")</f>
        <v/>
      </c>
      <c r="F47" s="660">
        <f>IFERROR(H45/H39,"–")</f>
        <v/>
      </c>
      <c r="G47" s="660">
        <f>IFERROR(H46/H40,"–")</f>
        <v/>
      </c>
      <c r="H47" s="75" t="n"/>
      <c r="I47" s="53" t="n"/>
      <c r="J47" s="30" t="n"/>
      <c r="K47" s="30" t="n"/>
      <c r="L47" s="30" t="n"/>
      <c r="M47" s="30" t="n"/>
    </row>
    <row r="48" ht="15" customHeight="1" s="489" thickBot="1">
      <c r="A48" s="391" t="n"/>
      <c r="B48" s="504" t="inlineStr">
        <is>
          <t>Implied Share Price</t>
        </is>
      </c>
      <c r="C48" s="63" t="n"/>
      <c r="D48" s="661" t="n"/>
      <c r="E48" s="517">
        <f>IFERROR("$"&amp;TEXT(DCF!D94*(1+$D$8+$D$10-$E$8-$E$10)*0.8,"#,##0.00"),"–")</f>
        <v/>
      </c>
      <c r="F48" s="517">
        <f>IFERROR("$"&amp;TEXT(DCF!D94,"#,##0.00"),"–")</f>
        <v/>
      </c>
      <c r="G48" s="517">
        <f>IFERROR("$"&amp;TEXT(DCF!D94*(1+$F$8+$F$10-$E$8-$E$10)*1.2,"#,##0.00"),"–")</f>
        <v/>
      </c>
      <c r="H48" s="75" t="n"/>
      <c r="I48" s="56" t="n"/>
      <c r="J48" s="30" t="n"/>
      <c r="K48" s="30" t="n"/>
      <c r="L48" s="30" t="n"/>
      <c r="M48" s="30" t="n"/>
    </row>
    <row r="49" ht="15" customHeight="1" s="489">
      <c r="A49" s="389" t="n"/>
      <c r="B49" s="14" t="n"/>
      <c r="C49" s="3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 ht="15" customHeight="1" s="489">
      <c r="A50" s="389" t="n"/>
      <c r="B50" s="39" t="inlineStr">
        <is>
          <t>CHARTS: Revenue &amp; FCF by scenario (insert chart using Scenarios data above D16:I16, D25:I25, D34:I34 for Revenue)</t>
        </is>
      </c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 s="489">
      <c r="A51" s="389" t="n"/>
      <c r="B51" s="14" t="n"/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 s="489">
      <c r="A52" s="393" t="n"/>
      <c r="B52" s="31" t="inlineStr">
        <is>
          <t>© 2015 to 2024 FinSight</t>
        </is>
      </c>
      <c r="C52" s="4" t="n"/>
      <c r="D52" s="4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88" t="n"/>
    </row>
    <row r="53" ht="15" customHeight="1" s="489">
      <c r="A53" s="393" t="n"/>
      <c r="B53" s="31" t="inlineStr">
        <is>
          <t>This Excel model is for educational purposes only.</t>
        </is>
      </c>
      <c r="C53" s="4" t="n"/>
      <c r="D53" s="4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88" t="n"/>
    </row>
    <row r="54" ht="15" customHeight="1" s="489">
      <c r="A54" s="393" t="n"/>
      <c r="B54" s="31" t="inlineStr">
        <is>
          <t>https://finsight.com/</t>
        </is>
      </c>
      <c r="C54" s="4" t="n"/>
      <c r="D54" s="4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88" t="n"/>
    </row>
    <row r="55" ht="15" customHeight="1" s="489">
      <c r="A55" s="389" t="n"/>
      <c r="B55" s="14" t="n"/>
      <c r="C55" s="3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</row>
    <row r="56" ht="15" customHeight="1" s="489">
      <c r="A56" s="390" t="n"/>
      <c r="B56" s="16" t="inlineStr">
        <is>
          <t>Chart Data: Revenue by Scenario</t>
        </is>
      </c>
      <c r="C56" s="76">
        <f>INPUT!D117+1</f>
        <v/>
      </c>
      <c r="D56" s="76">
        <f>INPUT!D117+2</f>
        <v/>
      </c>
      <c r="E56" s="76">
        <f>INPUT!D117+3</f>
        <v/>
      </c>
      <c r="F56" s="76">
        <f>INPUT!D117+4</f>
        <v/>
      </c>
      <c r="G56" s="76">
        <f>INPUT!D117+5</f>
        <v/>
      </c>
      <c r="H56" s="24" t="n"/>
      <c r="I56" s="24" t="n"/>
      <c r="J56" s="24" t="n"/>
      <c r="K56" s="24" t="n"/>
      <c r="L56" s="24" t="n"/>
      <c r="M56" s="24" t="n"/>
      <c r="N56" s="90" t="n"/>
    </row>
    <row r="57" ht="15" customHeight="1" s="489">
      <c r="A57" s="389" t="n"/>
      <c r="B57" s="14" t="inlineStr">
        <is>
          <t>Pessimistic</t>
        </is>
      </c>
      <c r="C57" s="662">
        <f>IF(INPUT!H9="",NA(),INPUT!H9*(1+$D$8))</f>
        <v/>
      </c>
      <c r="D57" s="344">
        <f>IF(INPUT!H9="",NA(),C57*(1+$D$8))</f>
        <v/>
      </c>
      <c r="E57" s="662">
        <f>IF(INPUT!H9="",NA(),D57*(1+$D$8))</f>
        <v/>
      </c>
      <c r="F57" s="662">
        <f>IF(INPUT!H9="",NA(),E57*(1+$D$8))</f>
        <v/>
      </c>
      <c r="G57" s="662">
        <f>IF(INPUT!H9="",NA(),F57*(1+$D$8))</f>
        <v/>
      </c>
      <c r="H57" s="22" t="n"/>
      <c r="I57" s="22" t="n"/>
      <c r="J57" s="22" t="n"/>
      <c r="K57" s="22" t="n"/>
      <c r="L57" s="22" t="n"/>
      <c r="M57" s="22" t="n"/>
    </row>
    <row r="58" ht="15" customHeight="1" s="489">
      <c r="A58" s="389" t="n"/>
      <c r="B58" s="14" t="inlineStr">
        <is>
          <t>Realistic</t>
        </is>
      </c>
      <c r="C58" s="662">
        <f>IF(INPUT!H9="",NA(),INPUT!H9*(1+$E$8))</f>
        <v/>
      </c>
      <c r="D58" s="344">
        <f>IF(INPUT!H9="",NA(),C58*(1+$E$8))</f>
        <v/>
      </c>
      <c r="E58" s="662">
        <f>IF(INPUT!H9="",NA(),D58*(1+$E$8))</f>
        <v/>
      </c>
      <c r="F58" s="662">
        <f>IF(INPUT!H9="",NA(),E58*(1+$E$8))</f>
        <v/>
      </c>
      <c r="G58" s="662">
        <f>IF(INPUT!H9="",NA(),F58*(1+$E$8))</f>
        <v/>
      </c>
      <c r="H58" s="22" t="n"/>
      <c r="I58" s="22" t="n"/>
      <c r="J58" s="22" t="n"/>
      <c r="K58" s="22" t="n"/>
      <c r="L58" s="22" t="n"/>
      <c r="M58" s="22" t="n"/>
    </row>
    <row r="59" ht="15" customHeight="1" s="489">
      <c r="A59" s="389" t="n"/>
      <c r="B59" s="14" t="inlineStr">
        <is>
          <t>Optimistic</t>
        </is>
      </c>
      <c r="C59" s="662">
        <f>IF(INPUT!H9="",NA(),INPUT!H9*(1+$F$8))</f>
        <v/>
      </c>
      <c r="D59" s="344">
        <f>IF(INPUT!H9="",NA(),C59*(1+$F$8))</f>
        <v/>
      </c>
      <c r="E59" s="662">
        <f>IF(INPUT!H9="",NA(),D59*(1+$F$8))</f>
        <v/>
      </c>
      <c r="F59" s="662">
        <f>IF(INPUT!H9="",NA(),E59*(1+$F$8))</f>
        <v/>
      </c>
      <c r="G59" s="662">
        <f>IF(INPUT!H9="",NA(),F59*(1+$F$8))</f>
        <v/>
      </c>
      <c r="H59" s="22" t="n"/>
      <c r="I59" s="22" t="n"/>
      <c r="J59" s="22" t="n"/>
      <c r="K59" s="22" t="n"/>
      <c r="L59" s="22" t="n"/>
      <c r="M59" s="22" t="n"/>
    </row>
    <row r="60" ht="15" customHeight="1" s="489">
      <c r="A60" s="389" t="n"/>
      <c r="B60" s="14" t="n"/>
      <c r="C60" s="3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</row>
    <row r="61" ht="15" customHeight="1" s="489">
      <c r="A61" s="390" t="n"/>
      <c r="B61" s="16" t="inlineStr">
        <is>
          <t>Chart Data: EBITDA by Scenario</t>
        </is>
      </c>
      <c r="C61" s="76">
        <f>INPUT!D117+1</f>
        <v/>
      </c>
      <c r="D61" s="76">
        <f>INPUT!D117+2</f>
        <v/>
      </c>
      <c r="E61" s="76">
        <f>INPUT!D117+3</f>
        <v/>
      </c>
      <c r="F61" s="76">
        <f>INPUT!D117+4</f>
        <v/>
      </c>
      <c r="G61" s="76">
        <f>INPUT!D117+5</f>
        <v/>
      </c>
      <c r="H61" s="24" t="n"/>
      <c r="I61" s="24" t="n"/>
      <c r="J61" s="24" t="n"/>
      <c r="K61" s="24" t="n"/>
      <c r="L61" s="24" t="n"/>
      <c r="M61" s="24" t="n"/>
      <c r="N61" s="90" t="n"/>
    </row>
    <row r="62" ht="15" customHeight="1" s="489">
      <c r="A62" s="389" t="n"/>
      <c r="B62" s="14" t="inlineStr">
        <is>
          <t>Pessimistic</t>
        </is>
      </c>
      <c r="C62" s="662">
        <f>IF(INPUT!H9="",NA(),INPUT!H9*(1+$D$8)*$D$10)</f>
        <v/>
      </c>
      <c r="D62" s="344">
        <f>IF(INPUT!H9="",NA(),C57*(1+$D$8)*$D$10)</f>
        <v/>
      </c>
      <c r="E62" s="662">
        <f>IF(INPUT!H9="",NA(),D57*(1+$D$8)*$D$10)</f>
        <v/>
      </c>
      <c r="F62" s="662">
        <f>IF(INPUT!H9="",NA(),E57*(1+$D$8)*$D$10)</f>
        <v/>
      </c>
      <c r="G62" s="662">
        <f>IF(INPUT!H9="",NA(),F57*(1+$D$8)*$D$10)</f>
        <v/>
      </c>
      <c r="H62" s="22" t="n"/>
      <c r="I62" s="22" t="n"/>
      <c r="J62" s="22" t="n"/>
      <c r="K62" s="22" t="n"/>
      <c r="L62" s="22" t="n"/>
      <c r="M62" s="22" t="n"/>
    </row>
    <row r="63" ht="15" customHeight="1" s="489">
      <c r="A63" s="389" t="n"/>
      <c r="B63" s="14" t="inlineStr">
        <is>
          <t>Realistic</t>
        </is>
      </c>
      <c r="C63" s="662">
        <f>IF(INPUT!H9="",NA(),INPUT!H9*(1+$E$8)*$E$10)</f>
        <v/>
      </c>
      <c r="D63" s="344">
        <f>IF(INPUT!H9="",NA(),C58*(1+$E$8)*$E$10)</f>
        <v/>
      </c>
      <c r="E63" s="662">
        <f>IF(INPUT!H9="",NA(),D58*(1+$E$8)*$E$10)</f>
        <v/>
      </c>
      <c r="F63" s="662">
        <f>IF(INPUT!H9="",NA(),E58*(1+$E$8)*$E$10)</f>
        <v/>
      </c>
      <c r="G63" s="662">
        <f>IF(INPUT!H9="",NA(),F58*(1+$E$8)*$E$10)</f>
        <v/>
      </c>
      <c r="H63" s="22" t="n"/>
      <c r="I63" s="22" t="n"/>
      <c r="J63" s="22" t="n"/>
      <c r="K63" s="22" t="n"/>
      <c r="L63" s="22" t="n"/>
      <c r="M63" s="22" t="n"/>
    </row>
    <row r="64" ht="15" customHeight="1" s="489">
      <c r="A64" s="389" t="n"/>
      <c r="B64" s="14" t="inlineStr">
        <is>
          <t>Optimistic</t>
        </is>
      </c>
      <c r="C64" s="662">
        <f>IF(INPUT!H9="",NA(),INPUT!H9*(1+$F$8)*$F$10)</f>
        <v/>
      </c>
      <c r="D64" s="344">
        <f>IF(INPUT!H9="",NA(),C59*(1+$F$8)*$F$10)</f>
        <v/>
      </c>
      <c r="E64" s="662">
        <f>IF(INPUT!H9="",NA(),D59*(1+$F$8)*$F$10)</f>
        <v/>
      </c>
      <c r="F64" s="662">
        <f>IF(INPUT!H9="",NA(),E59*(1+$F$8)*$F$10)</f>
        <v/>
      </c>
      <c r="G64" s="662">
        <f>IF(INPUT!H9="",NA(),F59*(1+$F$8)*$F$10)</f>
        <v/>
      </c>
      <c r="H64" s="22" t="n"/>
      <c r="I64" s="22" t="n"/>
      <c r="J64" s="22" t="n"/>
      <c r="K64" s="22" t="n"/>
      <c r="L64" s="22" t="n"/>
      <c r="M64" s="22" t="n"/>
    </row>
    <row r="65" ht="15" customHeight="1" s="489">
      <c r="B65" s="45" t="n"/>
    </row>
    <row r="66" ht="15" customHeight="1" s="489">
      <c r="B66" s="45" t="n"/>
    </row>
    <row r="67" ht="15" customHeight="1" s="489">
      <c r="B67" s="45" t="n"/>
    </row>
    <row r="68" ht="15" customHeight="1" s="489">
      <c r="B68" s="45" t="n"/>
    </row>
    <row r="69" ht="15" customHeight="1" s="489">
      <c r="B69" s="45" t="n"/>
    </row>
    <row r="70" ht="15" customHeight="1" s="489">
      <c r="B70" s="45" t="n"/>
    </row>
    <row r="71" ht="15" customHeight="1" s="489">
      <c r="B71" s="45" t="n"/>
    </row>
    <row r="72" ht="15" customHeight="1" s="489">
      <c r="B72" s="45" t="n"/>
    </row>
    <row r="73" ht="15" customHeight="1" s="489">
      <c r="B73" s="45" t="n"/>
    </row>
    <row r="74" ht="15" customHeight="1" s="489">
      <c r="B74" s="45" t="n"/>
    </row>
    <row r="75" ht="15" customHeight="1" s="489">
      <c r="B75" s="45" t="n"/>
    </row>
    <row r="76" ht="15" customHeight="1" s="489">
      <c r="B76" s="45" t="n"/>
    </row>
    <row r="77" ht="15" customHeight="1" s="489">
      <c r="B77" s="45" t="n"/>
    </row>
    <row r="78" ht="15" customHeight="1" s="489">
      <c r="B78" s="45" t="n"/>
    </row>
    <row r="79" ht="15" customHeight="1" s="489">
      <c r="B79" s="45" t="n"/>
    </row>
    <row r="80" ht="15" customHeight="1" s="489">
      <c r="B80" s="45" t="n"/>
    </row>
    <row r="81" ht="15" customHeight="1" s="489">
      <c r="B81" s="45" t="n"/>
    </row>
    <row r="82" ht="15" customHeight="1" s="489">
      <c r="B82" s="45" t="n"/>
    </row>
    <row r="83" ht="15" customHeight="1" s="489">
      <c r="B83" s="45" t="n"/>
    </row>
    <row r="84" ht="15" customHeight="1" s="489">
      <c r="B84" s="45" t="n"/>
    </row>
    <row r="85" ht="15" customHeight="1" s="489">
      <c r="B85" s="45" t="n"/>
    </row>
    <row r="86" ht="15" customHeight="1" s="489">
      <c r="B86" s="45" t="n"/>
    </row>
    <row r="87" ht="15" customHeight="1" s="489">
      <c r="B87" s="45" t="n"/>
    </row>
    <row r="88" ht="15" customHeight="1" s="489">
      <c r="B88" s="45" t="n"/>
    </row>
    <row r="89" ht="15" customHeight="1" s="489">
      <c r="B89" s="45" t="n"/>
    </row>
    <row r="90" ht="15" customHeight="1" s="489">
      <c r="B90" s="45" t="n"/>
    </row>
    <row r="91" ht="15" customHeight="1" s="489">
      <c r="B91" s="45" t="n"/>
    </row>
    <row r="92" ht="15" customHeight="1" s="489">
      <c r="B92" s="45" t="n"/>
    </row>
    <row r="93" ht="15" customHeight="1" s="489">
      <c r="B93" s="45" t="n"/>
    </row>
    <row r="94" ht="15" customHeight="1" s="489">
      <c r="B94" s="45" t="n"/>
    </row>
    <row r="95" ht="15" customHeight="1" s="489">
      <c r="B95" s="45" t="n"/>
    </row>
    <row r="96" ht="15" customHeight="1" s="489">
      <c r="B96" s="45" t="n"/>
    </row>
    <row r="97" ht="15" customHeight="1" s="489">
      <c r="B97" s="45" t="n"/>
    </row>
    <row r="98" ht="15" customHeight="1" s="489">
      <c r="B98" s="45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/>
  </sheetData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XFD123"/>
  <sheetViews>
    <sheetView showGridLines="0" zoomScale="85" zoomScaleNormal="85" workbookViewId="0">
      <selection activeCell="A10" sqref="A10"/>
    </sheetView>
  </sheetViews>
  <sheetFormatPr baseColWidth="10" defaultColWidth="11.5546875" defaultRowHeight="14.4" outlineLevelRow="1"/>
  <cols>
    <col width="10" customWidth="1" style="489" min="1" max="1"/>
    <col width="18.44140625" bestFit="1" customWidth="1" style="19" min="2" max="2"/>
    <col width="15.88671875" customWidth="1" style="489" min="3" max="3"/>
    <col width="21.21875" bestFit="1" customWidth="1" style="21" min="4" max="4"/>
    <col width="18.5546875" customWidth="1" style="21" min="5" max="5"/>
    <col width="10.88671875" customWidth="1" style="21" min="6" max="6"/>
    <col width="8.6640625" customWidth="1" style="21" min="7" max="7"/>
    <col width="17.5546875" customWidth="1" style="21" min="8" max="8"/>
    <col width="20.88671875" customWidth="1" style="21" min="9" max="9"/>
    <col width="16.109375" customWidth="1" style="21" min="10" max="10"/>
    <col width="12.33203125" bestFit="1" customWidth="1" style="21" min="11" max="12"/>
    <col width="4.6640625" customWidth="1" style="21" min="13" max="13"/>
    <col width="11.88671875" customWidth="1" style="21" min="14" max="15"/>
  </cols>
  <sheetData>
    <row r="1" ht="50.1" customHeight="1" s="489">
      <c r="A1" s="139" t="n"/>
      <c r="B1" s="96" t="inlineStr">
        <is>
          <t>FinSight</t>
        </is>
      </c>
      <c r="C1" s="139" t="n"/>
      <c r="D1" s="139" t="n"/>
      <c r="E1" s="139" t="n"/>
      <c r="F1" s="139" t="n"/>
      <c r="G1" s="139" t="n"/>
      <c r="H1" s="139" t="n"/>
      <c r="I1" s="139" t="n"/>
      <c r="J1" s="139" t="n"/>
      <c r="K1" s="118" t="n"/>
      <c r="L1" s="129" t="n"/>
      <c r="M1" s="129" t="n"/>
      <c r="N1" s="129" t="n"/>
      <c r="Q1" s="529" t="inlineStr">
        <is>
          <t>Année</t>
        </is>
      </c>
      <c r="R1" s="529" t="n">
        <v>2022</v>
      </c>
      <c r="S1" s="529" t="n">
        <v>2023</v>
      </c>
      <c r="T1" s="529" t="n">
        <v>2024</v>
      </c>
      <c r="U1" s="529" t="n"/>
    </row>
    <row r="2" ht="15" customHeight="1" s="489">
      <c r="A2" s="498" t="n"/>
      <c r="B2" s="498" t="n"/>
      <c r="C2" s="498" t="n"/>
      <c r="D2" s="498" t="n"/>
      <c r="E2" s="498" t="n"/>
      <c r="F2" s="498" t="n"/>
      <c r="G2" s="498" t="n"/>
      <c r="H2" s="498" t="n"/>
      <c r="I2" s="498" t="n"/>
      <c r="J2" s="498" t="n"/>
      <c r="K2" s="498" t="n"/>
      <c r="L2" s="498" t="n"/>
      <c r="M2" s="498" t="n"/>
      <c r="N2" s="498" t="n"/>
      <c r="Q2" s="529" t="inlineStr">
        <is>
          <t>Année</t>
        </is>
      </c>
      <c r="R2" s="529" t="inlineStr">
        <is>
          <t>Cumul Revenue</t>
        </is>
      </c>
      <c r="S2" s="529">
        <f>RATIOS!F80</f>
        <v/>
      </c>
      <c r="T2" s="529">
        <f>RATIOS!G80</f>
        <v/>
      </c>
      <c r="U2" s="529" t="n"/>
    </row>
    <row r="3" ht="21" customHeight="1" s="489">
      <c r="A3" s="140" t="inlineStr">
        <is>
          <t xml:space="preserve"> </t>
        </is>
      </c>
      <c r="B3" s="120" t="inlineStr">
        <is>
          <t>Financial Performance</t>
        </is>
      </c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Q3" s="365" t="n">
        <v>2022</v>
      </c>
      <c r="R3" s="529">
        <f>RATIOS!E80</f>
        <v/>
      </c>
    </row>
    <row r="4" ht="11.4" customHeight="1" s="489">
      <c r="A4" s="498" t="n"/>
      <c r="B4" s="492">
        <f>"All figures in "&amp;INPUT!D118&amp;" "&amp;INPUT!D119&amp;" unless stated"</f>
        <v/>
      </c>
      <c r="C4" s="272" t="n"/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Q4" s="365" t="n">
        <v>2023</v>
      </c>
      <c r="R4" s="529">
        <f>RATIOS!F80</f>
        <v/>
      </c>
    </row>
    <row r="5" ht="15" customHeight="1" s="489">
      <c r="A5" s="498" t="n"/>
      <c r="B5" s="498" t="n"/>
      <c r="C5" s="498" t="n"/>
      <c r="D5" s="498" t="n"/>
      <c r="E5" s="498" t="n"/>
      <c r="F5" s="498" t="n"/>
      <c r="G5" s="498" t="n"/>
      <c r="H5" s="498" t="n"/>
      <c r="I5" s="498" t="n"/>
      <c r="J5" s="498" t="n"/>
      <c r="N5" s="498" t="n"/>
      <c r="Q5" s="365" t="n">
        <v>2024</v>
      </c>
      <c r="R5" s="529">
        <f>RATIOS!G80</f>
        <v/>
      </c>
    </row>
    <row r="6" ht="15" customHeight="1" s="489">
      <c r="A6" s="498" t="n"/>
      <c r="B6" s="498" t="n"/>
      <c r="C6" s="498" t="n"/>
      <c r="D6" s="498" t="n"/>
      <c r="E6" s="498" t="n"/>
      <c r="F6" s="498" t="n"/>
      <c r="G6" s="498" t="n"/>
      <c r="H6" s="498" t="n"/>
      <c r="I6" s="498" t="n"/>
      <c r="J6" s="498" t="n"/>
      <c r="K6" s="498" t="n"/>
      <c r="L6" s="498" t="n"/>
      <c r="M6" s="498" t="n"/>
      <c r="N6" s="498" t="n"/>
      <c r="Q6" s="384" t="inlineStr">
        <is>
          <t>Year</t>
        </is>
      </c>
    </row>
    <row r="7" ht="15" customHeight="1" s="489">
      <c r="A7" s="498" t="n"/>
      <c r="B7" s="176" t="inlineStr">
        <is>
          <t>Revenue &amp; Profitability</t>
        </is>
      </c>
      <c r="C7" s="176" t="n"/>
      <c r="D7" s="176" t="n"/>
      <c r="E7" s="175" t="n"/>
      <c r="F7" s="175" t="n"/>
      <c r="G7" s="498" t="n"/>
      <c r="H7" s="176" t="inlineStr">
        <is>
          <t>Profit Margins</t>
        </is>
      </c>
      <c r="I7" s="175" t="n"/>
      <c r="J7" s="175" t="n"/>
      <c r="K7" s="175" t="n"/>
      <c r="L7" s="175" t="n"/>
      <c r="M7" s="175" t="n"/>
      <c r="N7" s="498" t="n"/>
      <c r="Q7" s="384" t="n">
        <v>2022</v>
      </c>
      <c r="R7" s="384" t="inlineStr">
        <is>
          <t>Revenue</t>
        </is>
      </c>
      <c r="S7" s="384" t="inlineStr">
        <is>
          <t>Net Income</t>
        </is>
      </c>
      <c r="T7" s="384" t="inlineStr">
        <is>
          <t>Net Margin</t>
        </is>
      </c>
    </row>
    <row r="8" ht="15" customHeight="1" s="489">
      <c r="A8" s="498" t="n"/>
      <c r="B8" s="142" t="n"/>
      <c r="C8" s="142" t="n"/>
      <c r="D8" s="142" t="n"/>
      <c r="E8" s="142" t="n"/>
      <c r="F8" s="142" t="n"/>
      <c r="G8" s="498" t="n"/>
      <c r="H8" s="142" t="n"/>
      <c r="I8" s="175" t="n"/>
      <c r="J8" s="175" t="n"/>
      <c r="K8" s="175" t="n"/>
      <c r="L8" s="142" t="n"/>
      <c r="M8" s="498" t="n"/>
      <c r="N8" s="498" t="n"/>
      <c r="Q8" s="384" t="n">
        <v>2023</v>
      </c>
      <c r="R8" s="384">
        <f>RATIOS!E77</f>
        <v/>
      </c>
      <c r="S8" s="384">
        <f>RATIOS!E79</f>
        <v/>
      </c>
      <c r="T8" s="384">
        <f>RATIOS!E84</f>
        <v/>
      </c>
    </row>
    <row r="9" ht="15" customHeight="1" s="489">
      <c r="A9" s="498" t="n"/>
      <c r="B9" s="498" t="n"/>
      <c r="C9" s="498" t="n"/>
      <c r="D9" s="498" t="n"/>
      <c r="E9" s="498" t="n"/>
      <c r="F9" s="498" t="n"/>
      <c r="G9" s="498" t="n"/>
      <c r="H9" s="498" t="n"/>
      <c r="I9" s="498" t="n"/>
      <c r="J9" s="498" t="n"/>
      <c r="K9" s="498" t="n"/>
      <c r="L9" s="498" t="n"/>
      <c r="M9" s="498" t="n"/>
      <c r="N9" s="498" t="n"/>
      <c r="Q9" s="384" t="n">
        <v>2024</v>
      </c>
      <c r="R9" s="384">
        <f>RATIOS!F77</f>
        <v/>
      </c>
      <c r="S9" s="384">
        <f>RATIOS!F79</f>
        <v/>
      </c>
      <c r="T9" s="384">
        <f>RATIOS!F84</f>
        <v/>
      </c>
    </row>
    <row r="10" ht="15" customHeight="1" s="489">
      <c r="A10" s="498" t="n"/>
      <c r="B10" s="498" t="n"/>
      <c r="C10" s="498" t="n"/>
      <c r="D10" s="498" t="n"/>
      <c r="E10" s="498" t="n"/>
      <c r="F10" s="498" t="n"/>
      <c r="G10" s="498" t="n"/>
      <c r="H10" s="498" t="n"/>
      <c r="I10" s="498" t="n"/>
      <c r="J10" s="498" t="n"/>
      <c r="K10" s="498" t="n"/>
      <c r="L10" s="498" t="n"/>
      <c r="M10" s="498" t="n"/>
      <c r="N10" s="498" t="n"/>
      <c r="Q10" s="384" t="inlineStr">
        <is>
          <t>2025 (LTM)</t>
        </is>
      </c>
      <c r="R10" s="384">
        <f>RATIOS!G77</f>
        <v/>
      </c>
      <c r="S10" s="384">
        <f>RATIOS!G79</f>
        <v/>
      </c>
      <c r="T10" s="384">
        <f>RATIOS!G84</f>
        <v/>
      </c>
    </row>
    <row r="11" ht="15" customHeight="1" s="489">
      <c r="A11" s="498" t="n"/>
      <c r="B11" s="498" t="n"/>
      <c r="C11" s="498" t="n"/>
      <c r="D11" s="498" t="n"/>
      <c r="E11" s="498" t="n"/>
      <c r="F11" s="498" t="n"/>
      <c r="G11" s="498" t="n"/>
      <c r="H11" s="498" t="n"/>
      <c r="I11" s="498" t="n"/>
      <c r="J11" s="498" t="n"/>
      <c r="K11" s="498" t="n"/>
      <c r="L11" s="498" t="n"/>
      <c r="M11" s="498" t="n"/>
      <c r="N11" s="498" t="n"/>
      <c r="R11" s="384">
        <f>RATIOS!H77</f>
        <v/>
      </c>
      <c r="S11" s="384">
        <f>RATIOS!H79</f>
        <v/>
      </c>
      <c r="T11" s="384">
        <f>RATIOS!H84</f>
        <v/>
      </c>
    </row>
    <row r="12" ht="15" customHeight="1" s="489">
      <c r="A12" s="498" t="n"/>
      <c r="B12" s="498" t="n"/>
      <c r="C12" s="498" t="n"/>
      <c r="D12" s="498" t="n"/>
      <c r="E12" s="498" t="n"/>
      <c r="F12" s="498" t="n"/>
      <c r="G12" s="498" t="n"/>
      <c r="H12" s="498" t="n"/>
      <c r="I12" s="498" t="n"/>
      <c r="J12" s="498" t="n"/>
      <c r="K12" s="498" t="n"/>
      <c r="L12" s="498" t="n"/>
      <c r="M12" s="498" t="n"/>
      <c r="N12" s="498" t="n"/>
    </row>
    <row r="13" ht="15" customHeight="1" s="489">
      <c r="A13" s="498" t="n"/>
      <c r="B13" s="498" t="n"/>
      <c r="C13" s="498" t="n"/>
      <c r="D13" s="498" t="n"/>
      <c r="E13" s="498" t="n"/>
      <c r="F13" s="498" t="n"/>
      <c r="G13" s="498" t="n"/>
      <c r="H13" s="498" t="n"/>
      <c r="I13" s="498" t="n"/>
      <c r="J13" s="498" t="n"/>
      <c r="K13" s="498" t="n"/>
      <c r="L13" s="498" t="n"/>
      <c r="M13" s="498" t="n"/>
      <c r="N13" s="498" t="n"/>
    </row>
    <row r="14" ht="15" customHeight="1" s="489">
      <c r="A14" s="498" t="n"/>
      <c r="B14" s="498" t="n"/>
      <c r="C14" s="498" t="n"/>
      <c r="D14" s="498" t="n"/>
      <c r="E14" s="498" t="n"/>
      <c r="F14" s="498" t="n"/>
      <c r="G14" s="498" t="n"/>
      <c r="H14" s="498" t="n"/>
      <c r="I14" s="498" t="n"/>
      <c r="J14" s="498" t="n"/>
      <c r="K14" s="498" t="n"/>
      <c r="L14" s="498" t="n"/>
      <c r="M14" s="498" t="n"/>
      <c r="N14" s="498" t="n"/>
    </row>
    <row r="15" ht="15" customHeight="1" s="489">
      <c r="A15" s="498" t="n"/>
      <c r="B15" s="498" t="n"/>
      <c r="C15" s="498" t="n"/>
      <c r="D15" s="498" t="n"/>
      <c r="E15" s="498" t="n"/>
      <c r="F15" s="498" t="n"/>
      <c r="G15" s="498" t="n"/>
      <c r="H15" s="498" t="n"/>
      <c r="I15" s="498" t="n"/>
      <c r="J15" s="498" t="n"/>
      <c r="K15" s="498" t="n"/>
      <c r="L15" s="498" t="n"/>
      <c r="M15" s="498" t="n"/>
      <c r="N15" s="498" t="n"/>
    </row>
    <row r="16" ht="15" customHeight="1" s="489">
      <c r="A16" s="498" t="n"/>
      <c r="B16" s="498" t="n"/>
      <c r="C16" s="498" t="n"/>
      <c r="D16" s="498" t="n"/>
      <c r="E16" s="498" t="n"/>
      <c r="F16" s="498" t="n"/>
      <c r="G16" s="498" t="n"/>
      <c r="H16" s="498" t="n"/>
      <c r="I16" s="498" t="n"/>
      <c r="J16" s="498" t="n"/>
      <c r="K16" s="498" t="n"/>
      <c r="L16" s="498" t="n"/>
      <c r="M16" s="498" t="n"/>
      <c r="N16" s="498" t="n"/>
    </row>
    <row r="17" ht="15" customHeight="1" s="489">
      <c r="A17" s="498" t="n"/>
      <c r="B17" s="498" t="n"/>
      <c r="C17" s="498" t="n"/>
      <c r="D17" s="498" t="n"/>
      <c r="E17" s="498" t="n"/>
      <c r="F17" s="498" t="n"/>
      <c r="G17" s="498" t="n"/>
      <c r="H17" s="498" t="n"/>
      <c r="I17" s="498" t="n"/>
      <c r="J17" s="498" t="n"/>
      <c r="K17" s="498" t="n"/>
      <c r="L17" s="498" t="n"/>
      <c r="M17" s="498" t="n"/>
      <c r="N17" s="498" t="n"/>
    </row>
    <row r="18" ht="15" customHeight="1" s="489">
      <c r="A18" s="498" t="n"/>
      <c r="B18" s="498" t="n"/>
      <c r="C18" s="498" t="n"/>
      <c r="D18" s="498" t="n"/>
      <c r="E18" s="498" t="n"/>
      <c r="F18" s="498" t="n"/>
      <c r="G18" s="498" t="n"/>
      <c r="H18" s="498" t="n"/>
      <c r="I18" s="498" t="n"/>
      <c r="J18" s="498" t="n"/>
      <c r="K18" s="498" t="n"/>
      <c r="L18" s="498" t="n"/>
      <c r="M18" s="498" t="n"/>
      <c r="N18" s="498" t="n"/>
    </row>
    <row r="19" ht="15" customHeight="1" s="489">
      <c r="A19" s="498" t="n"/>
      <c r="B19" s="498" t="n"/>
      <c r="C19" s="498" t="n"/>
      <c r="D19" s="498" t="n"/>
      <c r="E19" s="498" t="n"/>
      <c r="F19" s="498" t="n"/>
      <c r="G19" s="498" t="n"/>
      <c r="H19" s="498" t="n"/>
      <c r="I19" s="498" t="n"/>
      <c r="J19" s="498" t="n"/>
      <c r="K19" s="498" t="n"/>
      <c r="L19" s="498" t="n"/>
      <c r="M19" s="498" t="n"/>
      <c r="N19" s="498" t="n"/>
    </row>
    <row r="20" ht="15" customHeight="1" s="489">
      <c r="A20" s="498" t="n"/>
      <c r="B20" s="498" t="n"/>
      <c r="C20" s="498" t="n"/>
      <c r="D20" s="498" t="n"/>
      <c r="E20" s="498" t="n"/>
      <c r="F20" s="498" t="n"/>
      <c r="G20" s="498" t="n"/>
      <c r="H20" s="498" t="n"/>
      <c r="I20" s="498" t="n"/>
      <c r="J20" s="498" t="n"/>
      <c r="K20" s="498" t="n"/>
      <c r="L20" s="498" t="n"/>
      <c r="M20" s="498" t="n"/>
      <c r="N20" s="498" t="n"/>
    </row>
    <row r="21" ht="15" customHeight="1" s="489">
      <c r="A21" s="498" t="n"/>
      <c r="B21" s="498" t="n"/>
      <c r="C21" s="498" t="n"/>
      <c r="D21" s="498" t="n"/>
      <c r="E21" s="498" t="n"/>
      <c r="F21" s="498" t="n"/>
      <c r="G21" s="498" t="n"/>
      <c r="H21" s="498" t="n"/>
      <c r="I21" s="498" t="n"/>
      <c r="J21" s="498" t="n"/>
      <c r="K21" s="498" t="n"/>
      <c r="L21" s="498" t="n"/>
      <c r="M21" s="498" t="n"/>
      <c r="N21" s="498" t="n"/>
    </row>
    <row r="22" ht="15" customHeight="1" s="489">
      <c r="A22" s="498" t="n"/>
      <c r="B22" s="498" t="n"/>
      <c r="C22" s="498" t="n"/>
      <c r="D22" s="498" t="n"/>
      <c r="E22" s="498" t="n"/>
      <c r="F22" s="498" t="n"/>
      <c r="G22" s="498" t="n"/>
      <c r="H22" s="498" t="n"/>
      <c r="I22" s="498" t="n"/>
      <c r="J22" s="498" t="n"/>
      <c r="K22" s="498" t="n"/>
      <c r="L22" s="498" t="n"/>
      <c r="M22" s="498" t="n"/>
      <c r="N22" s="498" t="n"/>
    </row>
    <row r="23" ht="15" customHeight="1" s="489">
      <c r="A23" s="498" t="n"/>
      <c r="B23" s="498" t="n"/>
      <c r="C23" s="498" t="n"/>
      <c r="D23" s="498" t="n"/>
      <c r="E23" s="498" t="n"/>
      <c r="F23" s="498" t="n"/>
      <c r="G23" s="498" t="n"/>
      <c r="H23" s="498" t="n"/>
      <c r="I23" s="498" t="n"/>
      <c r="J23" s="498" t="n"/>
      <c r="K23" s="498" t="n"/>
      <c r="L23" s="498" t="n"/>
      <c r="M23" s="498" t="n"/>
      <c r="N23" s="498" t="n"/>
    </row>
    <row r="24" ht="15" customHeight="1" s="489">
      <c r="A24" s="498" t="n"/>
      <c r="B24" s="176" t="inlineStr">
        <is>
          <t>Cumulative revenue</t>
        </is>
      </c>
      <c r="C24" s="176" t="n"/>
      <c r="D24" s="176" t="n"/>
      <c r="E24" s="176" t="n"/>
      <c r="F24" s="177" t="n"/>
      <c r="G24" s="498" t="n"/>
      <c r="H24" s="176" t="inlineStr">
        <is>
          <t>Expense Breakdown</t>
        </is>
      </c>
      <c r="I24" s="175" t="n"/>
      <c r="J24" s="175" t="n"/>
      <c r="K24" s="175" t="n"/>
      <c r="L24" s="175" t="n"/>
      <c r="M24" s="175" t="n"/>
      <c r="N24" s="498" t="n"/>
    </row>
    <row r="25" ht="15" customHeight="1" s="489">
      <c r="A25" s="498" t="n"/>
      <c r="B25" s="142" t="n"/>
      <c r="C25" s="142" t="n"/>
      <c r="D25" s="142" t="n"/>
      <c r="E25" s="142" t="n"/>
      <c r="F25" s="142" t="n"/>
      <c r="G25" s="498" t="n"/>
      <c r="H25" s="142" t="n"/>
      <c r="I25" s="142" t="n"/>
      <c r="J25" s="142" t="n"/>
      <c r="K25" s="142" t="n"/>
      <c r="L25" s="142" t="n"/>
      <c r="M25" s="498" t="n"/>
      <c r="N25" s="498" t="n"/>
    </row>
    <row r="26" ht="15" customHeight="1" s="489">
      <c r="A26" s="498" t="n"/>
      <c r="B26" s="498" t="n"/>
      <c r="C26" s="498" t="n"/>
      <c r="D26" s="498" t="n"/>
      <c r="E26" s="498" t="n"/>
      <c r="F26" s="498" t="n"/>
      <c r="G26" s="498" t="n"/>
      <c r="H26" s="498" t="n"/>
      <c r="I26" s="498" t="n"/>
      <c r="J26" s="498" t="n"/>
      <c r="K26" s="498" t="n"/>
      <c r="L26" s="498" t="n"/>
      <c r="M26" s="498" t="n"/>
      <c r="N26" s="498" t="n"/>
    </row>
    <row r="27" ht="15" customHeight="1" s="489">
      <c r="A27" s="498" t="n"/>
      <c r="B27" s="498" t="n"/>
      <c r="C27" s="498" t="n"/>
      <c r="D27" s="498" t="n"/>
      <c r="E27" s="498" t="n"/>
      <c r="F27" s="498" t="n"/>
      <c r="G27" s="498" t="n"/>
      <c r="H27" s="498" t="n"/>
      <c r="I27" s="498" t="n"/>
      <c r="J27" s="498" t="n"/>
      <c r="K27" s="498" t="n"/>
      <c r="L27" s="498" t="n"/>
      <c r="M27" s="498" t="n"/>
      <c r="N27" s="498" t="n"/>
    </row>
    <row r="28" ht="15" customHeight="1" s="489">
      <c r="A28" s="498" t="n"/>
      <c r="B28" s="498" t="n"/>
      <c r="C28" s="498" t="n"/>
      <c r="D28" s="498" t="n"/>
      <c r="E28" s="498" t="n"/>
      <c r="F28" s="498" t="n"/>
      <c r="G28" s="498" t="n"/>
      <c r="H28" s="498" t="n"/>
      <c r="I28" s="498" t="n"/>
      <c r="J28" s="498" t="n"/>
      <c r="K28" s="498" t="n"/>
      <c r="L28" s="498" t="n"/>
      <c r="M28" s="498" t="n"/>
      <c r="N28" s="498" t="n"/>
    </row>
    <row r="29" ht="15" customHeight="1" s="489">
      <c r="A29" s="498" t="n"/>
      <c r="B29" s="498" t="n"/>
      <c r="C29" s="498" t="n"/>
      <c r="D29" s="498" t="n"/>
      <c r="E29" s="498" t="n"/>
      <c r="F29" s="498" t="n"/>
      <c r="G29" s="498" t="n"/>
      <c r="H29" s="498" t="n"/>
      <c r="I29" s="498" t="n"/>
      <c r="J29" s="498" t="n"/>
      <c r="K29" s="498" t="n"/>
      <c r="L29" s="498" t="n"/>
      <c r="M29" s="498" t="n"/>
      <c r="N29" s="498" t="n"/>
    </row>
    <row r="30" ht="15" customHeight="1" s="489">
      <c r="A30" s="498" t="n"/>
      <c r="B30" s="498" t="n"/>
      <c r="C30" s="498" t="n"/>
      <c r="D30" s="498" t="n"/>
      <c r="E30" s="498" t="n"/>
      <c r="F30" s="498" t="n"/>
      <c r="G30" s="498" t="n"/>
      <c r="H30" s="498" t="n"/>
      <c r="I30" s="498" t="n"/>
      <c r="J30" s="498" t="n"/>
      <c r="K30" s="498" t="n"/>
      <c r="L30" s="498" t="n"/>
      <c r="M30" s="498" t="n"/>
      <c r="N30" s="498" t="n"/>
    </row>
    <row r="31" ht="15" customHeight="1" s="489">
      <c r="A31" s="498" t="n"/>
      <c r="B31" s="498" t="n"/>
      <c r="C31" s="498" t="n"/>
      <c r="D31" s="498" t="n"/>
      <c r="E31" s="498" t="n"/>
      <c r="F31" s="498" t="n"/>
      <c r="G31" s="498" t="n"/>
      <c r="H31" s="498" t="n"/>
      <c r="I31" s="498" t="n"/>
      <c r="J31" s="498" t="n"/>
      <c r="K31" s="498" t="n"/>
      <c r="L31" s="498" t="n"/>
      <c r="M31" s="498" t="n"/>
      <c r="N31" s="498" t="n"/>
    </row>
    <row r="32" ht="15" customHeight="1" s="489">
      <c r="A32" s="498" t="n"/>
      <c r="B32" s="498" t="n"/>
      <c r="C32" s="498" t="n"/>
      <c r="D32" s="498" t="n"/>
      <c r="E32" s="498" t="n"/>
      <c r="F32" s="498" t="n"/>
      <c r="G32" s="498" t="n"/>
      <c r="H32" s="498" t="n"/>
      <c r="I32" s="498" t="n"/>
      <c r="J32" s="498" t="n"/>
      <c r="K32" s="498" t="n"/>
      <c r="L32" s="498" t="n"/>
      <c r="M32" s="498" t="n"/>
      <c r="N32" s="498" t="n"/>
    </row>
    <row r="33" ht="15" customHeight="1" s="489">
      <c r="A33" s="498" t="n"/>
      <c r="B33" s="498" t="n"/>
      <c r="C33" s="498" t="n"/>
      <c r="D33" s="498" t="n"/>
      <c r="E33" s="498" t="n"/>
      <c r="F33" s="498" t="n"/>
      <c r="G33" s="498" t="n"/>
      <c r="H33" s="498" t="n"/>
      <c r="I33" s="498" t="n"/>
      <c r="J33" s="498" t="n"/>
      <c r="K33" s="498" t="n"/>
      <c r="L33" s="498" t="n"/>
      <c r="M33" s="498" t="n"/>
      <c r="N33" s="498" t="n"/>
    </row>
    <row r="34" ht="15" customHeight="1" s="489">
      <c r="A34" s="498" t="n"/>
      <c r="B34" s="498" t="n"/>
      <c r="C34" s="498" t="n"/>
      <c r="D34" s="498" t="n"/>
      <c r="E34" s="498" t="n"/>
      <c r="F34" s="498" t="n"/>
      <c r="G34" s="498" t="n"/>
      <c r="H34" s="498" t="n"/>
      <c r="I34" s="498" t="n"/>
      <c r="J34" s="498" t="n"/>
      <c r="K34" s="498" t="n"/>
      <c r="L34" s="498" t="n"/>
      <c r="M34" s="498" t="n"/>
      <c r="N34" s="498" t="n"/>
    </row>
    <row r="35" ht="15" customHeight="1" s="489">
      <c r="A35" s="498" t="n"/>
      <c r="B35" s="498" t="n"/>
      <c r="C35" s="498" t="n"/>
      <c r="D35" s="498" t="n"/>
      <c r="E35" s="498" t="n"/>
      <c r="F35" s="498" t="n"/>
      <c r="G35" s="498" t="n"/>
      <c r="H35" s="498" t="n"/>
      <c r="I35" s="498" t="n"/>
      <c r="J35" s="498" t="n"/>
      <c r="K35" s="498" t="n"/>
      <c r="L35" s="498" t="n"/>
      <c r="M35" s="498" t="n"/>
      <c r="N35" s="498" t="n"/>
    </row>
    <row r="36" ht="15" customHeight="1" s="489">
      <c r="A36" s="498" t="n"/>
      <c r="B36" s="498" t="n"/>
      <c r="C36" s="498" t="n"/>
      <c r="D36" s="498" t="n"/>
      <c r="E36" s="498" t="n"/>
      <c r="F36" s="498" t="n"/>
      <c r="G36" s="498" t="n"/>
      <c r="H36" s="498" t="n"/>
      <c r="I36" s="498" t="n"/>
      <c r="J36" s="498" t="n"/>
      <c r="K36" s="498" t="n"/>
      <c r="L36" s="498" t="n"/>
      <c r="M36" s="498" t="n"/>
      <c r="N36" s="498" t="n"/>
    </row>
    <row r="37" ht="15" customHeight="1" s="489">
      <c r="A37" s="498" t="n"/>
      <c r="B37" s="498" t="n"/>
      <c r="C37" s="498" t="n"/>
      <c r="D37" s="498" t="n"/>
      <c r="E37" s="498" t="n"/>
      <c r="F37" s="498" t="n"/>
      <c r="G37" s="498" t="n"/>
      <c r="H37" s="498" t="n"/>
      <c r="I37" s="498" t="n"/>
      <c r="J37" s="498" t="n"/>
      <c r="K37" s="498" t="n"/>
      <c r="L37" s="498" t="n"/>
      <c r="M37" s="498" t="n"/>
      <c r="N37" s="498" t="n"/>
    </row>
    <row r="38" ht="15" customHeight="1" s="489">
      <c r="A38" s="498" t="n"/>
      <c r="B38" s="498" t="n"/>
      <c r="C38" s="498" t="n"/>
      <c r="D38" s="498" t="n"/>
      <c r="E38" s="498" t="n"/>
      <c r="F38" s="498" t="n"/>
      <c r="G38" s="498" t="n"/>
      <c r="H38" s="498" t="n"/>
      <c r="I38" s="498" t="n"/>
      <c r="J38" s="498" t="n"/>
      <c r="K38" s="498" t="n"/>
      <c r="L38" s="498" t="n"/>
      <c r="M38" s="498" t="n"/>
      <c r="N38" s="498" t="n"/>
    </row>
    <row r="39" ht="15" customHeight="1" s="489">
      <c r="A39" s="498" t="n"/>
      <c r="B39" s="498" t="n"/>
      <c r="C39" s="498" t="n"/>
      <c r="D39" s="498" t="n"/>
      <c r="E39" s="498" t="n"/>
      <c r="F39" s="498" t="n"/>
      <c r="G39" s="498" t="n"/>
      <c r="H39" s="498" t="n"/>
      <c r="I39" s="498" t="n"/>
      <c r="J39" s="498" t="n"/>
      <c r="K39" s="498" t="n"/>
      <c r="L39" s="498" t="n"/>
      <c r="M39" s="498" t="n"/>
      <c r="N39" s="498" t="n"/>
    </row>
    <row r="40" ht="15" customHeight="1" s="489">
      <c r="A40" s="498" t="n"/>
      <c r="B40" s="498" t="n"/>
      <c r="C40" s="498" t="n"/>
      <c r="D40" s="498" t="n"/>
      <c r="E40" s="498" t="n"/>
      <c r="F40" s="498" t="n"/>
      <c r="G40" s="498" t="n"/>
      <c r="H40" s="498" t="n"/>
      <c r="I40" s="498" t="n"/>
      <c r="J40" s="498" t="n"/>
      <c r="K40" s="498" t="n"/>
      <c r="L40" s="498" t="n"/>
      <c r="M40" s="498" t="n"/>
      <c r="N40" s="498" t="n"/>
    </row>
    <row r="41" ht="15" customHeight="1" s="489">
      <c r="A41" s="498" t="n"/>
      <c r="B41" s="174" t="inlineStr">
        <is>
          <t>Performance Summary (Five-Year)</t>
        </is>
      </c>
      <c r="C41" s="174" t="n"/>
      <c r="D41" s="174" t="n"/>
      <c r="E41" s="175" t="n"/>
      <c r="G41" s="498" t="n"/>
      <c r="H41" s="174" t="inlineStr">
        <is>
          <t>Income Statement (LTM)</t>
        </is>
      </c>
      <c r="I41" s="175" t="n"/>
      <c r="J41" s="175" t="n"/>
      <c r="K41" s="175" t="n"/>
      <c r="L41" s="175" t="n"/>
      <c r="M41" s="175" t="n"/>
      <c r="N41" s="498" t="n"/>
    </row>
    <row r="42" ht="15" customHeight="1" s="489">
      <c r="A42" s="498" t="n"/>
      <c r="B42" s="498" t="n"/>
      <c r="C42" s="498" t="n"/>
      <c r="D42" s="498" t="n"/>
      <c r="E42" s="356" t="n"/>
      <c r="F42" s="498" t="n"/>
      <c r="G42" s="498" t="n"/>
      <c r="H42" s="498" t="n"/>
      <c r="I42" s="498" t="n"/>
      <c r="J42" s="498" t="n"/>
      <c r="K42" s="498" t="n"/>
      <c r="L42" s="498" t="n"/>
      <c r="M42" s="498" t="n"/>
      <c r="N42" s="498" t="n"/>
      <c r="O42" s="498" t="n"/>
      <c r="P42" s="498" t="n"/>
    </row>
    <row r="43" ht="15" customHeight="1" s="489">
      <c r="A43" s="498" t="n"/>
      <c r="B43" s="498" t="n"/>
      <c r="C43" s="152" t="inlineStr">
        <is>
          <t>5-Yr Avg</t>
        </is>
      </c>
      <c r="D43" s="357" t="inlineStr">
        <is>
          <t>Trend</t>
        </is>
      </c>
      <c r="E43" s="358" t="n"/>
      <c r="F43" s="355" t="n"/>
      <c r="H43" s="498" t="n"/>
      <c r="I43" s="152" t="inlineStr">
        <is>
          <t>Actual</t>
        </is>
      </c>
      <c r="J43" s="152" t="inlineStr">
        <is>
          <t>Prev Year</t>
        </is>
      </c>
      <c r="K43" s="152" t="inlineStr">
        <is>
          <t>Variance</t>
        </is>
      </c>
      <c r="L43" s="152" t="inlineStr">
        <is>
          <t>Var %</t>
        </is>
      </c>
      <c r="P43" s="498" t="n"/>
    </row>
    <row r="44" ht="15" customHeight="1" s="489">
      <c r="A44" s="498" t="n"/>
      <c r="B44" s="150" t="inlineStr">
        <is>
          <t>Revenue</t>
        </is>
      </c>
      <c r="C44" s="362">
        <f>AVERAGE(INPUT!D9:H9)</f>
        <v/>
      </c>
      <c r="D44" s="493">
        <f>IF(INPUT!H9&gt;INPUT!G9,"▲",IF(INPUT!H9&lt;INPUT!G9,"▼","→"))</f>
        <v/>
      </c>
      <c r="E44" s="356" t="n"/>
      <c r="F44" s="352" t="n"/>
      <c r="H44" s="150" t="inlineStr">
        <is>
          <t>Revenue</t>
        </is>
      </c>
      <c r="I44" s="359">
        <f>INPUT!H9</f>
        <v/>
      </c>
      <c r="J44" s="359">
        <f>INPUT!G9</f>
        <v/>
      </c>
      <c r="K44" s="359">
        <f>I44-J44</f>
        <v/>
      </c>
      <c r="L44" s="273">
        <f>IF(J44=0,NA(),K44/ABS(J44))</f>
        <v/>
      </c>
      <c r="P44" s="498" t="n"/>
    </row>
    <row r="45" outlineLevel="1" ht="15" customHeight="1" s="489">
      <c r="A45" s="498" t="n"/>
      <c r="B45" s="151" t="n"/>
      <c r="C45" s="356" t="n"/>
      <c r="D45" s="356" t="n"/>
      <c r="E45" s="356" t="n"/>
      <c r="F45" s="498" t="n"/>
      <c r="H45" s="151" t="n"/>
      <c r="I45" s="663" t="n"/>
      <c r="J45" s="663" t="n"/>
      <c r="K45" s="663" t="n"/>
      <c r="L45" s="179" t="n"/>
      <c r="P45" s="498" t="n"/>
    </row>
    <row r="46" ht="15" customHeight="1" s="489">
      <c r="A46" s="498" t="n"/>
      <c r="B46" s="150" t="inlineStr">
        <is>
          <t>COGS</t>
        </is>
      </c>
      <c r="C46" s="360">
        <f>ABS(AVERAGE(INPUT!D10:H10))</f>
        <v/>
      </c>
      <c r="D46" s="493">
        <f>IF(ABS(INPUT!H10)&lt;ABS(INPUT!G10),"▲",IF(ABS(INPUT!H10)&gt;ABS(INPUT!G10),"▼","→"))</f>
        <v/>
      </c>
      <c r="E46" s="356" t="n"/>
      <c r="F46" s="352" t="n"/>
      <c r="H46" s="150" t="inlineStr">
        <is>
          <t>COGS</t>
        </is>
      </c>
      <c r="I46" s="359">
        <f>ABS(INPUT!H10)</f>
        <v/>
      </c>
      <c r="J46" s="360">
        <f>ABS(INPUT!G10)</f>
        <v/>
      </c>
      <c r="K46" s="359">
        <f>I46-J46</f>
        <v/>
      </c>
      <c r="L46" s="273">
        <f>IF(J46=0,NA(),K46/ABS(J46))</f>
        <v/>
      </c>
      <c r="P46" s="498" t="n"/>
    </row>
    <row r="47" outlineLevel="1" ht="15" customHeight="1" s="489">
      <c r="A47" s="498" t="n"/>
      <c r="B47" s="151" t="n"/>
      <c r="C47" s="356" t="n"/>
      <c r="D47" s="356" t="n"/>
      <c r="E47" s="356" t="n"/>
      <c r="F47" s="498" t="n"/>
      <c r="H47" s="151" t="n"/>
      <c r="I47" s="663" t="n"/>
      <c r="J47" s="663" t="n"/>
      <c r="K47" s="663" t="n"/>
      <c r="L47" s="179" t="n"/>
      <c r="P47" s="498" t="n"/>
    </row>
    <row r="48" ht="15" customHeight="1" s="489">
      <c r="A48" s="498" t="n"/>
      <c r="B48" s="150" t="inlineStr">
        <is>
          <t>Expenses</t>
        </is>
      </c>
      <c r="C48" s="360">
        <f>ABS(AVERAGE(INPUT!D13:H13))</f>
        <v/>
      </c>
      <c r="D48" s="494">
        <f>IF(ABS(INPUT!H13)&lt;ABS(INPUT!G13),"▲",IF(ABS(INPUT!H13)&gt;ABS(INPUT!G13),"▼","→"))</f>
        <v/>
      </c>
      <c r="E48" s="356" t="n"/>
      <c r="F48" s="352" t="n"/>
      <c r="H48" s="150" t="inlineStr">
        <is>
          <t>Expenses</t>
        </is>
      </c>
      <c r="I48" s="359">
        <f>ABS(INPUT!H13)</f>
        <v/>
      </c>
      <c r="J48" s="360">
        <f>ABS(INPUT!G13)</f>
        <v/>
      </c>
      <c r="K48" s="359">
        <f>I48-J48</f>
        <v/>
      </c>
      <c r="L48" s="273">
        <f>IF(J48=0,NA(),K48/ABS(J48))</f>
        <v/>
      </c>
      <c r="P48" s="498" t="n"/>
    </row>
    <row r="49" outlineLevel="1" ht="15" customHeight="1" s="489">
      <c r="A49" s="498" t="n"/>
      <c r="B49" s="151" t="n"/>
      <c r="C49" s="356" t="n"/>
      <c r="D49" s="356" t="n"/>
      <c r="E49" s="356" t="n"/>
      <c r="F49" s="498" t="n"/>
      <c r="H49" s="151" t="n"/>
      <c r="I49" s="663" t="n"/>
      <c r="J49" s="663" t="n"/>
      <c r="K49" s="663" t="n"/>
      <c r="L49" s="179" t="n"/>
      <c r="P49" s="498" t="n"/>
    </row>
    <row r="50" ht="15" customHeight="1" s="489">
      <c r="A50" s="498" t="n"/>
      <c r="B50" s="150" t="inlineStr">
        <is>
          <t>Net Income</t>
        </is>
      </c>
      <c r="C50" s="360">
        <f>AVERAGE(INPUT!D26:H26)</f>
        <v/>
      </c>
      <c r="D50" s="493">
        <f>IF(INPUT!H26&gt;INPUT!G26,"▲",IF(INPUT!H26&lt;INPUT!G26,"▼","→"))</f>
        <v/>
      </c>
      <c r="E50" s="356" t="n"/>
      <c r="F50" s="352" t="n"/>
      <c r="H50" s="150" t="inlineStr">
        <is>
          <t>Net Income</t>
        </is>
      </c>
      <c r="I50" s="359">
        <f>INPUT!H26</f>
        <v/>
      </c>
      <c r="J50" s="360">
        <f>INPUT!G26</f>
        <v/>
      </c>
      <c r="K50" s="359">
        <f>I50-J50</f>
        <v/>
      </c>
      <c r="L50" s="273">
        <f>IF(J50=0,NA(),K50/ABS(J50))</f>
        <v/>
      </c>
      <c r="P50" s="498" t="n"/>
    </row>
    <row r="51" outlineLevel="1" ht="15" customHeight="1" s="489">
      <c r="A51" s="498" t="n"/>
      <c r="B51" s="151" t="n"/>
      <c r="C51" s="356" t="n"/>
      <c r="D51" s="356" t="n"/>
      <c r="E51" s="356" t="n"/>
      <c r="F51" s="498" t="n"/>
      <c r="H51" s="151" t="n"/>
      <c r="I51" s="498" t="n"/>
      <c r="J51" s="498" t="n"/>
      <c r="K51" s="498" t="n"/>
      <c r="L51" s="179" t="n"/>
      <c r="P51" s="498" t="n"/>
    </row>
    <row r="52" ht="15" customHeight="1" s="489">
      <c r="A52" s="498" t="n"/>
      <c r="B52" s="150" t="inlineStr">
        <is>
          <t>Net Margin (%)</t>
        </is>
      </c>
      <c r="C52" s="363">
        <f>AVERAGE(INPUT!D26:H26)/AVERAGE(INPUT!D9:H9)</f>
        <v/>
      </c>
      <c r="D52" s="493">
        <f>IF(INPUT!H26/INPUT!H9&gt;INPUT!G26/INPUT!G9,"▲",IF(INPUT!H26/INPUT!H9&lt;INPUT!G26/INPUT!G9,"▼","→"))</f>
        <v/>
      </c>
      <c r="E52" s="356" t="n"/>
      <c r="F52" s="354" t="n"/>
      <c r="H52" s="150" t="inlineStr">
        <is>
          <t>Net Margin (%)</t>
        </is>
      </c>
      <c r="I52" s="273">
        <f>INPUT!H26/INPUT!H9</f>
        <v/>
      </c>
      <c r="J52" s="273">
        <f>INPUT!G26/INPUT!G9</f>
        <v/>
      </c>
      <c r="K52" s="273">
        <f>I52-J52</f>
        <v/>
      </c>
      <c r="L52" s="273">
        <f>IF(J52=0,NA(),K52/ABS(J52))</f>
        <v/>
      </c>
      <c r="P52" s="498" t="n"/>
    </row>
    <row r="53" ht="15" customHeight="1" s="489">
      <c r="A53" s="498" t="n"/>
      <c r="B53" s="498" t="n"/>
      <c r="C53" s="498" t="n"/>
      <c r="D53" s="498" t="n"/>
      <c r="E53" s="498" t="n"/>
      <c r="F53" s="498" t="n"/>
      <c r="G53" s="498" t="n"/>
      <c r="H53" s="498" t="n"/>
      <c r="I53" s="498" t="n"/>
      <c r="J53" s="498" t="n"/>
      <c r="K53" s="498" t="n"/>
      <c r="L53" s="498" t="n"/>
      <c r="M53" s="498" t="n"/>
      <c r="N53" s="498" t="n"/>
      <c r="O53" s="498" t="n"/>
    </row>
    <row r="54" ht="15" customHeight="1" s="489">
      <c r="A54" s="498" t="n"/>
      <c r="B54" s="415" t="inlineStr">
        <is>
          <t>MÉTRIQUES UTILITY (LTM)</t>
        </is>
      </c>
      <c r="C54" s="458" t="n"/>
      <c r="D54" s="458" t="n"/>
      <c r="E54" s="458" t="n"/>
      <c r="F54" s="458" t="n"/>
      <c r="G54" s="498" t="n"/>
      <c r="H54" s="498" t="n"/>
      <c r="I54" s="498" t="n"/>
      <c r="J54" s="498" t="n"/>
      <c r="K54" s="498" t="n"/>
      <c r="L54" s="498" t="n"/>
      <c r="M54" s="498" t="n"/>
      <c r="N54" s="498" t="n"/>
      <c r="O54" s="498" t="n"/>
      <c r="P54" s="498" t="n"/>
    </row>
    <row r="55" ht="15" customHeight="1" s="489">
      <c r="A55" s="498" t="n"/>
      <c r="B55" s="418" t="inlineStr">
        <is>
          <t>EV/EBITDA</t>
        </is>
      </c>
      <c r="C55" s="491">
        <f>IFERROR(INPUT!H98/INPUT!H30,NA())</f>
        <v/>
      </c>
      <c r="D55" s="500" t="inlineStr">
        <is>
          <t>Bmk : 8-11x • Prime si croissance RAB</t>
        </is>
      </c>
      <c r="E55" s="664" t="n"/>
      <c r="F55" s="451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</row>
    <row r="56" ht="15" customHeight="1" s="489">
      <c r="A56" s="498" t="n"/>
      <c r="B56" s="418" t="inlineStr">
        <is>
          <t>Dividend Yield</t>
        </is>
      </c>
      <c r="C56" s="491">
        <f>IFERROR(ABS(INPUT!H85)/INPUT!H97,NA())</f>
        <v/>
      </c>
      <c r="D56" s="460" t="inlineStr">
        <is>
          <t>Bmk : 3-5% • Clé utility</t>
        </is>
      </c>
      <c r="E56" s="451" t="n"/>
      <c r="F56" s="498" t="n"/>
      <c r="G56" s="498" t="n"/>
      <c r="H56" s="498" t="n"/>
      <c r="I56" s="498" t="n"/>
      <c r="J56" s="498" t="n"/>
      <c r="K56" s="498" t="n"/>
      <c r="L56" s="498" t="n"/>
      <c r="M56" s="498" t="n"/>
      <c r="N56" s="498" t="n"/>
      <c r="O56" s="498" t="n"/>
      <c r="P56" s="498" t="n"/>
    </row>
    <row r="57" ht="15" customHeight="1" s="489">
      <c r="A57" s="498" t="n"/>
      <c r="B57" s="418" t="n"/>
      <c r="C57" s="491" t="n"/>
      <c r="F57" s="498" t="n"/>
      <c r="G57" s="498" t="n"/>
      <c r="H57" s="498" t="n"/>
      <c r="I57" s="498" t="n"/>
      <c r="J57" s="498" t="n"/>
      <c r="K57" s="498" t="n"/>
      <c r="L57" s="498" t="n"/>
      <c r="M57" s="498" t="n"/>
      <c r="N57" s="498" t="n"/>
      <c r="O57" s="498" t="n"/>
      <c r="P57" s="498" t="n"/>
    </row>
    <row r="58" ht="15" customHeight="1" s="489">
      <c r="A58" s="498" t="n"/>
      <c r="B58" s="174" t="inlineStr">
        <is>
          <t>P&amp;L Summary (LTM)</t>
        </is>
      </c>
      <c r="C58" s="174" t="n"/>
      <c r="D58" s="174" t="n"/>
      <c r="E58" s="174" t="n"/>
      <c r="F58" s="174" t="n"/>
      <c r="G58" s="498" t="n"/>
      <c r="H58" s="174" t="inlineStr">
        <is>
          <t>Balance Sheet Summary (LTM)</t>
        </is>
      </c>
      <c r="I58" s="175" t="n"/>
      <c r="J58" s="490" t="n"/>
      <c r="K58" s="490" t="n"/>
      <c r="L58" s="175" t="n"/>
      <c r="M58" s="175" t="n"/>
      <c r="N58" s="498" t="n"/>
    </row>
    <row r="59" ht="15" customHeight="1" s="489">
      <c r="A59" s="498" t="n"/>
      <c r="B59" s="486" t="n"/>
      <c r="C59" s="486" t="n"/>
      <c r="D59" s="486" t="n"/>
      <c r="E59" s="486" t="n"/>
      <c r="F59" s="486" t="n"/>
      <c r="G59" s="498" t="n"/>
      <c r="H59" s="498" t="n"/>
      <c r="I59" s="498" t="n"/>
      <c r="J59" s="498" t="n"/>
      <c r="K59" s="498" t="n"/>
      <c r="L59" s="498" t="n"/>
      <c r="M59" s="498" t="n"/>
      <c r="N59" s="498" t="n"/>
      <c r="O59" s="498" t="n"/>
      <c r="P59" s="498" t="n"/>
      <c r="Q59" s="504" t="n"/>
    </row>
    <row r="60" ht="15" customHeight="1" s="489">
      <c r="A60" s="498" t="n"/>
      <c r="B60" s="486" t="n"/>
      <c r="C60" s="486" t="n"/>
      <c r="D60" s="510">
        <f>INPUT!G5</f>
        <v/>
      </c>
      <c r="E60" s="511">
        <f>INPUT!H5</f>
        <v/>
      </c>
      <c r="F60" s="486" t="n"/>
      <c r="G60" s="498" t="n"/>
      <c r="H60" s="498" t="n"/>
      <c r="I60" s="498" t="n"/>
      <c r="J60" s="496">
        <f>INPUT!G5</f>
        <v/>
      </c>
      <c r="K60" s="496">
        <f>INPUT!H5</f>
        <v/>
      </c>
      <c r="M60" s="498" t="n"/>
      <c r="R60" s="486" t="n"/>
      <c r="S60" s="665">
        <f>INPUT!G9</f>
        <v/>
      </c>
      <c r="T60" s="665">
        <f>INPUT!H9</f>
        <v/>
      </c>
      <c r="U60" s="486" t="n"/>
      <c r="V60" s="498" t="n"/>
      <c r="W60" s="486" t="n"/>
      <c r="X60" s="499" t="n"/>
      <c r="Y60" s="495" t="n"/>
      <c r="Z60" s="495" t="n"/>
      <c r="AA60" s="499" t="n"/>
      <c r="AB60" s="499" t="n"/>
      <c r="AC60" s="498" t="n"/>
      <c r="AD60" s="21" t="n"/>
    </row>
    <row r="61" ht="15" customHeight="1" s="489">
      <c r="A61" s="498" t="n"/>
      <c r="B61" s="498" t="n"/>
      <c r="C61" s="498" t="n"/>
      <c r="D61" s="498" t="n"/>
      <c r="E61" s="498" t="n"/>
      <c r="F61" s="498" t="n"/>
      <c r="G61" s="92" t="n"/>
      <c r="H61" s="134" t="inlineStr">
        <is>
          <t>Assets</t>
        </is>
      </c>
      <c r="I61" s="498" t="n"/>
      <c r="J61" s="498" t="n"/>
      <c r="K61" s="497" t="n"/>
    </row>
    <row r="62" ht="15" customHeight="1" s="489">
      <c r="A62" s="498" t="n"/>
      <c r="B62" s="69" t="inlineStr">
        <is>
          <t xml:space="preserve">  COGS</t>
        </is>
      </c>
      <c r="C62" s="486" t="n"/>
      <c r="D62" s="666">
        <f>-ABS(INPUT!G10)</f>
        <v/>
      </c>
      <c r="E62" s="666">
        <f>-ABS(INPUT!H10)</f>
        <v/>
      </c>
      <c r="F62" s="498" t="n"/>
      <c r="G62" s="115" t="n"/>
      <c r="H62" s="135" t="inlineStr">
        <is>
          <t>Current Assets</t>
        </is>
      </c>
      <c r="I62" s="498" t="n"/>
      <c r="J62" s="590">
        <f>INPUT!G38</f>
        <v/>
      </c>
      <c r="K62" s="361">
        <f>INPUT!H38</f>
        <v/>
      </c>
    </row>
    <row r="63" ht="15" customHeight="1" s="489">
      <c r="A63" s="498" t="n"/>
      <c r="B63" s="199" t="inlineStr">
        <is>
          <t>Gross Profit</t>
        </is>
      </c>
      <c r="C63" s="498" t="n"/>
      <c r="D63" s="667">
        <f>S60+D62</f>
        <v/>
      </c>
      <c r="E63" s="667">
        <f>T60+E62</f>
        <v/>
      </c>
      <c r="F63" s="92" t="n"/>
      <c r="G63" s="498" t="n"/>
      <c r="H63" s="135" t="inlineStr">
        <is>
          <t>Non-current Assets</t>
        </is>
      </c>
      <c r="I63" s="498" t="n"/>
      <c r="J63" s="590">
        <f>SUM(INPUT!G41:G43)</f>
        <v/>
      </c>
      <c r="K63" s="361">
        <f>SUM(INPUT!H41:H43)</f>
        <v/>
      </c>
    </row>
    <row r="64" ht="15" customHeight="1" s="489">
      <c r="A64" s="498" t="n"/>
      <c r="B64" s="504" t="inlineStr">
        <is>
          <t xml:space="preserve">  SG&amp;A</t>
        </is>
      </c>
      <c r="C64" s="498" t="n"/>
      <c r="D64" s="557">
        <f>-ABS(INPUT!G14)</f>
        <v/>
      </c>
      <c r="E64" s="557">
        <f>-ABS(INPUT!H14)</f>
        <v/>
      </c>
      <c r="F64" s="115" t="n"/>
      <c r="G64" s="498" t="n"/>
      <c r="H64" s="498" t="n"/>
      <c r="I64" s="498" t="n"/>
      <c r="J64" s="498" t="n"/>
      <c r="K64" s="351" t="n"/>
    </row>
    <row r="65" ht="15" customHeight="1" s="489" thickBot="1">
      <c r="A65" s="498" t="n"/>
      <c r="B65" s="69" t="inlineStr">
        <is>
          <t xml:space="preserve">  R&amp;D</t>
        </is>
      </c>
      <c r="C65" s="498" t="n"/>
      <c r="D65" s="567">
        <f>-ABS(INPUT!G15)</f>
        <v/>
      </c>
      <c r="E65" s="567">
        <f>-ABS(INPUT!H15)</f>
        <v/>
      </c>
      <c r="F65" s="498" t="n"/>
      <c r="G65" s="115" t="n"/>
      <c r="H65" s="134" t="inlineStr">
        <is>
          <t>Total Assets</t>
        </is>
      </c>
      <c r="I65" s="498" t="n"/>
      <c r="J65" s="668">
        <f>INPUT!G44</f>
        <v/>
      </c>
      <c r="K65" s="515">
        <f>INPUT!H44</f>
        <v/>
      </c>
    </row>
    <row r="66" ht="15" customHeight="1" s="489">
      <c r="A66" s="498" t="n"/>
      <c r="B66" s="69" t="inlineStr">
        <is>
          <t xml:space="preserve">  D&amp;A</t>
        </is>
      </c>
      <c r="C66" s="498" t="n"/>
      <c r="D66" s="567">
        <f>-ABS(INPUT!G16)</f>
        <v/>
      </c>
      <c r="E66" s="567">
        <f>-ABS(INPUT!H16)</f>
        <v/>
      </c>
      <c r="F66" s="498" t="n"/>
      <c r="G66" s="115" t="n"/>
      <c r="H66" s="498" t="n"/>
      <c r="I66" s="498" t="n"/>
      <c r="J66" s="498" t="n"/>
      <c r="K66" s="351" t="n"/>
    </row>
    <row r="67" ht="15" customHeight="1" s="489">
      <c r="A67" s="498" t="n"/>
      <c r="B67" s="504" t="inlineStr">
        <is>
          <t>EBIT (Operating Profit)</t>
        </is>
      </c>
      <c r="C67" s="498" t="n"/>
      <c r="D67" s="557">
        <f>D63+D64+D65+D66</f>
        <v/>
      </c>
      <c r="E67" s="557">
        <f>E63+E64+E65+E66</f>
        <v/>
      </c>
      <c r="F67" s="115" t="n"/>
      <c r="G67" s="115" t="n"/>
      <c r="H67" s="504" t="inlineStr">
        <is>
          <t>Liabilities</t>
        </is>
      </c>
      <c r="I67" s="498" t="n"/>
      <c r="J67" s="513" t="n"/>
      <c r="K67" s="514" t="n"/>
    </row>
    <row r="68" ht="15" customHeight="1" s="489">
      <c r="A68" s="498" t="n"/>
      <c r="B68" s="69" t="inlineStr">
        <is>
          <t xml:space="preserve">  Net Interest</t>
        </is>
      </c>
      <c r="C68" s="498" t="n"/>
      <c r="D68" s="567">
        <f>-ABS(INPUT!G20)</f>
        <v/>
      </c>
      <c r="E68" s="567">
        <f>-ABS(INPUT!H20)</f>
        <v/>
      </c>
      <c r="F68" s="115" t="n"/>
      <c r="G68" s="115" t="n"/>
      <c r="H68" s="69" t="inlineStr">
        <is>
          <t>Current Liabilities</t>
        </is>
      </c>
      <c r="I68" s="498" t="n"/>
      <c r="J68" s="567">
        <f>INPUT!G51</f>
        <v/>
      </c>
      <c r="K68" s="567">
        <f>INPUT!H51</f>
        <v/>
      </c>
    </row>
    <row r="69" ht="15" customHeight="1" s="489" thickBot="1">
      <c r="A69" s="498" t="n"/>
      <c r="B69" s="504" t="inlineStr">
        <is>
          <t>EBT (Pre-Tax Income)</t>
        </is>
      </c>
      <c r="C69" s="498" t="n"/>
      <c r="D69" s="353">
        <f>D67+D68</f>
        <v/>
      </c>
      <c r="E69" s="668">
        <f>E67+E68</f>
        <v/>
      </c>
      <c r="F69" s="115" t="n"/>
      <c r="G69" s="115" t="n"/>
      <c r="H69" s="69" t="inlineStr">
        <is>
          <t>Long-term Liabilities</t>
        </is>
      </c>
      <c r="I69" s="498" t="n"/>
      <c r="J69" s="590">
        <f>INPUT!G54</f>
        <v/>
      </c>
      <c r="K69" s="567">
        <f>INPUT!H54</f>
        <v/>
      </c>
    </row>
    <row r="70" ht="15" customHeight="1" s="489">
      <c r="A70" s="498" t="n"/>
      <c r="B70" s="69" t="inlineStr">
        <is>
          <t xml:space="preserve">  Income Tax</t>
        </is>
      </c>
      <c r="C70" s="498" t="n"/>
      <c r="D70" s="557">
        <f>-ABS(INPUT!G21)</f>
        <v/>
      </c>
      <c r="E70" s="557">
        <f>-ABS(INPUT!H21)</f>
        <v/>
      </c>
      <c r="F70" s="115" t="n"/>
      <c r="G70" s="498" t="n"/>
      <c r="H70" s="504" t="inlineStr">
        <is>
          <t>Total Liabilities</t>
        </is>
      </c>
      <c r="I70" s="498" t="n"/>
      <c r="J70" s="594">
        <f>INPUT!G55</f>
        <v/>
      </c>
      <c r="K70" s="557">
        <f>INPUT!H55</f>
        <v/>
      </c>
    </row>
    <row r="71" ht="15" customHeight="1" s="489" thickBot="1">
      <c r="A71" s="498" t="n"/>
      <c r="B71" s="504" t="inlineStr">
        <is>
          <t>Net Income</t>
        </is>
      </c>
      <c r="C71" s="498" t="n"/>
      <c r="D71" s="669">
        <f>D69+D70</f>
        <v/>
      </c>
      <c r="E71" s="669">
        <f>E69+E70</f>
        <v/>
      </c>
      <c r="F71" s="115" t="n"/>
      <c r="G71" s="498" t="n"/>
      <c r="H71" s="69" t="inlineStr">
        <is>
          <t>Shareholders' Equity</t>
        </is>
      </c>
      <c r="I71" s="498" t="n"/>
      <c r="J71" s="669">
        <f>INPUT!G60</f>
        <v/>
      </c>
      <c r="K71" s="669">
        <f>INPUT!H60</f>
        <v/>
      </c>
    </row>
    <row r="72" ht="15" customHeight="1" s="489" thickBot="1" thickTop="1">
      <c r="A72" s="498" t="n"/>
      <c r="B72" s="504" t="inlineStr">
        <is>
          <t>EBITDA</t>
        </is>
      </c>
      <c r="C72" s="498" t="n"/>
      <c r="D72" s="578">
        <f>D67+ABS(D66)</f>
        <v/>
      </c>
      <c r="E72" s="668">
        <f>E67+ABS(E66)</f>
        <v/>
      </c>
      <c r="F72" s="498" t="n"/>
      <c r="G72" s="92" t="n"/>
      <c r="H72" s="504" t="inlineStr">
        <is>
          <t>Total Liabilities &amp; Equity</t>
        </is>
      </c>
      <c r="I72" s="498" t="n"/>
      <c r="J72" s="668">
        <f>INPUT!G63</f>
        <v/>
      </c>
      <c r="K72" s="578">
        <f>INPUT!H63</f>
        <v/>
      </c>
    </row>
    <row r="73" ht="15" customHeight="1" s="489">
      <c r="A73" s="498" t="n"/>
      <c r="B73" s="69" t="n"/>
      <c r="C73" s="498" t="n"/>
      <c r="D73" s="670" t="n"/>
      <c r="E73" s="670" t="n"/>
      <c r="F73" s="498" t="n"/>
      <c r="G73" s="498" t="n"/>
      <c r="H73" s="498" t="n"/>
      <c r="I73" s="498" t="n"/>
      <c r="J73" s="498" t="n"/>
      <c r="K73" s="498" t="n"/>
      <c r="L73" s="498" t="n"/>
    </row>
    <row r="74" ht="15" customHeight="1" s="489">
      <c r="B74" s="134" t="n"/>
      <c r="C74" s="498" t="n"/>
      <c r="D74" s="670" t="n"/>
      <c r="E74" s="670" t="n"/>
      <c r="F74" s="92" t="n"/>
      <c r="L74" s="498" t="n"/>
    </row>
    <row r="75" ht="15" customHeight="1" s="489">
      <c r="B75" s="498" t="n"/>
      <c r="C75" s="498" t="n"/>
      <c r="D75" s="498" t="n"/>
      <c r="E75" s="498" t="n"/>
      <c r="F75" s="498" t="n"/>
      <c r="K75" s="498" t="n"/>
    </row>
    <row r="76" ht="15" customHeight="1" s="489">
      <c r="K76" s="498" t="n"/>
      <c r="XEO76" s="498" t="n"/>
    </row>
    <row r="77" ht="15" customHeight="1" s="489">
      <c r="XEO77" s="498" t="n"/>
    </row>
    <row r="78" ht="15" customHeight="1" s="489"/>
    <row r="79" ht="15" customHeight="1" s="489">
      <c r="A79" s="188" t="n"/>
      <c r="G79" s="286" t="n"/>
      <c r="H79" s="286" t="n"/>
      <c r="I79" s="286" t="n"/>
      <c r="J79" s="286" t="n"/>
      <c r="K79" s="286" t="n"/>
      <c r="L79" s="286" t="n"/>
      <c r="M79" s="286" t="n"/>
      <c r="N79" s="189" t="n"/>
      <c r="O79" s="189" t="n"/>
    </row>
    <row r="80" ht="15" customHeight="1" s="489">
      <c r="A80" s="188" t="n"/>
      <c r="G80" s="286" t="n"/>
      <c r="H80" s="286" t="n"/>
      <c r="I80" s="286" t="n"/>
      <c r="J80" s="286" t="n"/>
      <c r="K80" s="286" t="n"/>
      <c r="L80" s="286" t="n"/>
      <c r="M80" s="189" t="n"/>
      <c r="N80" s="189" t="n"/>
      <c r="O80" s="189" t="n"/>
    </row>
    <row r="81" ht="15" customHeight="1" s="489">
      <c r="A81" s="188" t="n"/>
      <c r="B81" s="286" t="n"/>
      <c r="C81" s="286" t="n"/>
      <c r="D81" s="286" t="n"/>
      <c r="E81" s="286" t="n"/>
      <c r="F81" s="286" t="n"/>
      <c r="G81" s="286" t="n"/>
      <c r="H81" s="286" t="n"/>
      <c r="I81" s="286" t="n"/>
      <c r="J81" s="286" t="n"/>
      <c r="K81" s="286" t="n"/>
      <c r="L81" s="286" t="n"/>
      <c r="M81" s="189" t="n"/>
      <c r="N81" s="189" t="n"/>
      <c r="O81" s="189" t="n"/>
    </row>
    <row r="82" ht="15" customHeight="1" s="489">
      <c r="A82" s="189" t="n"/>
      <c r="B82" s="286" t="n"/>
      <c r="C82" s="286" t="n"/>
      <c r="D82" s="286" t="n"/>
      <c r="E82" s="286" t="n"/>
      <c r="F82" s="286" t="n"/>
      <c r="G82" s="289">
        <f>INPUT!H5</f>
        <v/>
      </c>
      <c r="H82" s="290" t="n"/>
      <c r="I82" s="289">
        <f>IF(INPUT!D5="",NA(),INPUT!D5)</f>
        <v/>
      </c>
      <c r="J82" s="289">
        <f>INPUT!E5</f>
        <v/>
      </c>
      <c r="K82" s="289">
        <f>INPUT!F5</f>
        <v/>
      </c>
      <c r="L82" s="289">
        <f>INPUT!G5</f>
        <v/>
      </c>
      <c r="M82" s="289">
        <f>INPUT!H5</f>
        <v/>
      </c>
      <c r="N82" s="290" t="n"/>
      <c r="O82" s="189" t="n"/>
    </row>
    <row r="83" ht="15" customHeight="1" s="489">
      <c r="A83" s="189" t="n"/>
      <c r="B83" s="286" t="n"/>
      <c r="C83" s="286" t="n"/>
      <c r="D83" s="286" t="n"/>
      <c r="E83" s="286" t="n"/>
      <c r="F83" s="286" t="n"/>
      <c r="G83" s="290">
        <f>IF(INPUT!H9="",NA(),INPUT!H9)</f>
        <v/>
      </c>
      <c r="H83" s="290" t="n"/>
      <c r="I83" s="290" t="n"/>
      <c r="J83" s="290" t="n"/>
      <c r="K83" s="290" t="n"/>
      <c r="L83" s="290" t="n"/>
      <c r="M83" s="290" t="n"/>
      <c r="N83" s="290" t="n"/>
      <c r="O83" s="189" t="n"/>
    </row>
    <row r="84" ht="15" customHeight="1" s="489">
      <c r="A84" s="189" t="n"/>
      <c r="B84" s="189" t="n"/>
      <c r="C84" s="287">
        <f>IF(INPUT!D5="",NA(),INPUT!D5)</f>
        <v/>
      </c>
      <c r="D84" s="288">
        <f>INPUT!E5</f>
        <v/>
      </c>
      <c r="E84" s="289">
        <f>INPUT!F5</f>
        <v/>
      </c>
      <c r="F84" s="289">
        <f>INPUT!G5</f>
        <v/>
      </c>
      <c r="G84" s="290">
        <f>IF(INPUT!G30="",NA(),INPUT!G30)</f>
        <v/>
      </c>
      <c r="H84" s="290">
        <f>IF(INPUT!H30="",NA(),INPUT!H30)</f>
        <v/>
      </c>
      <c r="I84" s="290" t="n"/>
      <c r="J84" s="290" t="n"/>
      <c r="K84" s="290" t="n"/>
      <c r="L84" s="290" t="n"/>
      <c r="M84" s="290" t="n"/>
      <c r="N84" s="290" t="n"/>
      <c r="O84" s="290" t="n"/>
    </row>
    <row r="85" ht="15" customHeight="1" s="489">
      <c r="A85" s="189" t="n"/>
      <c r="B85" s="189" t="inlineStr">
        <is>
          <t>Revenue</t>
        </is>
      </c>
      <c r="C85" s="291">
        <f>IF(INPUT!D9="",NA(),INPUT!D9)</f>
        <v/>
      </c>
      <c r="D85" s="189">
        <f>IF(INPUT!E9="",NA(),INPUT!E9)</f>
        <v/>
      </c>
      <c r="E85" s="290">
        <f>IF(INPUT!F9="",NA(),INPUT!F9)</f>
        <v/>
      </c>
      <c r="F85" s="290">
        <f>IF(INPUT!G9="",NA(),INPUT!G9)</f>
        <v/>
      </c>
      <c r="G85" s="290">
        <f>IF(INPUT!G26="",NA(),INPUT!G26)</f>
        <v/>
      </c>
      <c r="H85" s="290">
        <f>IF(INPUT!H26="",NA(),INPUT!H26)</f>
        <v/>
      </c>
      <c r="I85" s="290" t="n"/>
      <c r="J85" s="290" t="n"/>
      <c r="K85" s="290" t="n"/>
      <c r="L85" s="290" t="n"/>
      <c r="M85" s="290" t="n"/>
      <c r="N85" s="290" t="n"/>
      <c r="O85" s="290" t="n"/>
    </row>
    <row r="86" ht="15" customHeight="1" s="489">
      <c r="A86" s="189" t="n"/>
      <c r="B86" s="189" t="n"/>
      <c r="C86" s="189" t="inlineStr">
        <is>
          <t>EBITDA</t>
        </is>
      </c>
      <c r="D86" s="291">
        <f>IF(INPUT!D30="",NA(),INPUT!D30)</f>
        <v/>
      </c>
      <c r="E86" s="189">
        <f>IF(INPUT!E30="",NA(),INPUT!E30)</f>
        <v/>
      </c>
      <c r="F86" s="290">
        <f>IF(INPUT!F30="",NA(),INPUT!F30)</f>
        <v/>
      </c>
      <c r="G86" s="290" t="n"/>
      <c r="H86" s="290" t="n"/>
      <c r="I86" s="290" t="n"/>
      <c r="J86" s="289">
        <f>IF(INPUT!D5="",NA(),INPUT!D5)</f>
        <v/>
      </c>
      <c r="K86" s="289">
        <f>INPUT!E5</f>
        <v/>
      </c>
      <c r="L86" s="289">
        <f>INPUT!F5</f>
        <v/>
      </c>
      <c r="M86" s="289">
        <f>INPUT!G5</f>
        <v/>
      </c>
      <c r="N86" s="289">
        <f>INPUT!H5</f>
        <v/>
      </c>
      <c r="O86" s="290" t="n"/>
    </row>
    <row r="87" ht="15" customHeight="1" s="489">
      <c r="A87" s="189" t="n"/>
      <c r="B87" s="189" t="n"/>
      <c r="C87" s="189" t="inlineStr">
        <is>
          <t>Net Income</t>
        </is>
      </c>
      <c r="D87" s="291">
        <f>IF(INPUT!D26="",NA(),INPUT!D26)</f>
        <v/>
      </c>
      <c r="E87" s="189">
        <f>IF(INPUT!E26="",NA(),INPUT!E26)</f>
        <v/>
      </c>
      <c r="F87" s="290">
        <f>IF(INPUT!F26="",NA(),INPUT!F26)</f>
        <v/>
      </c>
      <c r="G87" s="290" t="n"/>
      <c r="H87" s="290" t="n"/>
      <c r="I87" s="290" t="inlineStr">
        <is>
          <t>Gross Margin</t>
        </is>
      </c>
      <c r="J87" s="290">
        <f>IF(INPUT!D9="",NA(),INPUT!D11/INPUT!D9)</f>
        <v/>
      </c>
      <c r="K87" s="290">
        <f>IF(INPUT!E9="",NA(),INPUT!E11/INPUT!E9)</f>
        <v/>
      </c>
      <c r="L87" s="290">
        <f>IF(INPUT!F9="",NA(),INPUT!F11/INPUT!F9)</f>
        <v/>
      </c>
      <c r="M87" s="290">
        <f>IF(INPUT!G9="",NA(),INPUT!G11/INPUT!G9)</f>
        <v/>
      </c>
      <c r="N87" s="290">
        <f>IF(INPUT!H9="",NA(),INPUT!H11/INPUT!H9)</f>
        <v/>
      </c>
      <c r="O87" s="290" t="n"/>
    </row>
    <row r="88" ht="15" customHeight="1" s="489">
      <c r="A88" s="189" t="n"/>
      <c r="B88" s="189" t="n"/>
      <c r="C88" s="189" t="n"/>
      <c r="D88" s="291" t="n"/>
      <c r="E88" s="189" t="n"/>
      <c r="F88" s="290" t="n"/>
      <c r="G88" s="290" t="n"/>
      <c r="H88" s="290" t="n"/>
      <c r="I88" s="290" t="inlineStr">
        <is>
          <t>EBITDA Margin</t>
        </is>
      </c>
      <c r="J88" s="290">
        <f>IF(INPUT!D9="",NA(),INPUT!D30/INPUT!D9)</f>
        <v/>
      </c>
      <c r="K88" s="290">
        <f>IF(INPUT!E9="",NA(),INPUT!E30/INPUT!E9)</f>
        <v/>
      </c>
      <c r="L88" s="290">
        <f>IF(INPUT!F9="",NA(),INPUT!F30/INPUT!F9)</f>
        <v/>
      </c>
      <c r="M88" s="290">
        <f>IF(INPUT!G9="",NA(),INPUT!G30/INPUT!G9)</f>
        <v/>
      </c>
      <c r="N88" s="290">
        <f>IF(INPUT!H9="",NA(),INPUT!H30/INPUT!H9)</f>
        <v/>
      </c>
      <c r="O88" s="290" t="n"/>
    </row>
    <row r="89" ht="15" customHeight="1" s="489">
      <c r="A89" s="189" t="n"/>
      <c r="B89" s="189" t="n"/>
      <c r="C89" s="189" t="n"/>
      <c r="D89" s="291" t="n"/>
      <c r="E89" s="189" t="n"/>
      <c r="F89" s="290" t="n"/>
      <c r="G89" s="289">
        <f>INPUT!G5</f>
        <v/>
      </c>
      <c r="H89" s="289">
        <f>INPUT!H5</f>
        <v/>
      </c>
      <c r="I89" s="290" t="inlineStr">
        <is>
          <t>Net Margin</t>
        </is>
      </c>
      <c r="J89" s="290">
        <f>IF(INPUT!D9="",NA(),INPUT!D26/INPUT!D9)</f>
        <v/>
      </c>
      <c r="K89" s="290">
        <f>IF(INPUT!E9="",NA(),INPUT!E26/INPUT!E9)</f>
        <v/>
      </c>
      <c r="L89" s="290">
        <f>IF(INPUT!F9="",NA(),INPUT!F26/INPUT!F9)</f>
        <v/>
      </c>
      <c r="M89" s="290">
        <f>IF(INPUT!G9="",NA(),INPUT!G26/INPUT!G9)</f>
        <v/>
      </c>
      <c r="N89" s="290">
        <f>IF(INPUT!H9="",NA(),INPUT!H26/INPUT!H9)</f>
        <v/>
      </c>
      <c r="O89" s="290" t="n"/>
    </row>
    <row r="90" ht="15" customHeight="1" s="489">
      <c r="A90" s="189" t="n"/>
      <c r="B90" s="189" t="n"/>
      <c r="C90" s="189" t="n"/>
      <c r="D90" s="291" t="n"/>
      <c r="E90" s="189" t="n"/>
      <c r="F90" s="290" t="n"/>
      <c r="G90" s="290">
        <f>IF(INPUT!G9="",NA(),INPUT!G9)</f>
        <v/>
      </c>
      <c r="H90" s="290">
        <f>IF(INPUT!H9="",NA(),INPUT!H9)</f>
        <v/>
      </c>
      <c r="I90" s="290" t="n"/>
      <c r="J90" s="290" t="n"/>
      <c r="K90" s="290" t="n"/>
      <c r="L90" s="290" t="n"/>
      <c r="M90" s="290" t="n"/>
      <c r="N90" s="290" t="n"/>
      <c r="O90" s="290" t="n"/>
    </row>
    <row r="91" ht="15" customHeight="1" s="489">
      <c r="A91" s="189" t="n"/>
      <c r="B91" s="189" t="n"/>
      <c r="C91" s="189" t="n"/>
      <c r="D91" s="287">
        <f>IF(INPUT!D5="",NA(),INPUT!D5)</f>
        <v/>
      </c>
      <c r="E91" s="288">
        <f>INPUT!E5</f>
        <v/>
      </c>
      <c r="F91" s="289">
        <f>INPUT!F5</f>
        <v/>
      </c>
      <c r="G91" s="290" t="n"/>
      <c r="H91" s="290" t="n"/>
      <c r="I91" s="290" t="n"/>
      <c r="J91" s="289">
        <f>IF(INPUT!D5="",NA(),INPUT!D5)</f>
        <v/>
      </c>
      <c r="K91" s="289">
        <f>INPUT!E5</f>
        <v/>
      </c>
      <c r="L91" s="289">
        <f>INPUT!F5</f>
        <v/>
      </c>
      <c r="M91" s="289">
        <f>INPUT!G5</f>
        <v/>
      </c>
      <c r="N91" s="289">
        <f>INPUT!H5</f>
        <v/>
      </c>
      <c r="O91" s="290" t="n"/>
    </row>
    <row r="92" ht="15" customHeight="1" s="489">
      <c r="A92" s="189" t="n"/>
      <c r="B92" s="189" t="n"/>
      <c r="C92" s="189" t="inlineStr">
        <is>
          <t>Revenue</t>
        </is>
      </c>
      <c r="D92" s="291">
        <f>IF(INPUT!D9="",NA(),INPUT!D9)</f>
        <v/>
      </c>
      <c r="E92" s="189">
        <f>IF(INPUT!E9="",NA(),INPUT!E9)</f>
        <v/>
      </c>
      <c r="F92" s="290">
        <f>IF(INPUT!F9="",NA(),INPUT!F9)</f>
        <v/>
      </c>
      <c r="G92" s="290" t="n"/>
      <c r="H92" s="290" t="n"/>
      <c r="I92" s="290" t="inlineStr">
        <is>
          <t>SG&amp;A</t>
        </is>
      </c>
      <c r="J92" s="290">
        <f>IF(INPUT!D14="",NA(),ABS(INPUT!D14))</f>
        <v/>
      </c>
      <c r="K92" s="290">
        <f>IF(INPUT!E14="",NA(),ABS(INPUT!E14))</f>
        <v/>
      </c>
      <c r="L92" s="290">
        <f>IF(INPUT!F14="",NA(),ABS(INPUT!F14))</f>
        <v/>
      </c>
      <c r="M92" s="290">
        <f>IF(INPUT!G14="",NA(),ABS(INPUT!G14))</f>
        <v/>
      </c>
      <c r="N92" s="290">
        <f>IF(INPUT!H14="",NA(),ABS(INPUT!H14))</f>
        <v/>
      </c>
      <c r="O92" s="290" t="n"/>
    </row>
    <row r="93" ht="15" customHeight="1" s="489">
      <c r="A93" s="189" t="n"/>
      <c r="B93" s="189" t="n"/>
      <c r="C93" s="189" t="n"/>
      <c r="D93" s="291" t="n"/>
      <c r="E93" s="189" t="n"/>
      <c r="F93" s="290" t="n"/>
      <c r="G93" s="290" t="n"/>
      <c r="H93" s="290" t="n"/>
      <c r="I93" s="290" t="inlineStr">
        <is>
          <t>R&amp;D</t>
        </is>
      </c>
      <c r="J93" s="290">
        <f>IF(INPUT!D15="",NA(),ABS(INPUT!D15))</f>
        <v/>
      </c>
      <c r="K93" s="290">
        <f>IF(INPUT!E15="",NA(),ABS(INPUT!E15))</f>
        <v/>
      </c>
      <c r="L93" s="290">
        <f>IF(INPUT!F15="",NA(),ABS(INPUT!F15))</f>
        <v/>
      </c>
      <c r="M93" s="290">
        <f>IF(INPUT!G15="",NA(),ABS(INPUT!G15))</f>
        <v/>
      </c>
      <c r="N93" s="290">
        <f>IF(INPUT!H15="",NA(),ABS(INPUT!H15))</f>
        <v/>
      </c>
      <c r="O93" s="290" t="n"/>
      <c r="XES93" s="45" t="n"/>
      <c r="XEU93" s="21" t="n"/>
      <c r="XEV93" s="21" t="n"/>
      <c r="XEW93" s="21" t="n"/>
      <c r="XEX93" s="21" t="n"/>
      <c r="XEY93" s="21" t="n"/>
      <c r="XEZ93" s="21" t="n"/>
      <c r="XFA93" s="21" t="n"/>
      <c r="XFB93" s="21" t="n"/>
      <c r="XFC93" s="21" t="n"/>
      <c r="XFD93" s="21" t="n"/>
    </row>
    <row r="94" ht="15" customHeight="1" s="489">
      <c r="A94" s="189" t="n"/>
      <c r="B94" s="189" t="n"/>
      <c r="C94" s="189" t="n"/>
      <c r="D94" s="291" t="n"/>
      <c r="E94" s="189" t="n"/>
      <c r="F94" s="290" t="n"/>
      <c r="G94" s="290" t="n"/>
      <c r="H94" s="290" t="n"/>
      <c r="I94" s="290" t="inlineStr">
        <is>
          <t>D&amp;A</t>
        </is>
      </c>
      <c r="J94" s="290">
        <f>IF(INPUT!D16="",NA(),ABS(INPUT!D16))</f>
        <v/>
      </c>
      <c r="K94" s="290">
        <f>IF(INPUT!E16="",NA(),ABS(INPUT!E16))</f>
        <v/>
      </c>
      <c r="L94" s="290">
        <f>IF(INPUT!F16="",NA(),ABS(INPUT!F16))</f>
        <v/>
      </c>
      <c r="M94" s="290">
        <f>IF(INPUT!G16="",NA(),ABS(INPUT!G16))</f>
        <v/>
      </c>
      <c r="N94" s="290">
        <f>IF(INPUT!H16="",NA(),ABS(INPUT!H16))</f>
        <v/>
      </c>
      <c r="O94" s="290" t="n"/>
      <c r="XES94" s="45" t="n"/>
      <c r="XEU94" s="21" t="n"/>
      <c r="XEV94" s="21" t="n"/>
      <c r="XEW94" s="21" t="n"/>
      <c r="XEX94" s="21" t="n"/>
      <c r="XEY94" s="21" t="n"/>
      <c r="XEZ94" s="21" t="n"/>
      <c r="XFA94" s="21" t="n"/>
      <c r="XFB94" s="21" t="n"/>
      <c r="XFC94" s="21" t="n"/>
      <c r="XFD94" s="21" t="n"/>
    </row>
    <row r="95" ht="15" customHeight="1" s="489">
      <c r="A95" s="189" t="n"/>
      <c r="B95" s="189" t="n"/>
      <c r="C95" s="189" t="n"/>
      <c r="D95" s="291" t="n"/>
      <c r="E95" s="189" t="n"/>
      <c r="F95" s="290" t="n"/>
      <c r="G95" s="290" t="n"/>
      <c r="H95" s="290" t="n"/>
      <c r="I95" s="290" t="inlineStr">
        <is>
          <t>Interest</t>
        </is>
      </c>
      <c r="J95" s="290">
        <f>IF(INPUT!D5="",NA(),INPUT!D5)</f>
        <v/>
      </c>
      <c r="K95" s="290">
        <f>IF(INPUT!E14="",NA(),ABS(INPUT!E20))</f>
        <v/>
      </c>
      <c r="L95" s="290">
        <f>IF(INPUT!F14="",NA(),ABS(INPUT!F20))</f>
        <v/>
      </c>
      <c r="M95" s="290">
        <f>IF(INPUT!G14="",NA(),ABS(INPUT!G20))</f>
        <v/>
      </c>
      <c r="N95" s="290">
        <f>IF(INPUT!H14="",NA(),ABS(INPUT!H20))</f>
        <v/>
      </c>
      <c r="O95" s="290" t="n"/>
    </row>
    <row r="96" ht="15" customHeight="1" s="489">
      <c r="A96" s="189" t="n"/>
      <c r="B96" s="189" t="n"/>
      <c r="C96" s="189" t="n"/>
      <c r="D96" s="291" t="n"/>
      <c r="E96" s="189" t="n"/>
      <c r="F96" s="290" t="n"/>
      <c r="G96" s="290" t="n"/>
      <c r="H96" s="290" t="n"/>
      <c r="I96" s="290" t="n"/>
      <c r="J96" s="290" t="n"/>
      <c r="K96" s="290" t="n"/>
      <c r="L96" s="290" t="n"/>
      <c r="M96" s="290" t="n"/>
      <c r="N96" s="290" t="n"/>
      <c r="O96" s="290" t="n"/>
    </row>
    <row r="97" ht="15" customHeight="1" s="489">
      <c r="B97" s="189" t="n"/>
      <c r="C97" s="189" t="n"/>
      <c r="D97" s="291" t="n"/>
      <c r="E97" s="189" t="n"/>
      <c r="F97" s="290" t="n"/>
    </row>
    <row r="98" ht="15" customHeight="1" s="489">
      <c r="B98" s="189" t="n"/>
      <c r="C98" s="189" t="n"/>
      <c r="D98" s="291" t="n"/>
      <c r="E98" s="189" t="n"/>
      <c r="F98" s="290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  <row r="122" ht="15" customHeight="1" s="489">
      <c r="B122" s="45" t="n"/>
    </row>
    <row r="123">
      <c r="B123" s="45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3" min="0" max="13" man="1"/>
    <brk id="4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5"/>
  <sheetViews>
    <sheetView showGridLines="0" topLeftCell="A21" zoomScale="85" zoomScaleNormal="85" workbookViewId="0">
      <selection activeCell="Q5" sqref="Q5"/>
    </sheetView>
  </sheetViews>
  <sheetFormatPr baseColWidth="10" defaultColWidth="9.109375" defaultRowHeight="15" customHeight="1"/>
  <cols>
    <col width="1.6640625" customWidth="1" style="126" min="1" max="1"/>
    <col width="12.33203125" customWidth="1" style="126" min="2" max="2"/>
    <col width="15.88671875" bestFit="1" customWidth="1" style="126" min="3" max="3"/>
    <col width="17.88671875" bestFit="1" customWidth="1" style="126" min="4" max="4"/>
    <col width="6.77734375" customWidth="1" style="126" min="5" max="5"/>
    <col width="12.44140625" customWidth="1" style="126" min="6" max="7"/>
    <col width="7.88671875" customWidth="1" style="126" min="8" max="8"/>
    <col width="9.109375" customWidth="1" style="126" min="9" max="10"/>
    <col width="10.6640625" customWidth="1" style="126" min="11" max="11"/>
    <col width="5.109375" customWidth="1" style="126" min="12" max="12"/>
    <col width="12.44140625" customWidth="1" style="126" min="13" max="14"/>
    <col width="9" customWidth="1" style="127" min="15" max="15"/>
    <col width="13.88671875" customWidth="1" style="126" min="16" max="16"/>
    <col width="10.5546875" customWidth="1" style="126" min="17" max="17"/>
    <col width="11.5546875" customWidth="1" style="126" min="18" max="18"/>
    <col width="11.6640625" customWidth="1" style="126" min="19" max="19"/>
    <col width="13.44140625" customWidth="1" style="126" min="20" max="20"/>
    <col width="18.33203125" customWidth="1" style="126" min="21" max="21"/>
    <col width="16.109375" customWidth="1" style="126" min="22" max="22"/>
    <col width="12.44140625" customWidth="1" style="126" min="23" max="30"/>
    <col width="9.109375" customWidth="1" style="126" min="31" max="33"/>
    <col width="9.109375" customWidth="1" style="126" min="34" max="16384"/>
  </cols>
  <sheetData>
    <row r="1" ht="50.1" customHeight="1" s="489">
      <c r="A1" s="139" t="n"/>
      <c r="B1" s="96" t="inlineStr">
        <is>
          <t>FinSight</t>
        </is>
      </c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>
        <f>INPUT!D114&amp;" ("&amp;INPUT!D115&amp;")  — "&amp;INPUT!D116</f>
        <v/>
      </c>
      <c r="S1" s="139" t="n"/>
      <c r="T1" s="139" t="n"/>
      <c r="U1" s="139" t="n"/>
      <c r="V1" s="139" t="n"/>
      <c r="W1" s="139" t="n"/>
      <c r="X1" s="139" t="n"/>
      <c r="Y1" s="173" t="n"/>
      <c r="Z1" s="173" t="n"/>
      <c r="AA1" s="173" t="n"/>
      <c r="AB1" s="173" t="n"/>
      <c r="AC1" s="173" t="n"/>
      <c r="AD1" s="173" t="n"/>
    </row>
    <row r="2" ht="15" customHeight="1" s="489">
      <c r="A2" s="82" t="n"/>
      <c r="B2" s="82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</row>
    <row r="3" ht="21" customFormat="1" customHeight="1" s="128">
      <c r="B3" s="119" t="inlineStr">
        <is>
          <t>Projected Business Performance</t>
        </is>
      </c>
      <c r="C3" s="124" t="n"/>
      <c r="D3" s="124" t="n"/>
      <c r="E3" s="124" t="n"/>
      <c r="F3" s="119" t="inlineStr">
        <is>
          <t>Football Field Chart — Valuation Inputs</t>
        </is>
      </c>
      <c r="G3" s="124" t="n"/>
      <c r="H3" s="124" t="n"/>
      <c r="I3" s="124" t="n"/>
      <c r="J3" s="124" t="n"/>
      <c r="K3" s="124" t="n"/>
      <c r="M3" s="119" t="inlineStr">
        <is>
          <t>Financial Data — Multi-Year</t>
        </is>
      </c>
      <c r="N3" s="124" t="n"/>
      <c r="O3" s="124" t="n"/>
      <c r="P3" s="124" t="n"/>
      <c r="Q3" s="124" t="n"/>
      <c r="R3" s="124" t="n"/>
      <c r="S3" s="124" t="n"/>
      <c r="T3" s="124" t="n"/>
    </row>
    <row r="4" ht="15" customFormat="1" customHeight="1" s="128">
      <c r="A4" s="82" t="n"/>
      <c r="B4" s="82" t="n"/>
      <c r="C4" s="82" t="n"/>
      <c r="D4" s="82" t="n"/>
      <c r="E4" s="82" t="n"/>
      <c r="F4" s="126" t="n"/>
      <c r="G4" s="126" t="n"/>
      <c r="H4" s="126" t="n"/>
      <c r="I4" s="126" t="n"/>
      <c r="J4" s="126" t="n"/>
      <c r="K4" s="126" t="n"/>
      <c r="L4" s="126" t="n"/>
    </row>
    <row r="5" ht="15" customFormat="1" customHeight="1" s="128">
      <c r="A5" s="82" t="n"/>
      <c r="B5" s="141" t="inlineStr">
        <is>
          <t>All figures in USD Thousands unless stated</t>
        </is>
      </c>
      <c r="C5" s="82" t="n"/>
      <c r="D5" s="82" t="n"/>
      <c r="E5" s="82" t="n"/>
      <c r="F5" s="126" t="n"/>
      <c r="G5" s="126" t="n"/>
      <c r="H5" s="126" t="n"/>
      <c r="I5" s="388" t="inlineStr">
        <is>
          <t>Low ($)</t>
        </is>
      </c>
      <c r="J5" s="143" t="inlineStr">
        <is>
          <t>Delta ($)</t>
        </is>
      </c>
      <c r="K5" s="143" t="inlineStr">
        <is>
          <t>High ($)</t>
        </is>
      </c>
      <c r="L5" s="126" t="n"/>
      <c r="M5" s="131" t="inlineStr">
        <is>
          <t>All figures in USD Thousands unless stated</t>
        </is>
      </c>
      <c r="N5" s="125" t="n"/>
      <c r="O5" s="125" t="n"/>
      <c r="P5" s="279">
        <f>INPUT!E5</f>
        <v/>
      </c>
      <c r="Q5" s="279">
        <f>INPUT!F5</f>
        <v/>
      </c>
      <c r="R5" s="279">
        <f>INPUT!G5</f>
        <v/>
      </c>
      <c r="S5" s="279">
        <f>INPUT!H5</f>
        <v/>
      </c>
    </row>
    <row r="6" ht="15" customHeight="1" s="489">
      <c r="A6" s="82" t="n"/>
      <c r="B6" s="132" t="inlineStr">
        <is>
          <t>Company Information</t>
        </is>
      </c>
      <c r="F6" s="146" t="inlineStr">
        <is>
          <t>52-Week Trading Range</t>
        </is>
      </c>
      <c r="I6" s="671">
        <f>INPUT!H95*0.75</f>
        <v/>
      </c>
      <c r="J6" s="672">
        <f>K6-I6</f>
        <v/>
      </c>
      <c r="K6" s="673">
        <f>INPUT!H95*1.45</f>
        <v/>
      </c>
      <c r="M6" s="125" t="n"/>
      <c r="N6" s="125" t="n"/>
      <c r="O6" s="125" t="n"/>
      <c r="P6" s="125" t="n"/>
      <c r="Q6" s="125" t="n"/>
      <c r="R6" s="125" t="n"/>
      <c r="S6" s="125" t="n"/>
    </row>
    <row r="7" ht="15" customHeight="1" s="489">
      <c r="A7" s="82" t="n"/>
      <c r="C7" s="91" t="inlineStr">
        <is>
          <t>Company Name</t>
        </is>
      </c>
      <c r="D7" s="274">
        <f>INPUT!D114</f>
        <v/>
      </c>
      <c r="F7" s="146" t="inlineStr">
        <is>
          <t>Consensus Research</t>
        </is>
      </c>
      <c r="I7" s="674">
        <f>INPUT!H95*1.1</f>
        <v/>
      </c>
      <c r="J7" s="675">
        <f>K7-I7</f>
        <v/>
      </c>
      <c r="K7" s="673">
        <f>INPUT!H95*1.6</f>
        <v/>
      </c>
      <c r="M7" s="137" t="inlineStr">
        <is>
          <t>Revenue Growth (%)</t>
        </is>
      </c>
      <c r="N7" s="125" t="n"/>
      <c r="O7" s="125" t="n"/>
      <c r="P7" s="280">
        <f>IF(INPUT!D9=0,"",INPUT!E9/INPUT!D9-1)</f>
        <v/>
      </c>
      <c r="Q7" s="280">
        <f>IF(INPUT!E9=0,"",INPUT!F9/INPUT!E9-1)</f>
        <v/>
      </c>
      <c r="R7" s="280">
        <f>IF(INPUT!F9=0,"",INPUT!G9/INPUT!F9-1)</f>
        <v/>
      </c>
      <c r="S7" s="280">
        <f>IF(INPUT!G9=0,"",INPUT!H9/INPUT!G9-1)</f>
        <v/>
      </c>
    </row>
    <row r="8" ht="15" customHeight="1" s="489">
      <c r="A8" s="82" t="n"/>
      <c r="C8" s="91" t="inlineStr">
        <is>
          <t>Ticker Symbol</t>
        </is>
      </c>
      <c r="D8" s="274">
        <f>INPUT!D115</f>
        <v/>
      </c>
      <c r="F8" s="146" t="inlineStr">
        <is>
          <t>Precedent Transactions</t>
        </is>
      </c>
      <c r="G8" s="128" t="n"/>
      <c r="H8" s="128" t="n"/>
      <c r="I8" s="674">
        <f>INPUT!H95*1.2</f>
        <v/>
      </c>
      <c r="J8" s="675">
        <f>K8-I8</f>
        <v/>
      </c>
      <c r="K8" s="673">
        <f>INPUT!H95*1.75</f>
        <v/>
      </c>
      <c r="L8" s="128" t="n"/>
      <c r="M8" s="145" t="inlineStr">
        <is>
          <t>EBITDA Growth (%)</t>
        </is>
      </c>
      <c r="N8" s="125" t="n"/>
      <c r="O8" s="125" t="n"/>
      <c r="P8" s="153">
        <f>""</f>
        <v/>
      </c>
      <c r="Q8" s="280">
        <f>IF(INPUT!D30=0,"",INPUT!F30/INPUT!E30-1)</f>
        <v/>
      </c>
      <c r="R8" s="280">
        <f>IF(INPUT!E30=0,"",INPUT!G30/INPUT!F30-1)</f>
        <v/>
      </c>
      <c r="S8" s="280">
        <f>IF(INPUT!F30=0,"",INPUT!H30/INPUT!G30-1)</f>
        <v/>
      </c>
    </row>
    <row r="9" ht="15" customHeight="1" s="489">
      <c r="A9" s="82" t="n"/>
      <c r="C9" s="91" t="inlineStr">
        <is>
          <t>Sector</t>
        </is>
      </c>
      <c r="D9" s="274">
        <f>INPUT!D116</f>
        <v/>
      </c>
      <c r="F9" s="146" t="inlineStr">
        <is>
          <t>Sum-of-the-Parts</t>
        </is>
      </c>
      <c r="G9" s="128" t="n"/>
      <c r="H9" s="128" t="n"/>
      <c r="I9" s="674">
        <f>INPUT!H95*1.3</f>
        <v/>
      </c>
      <c r="J9" s="675">
        <f>K9-I9</f>
        <v/>
      </c>
      <c r="K9" s="673">
        <f>INPUT!H95*1.85</f>
        <v/>
      </c>
      <c r="L9" s="128" t="n"/>
      <c r="M9" s="125" t="n"/>
      <c r="N9" s="125" t="n"/>
      <c r="O9" s="125" t="n"/>
      <c r="P9" s="125" t="n"/>
      <c r="Q9" s="125" t="n"/>
      <c r="R9" s="125" t="n"/>
      <c r="S9" s="125" t="n"/>
    </row>
    <row r="10" ht="15" customHeight="1" s="489">
      <c r="A10" s="82" t="n"/>
      <c r="C10" s="91" t="inlineStr">
        <is>
          <t>Base Year (LTM)</t>
        </is>
      </c>
      <c r="D10" s="274">
        <f>INPUT!D117</f>
        <v/>
      </c>
      <c r="F10" s="146" t="inlineStr">
        <is>
          <t>Discounted Cash Flow</t>
        </is>
      </c>
      <c r="G10" s="128" t="n"/>
      <c r="H10" s="128" t="n"/>
      <c r="I10" s="674">
        <f>INPUT!H95*1.15</f>
        <v/>
      </c>
      <c r="J10" s="675">
        <f>K10-I10</f>
        <v/>
      </c>
      <c r="K10" s="673">
        <f>INPUT!H95*1.7</f>
        <v/>
      </c>
      <c r="L10" s="128" t="n"/>
      <c r="M10" s="132" t="inlineStr">
        <is>
          <t>Revenue</t>
        </is>
      </c>
      <c r="N10" s="125" t="n"/>
      <c r="O10" s="125" t="n"/>
      <c r="P10" s="125" t="n"/>
      <c r="Q10" s="125" t="n"/>
      <c r="R10" s="125" t="n"/>
      <c r="S10" s="125" t="n"/>
      <c r="T10" s="125" t="n"/>
    </row>
    <row r="11" ht="15" customHeight="1" s="489">
      <c r="A11" s="82" t="n"/>
      <c r="C11" s="91" t="inlineStr">
        <is>
          <t>Currency</t>
        </is>
      </c>
      <c r="D11" s="274">
        <f>INPUT!D118</f>
        <v/>
      </c>
      <c r="F11" s="133" t="inlineStr">
        <is>
          <t>Current Share Price</t>
        </is>
      </c>
      <c r="G11" s="128" t="n"/>
      <c r="H11" s="128" t="n"/>
      <c r="I11" s="676">
        <f>INPUT!H95</f>
        <v/>
      </c>
      <c r="J11" s="677" t="n"/>
      <c r="K11" s="677" t="n"/>
      <c r="L11" s="128" t="n"/>
      <c r="M11" s="148" t="inlineStr">
        <is>
          <t>Revenue — Products</t>
        </is>
      </c>
      <c r="N11" s="125" t="n"/>
      <c r="O11" s="125" t="n"/>
      <c r="P11" s="678">
        <f>INPUT!E9</f>
        <v/>
      </c>
      <c r="Q11" s="678">
        <f>INPUT!E9</f>
        <v/>
      </c>
      <c r="R11" s="678">
        <f>INPUT!F9</f>
        <v/>
      </c>
      <c r="S11" s="678">
        <f>INPUT!G9</f>
        <v/>
      </c>
      <c r="T11" s="678">
        <f>INPUT!H9</f>
        <v/>
      </c>
    </row>
    <row r="12" ht="15" customHeight="1" s="489">
      <c r="A12" s="82" t="n"/>
      <c r="C12" s="91" t="inlineStr">
        <is>
          <t>Analysis Date</t>
        </is>
      </c>
      <c r="D12" s="275">
        <f>INPUT!D120</f>
        <v/>
      </c>
      <c r="M12" s="148" t="inlineStr">
        <is>
          <t>Cost of Revenue (COGS)</t>
        </is>
      </c>
      <c r="N12" s="125" t="n"/>
      <c r="O12" s="125" t="n"/>
      <c r="P12" s="678">
        <f>ABS(INPUT!E10)</f>
        <v/>
      </c>
      <c r="Q12" s="678">
        <f>ABS(INPUT!E10)</f>
        <v/>
      </c>
      <c r="R12" s="678">
        <f>ABS(INPUT!F10)</f>
        <v/>
      </c>
      <c r="S12" s="678">
        <f>ABS(INPUT!G10)</f>
        <v/>
      </c>
      <c r="T12" s="678">
        <f>ABS(INPUT!H10)</f>
        <v/>
      </c>
      <c r="U12" s="128" t="n"/>
      <c r="V12" s="128" t="n"/>
      <c r="W12" s="128" t="n"/>
      <c r="X12" s="128" t="n"/>
    </row>
    <row r="13" ht="15" customHeight="1" s="489">
      <c r="A13" s="82" t="n"/>
      <c r="M13" s="148" t="inlineStr">
        <is>
          <t>Gross Profit</t>
        </is>
      </c>
      <c r="N13" s="125" t="n"/>
      <c r="O13" s="125" t="n"/>
      <c r="P13" s="679">
        <f>INPUT!E11</f>
        <v/>
      </c>
      <c r="Q13" s="679">
        <f>INPUT!E11</f>
        <v/>
      </c>
      <c r="R13" s="679">
        <f>INPUT!F11</f>
        <v/>
      </c>
      <c r="S13" s="679">
        <f>INPUT!G11</f>
        <v/>
      </c>
      <c r="T13" s="679">
        <f>INPUT!H11</f>
        <v/>
      </c>
      <c r="U13" s="128" t="n"/>
      <c r="V13" s="128" t="n"/>
      <c r="W13" s="128" t="n"/>
      <c r="X13" s="128" t="n"/>
    </row>
    <row r="14" ht="21" customHeight="1" s="489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148" t="inlineStr">
        <is>
          <t>SG&amp;A</t>
        </is>
      </c>
      <c r="N14" s="125" t="n"/>
      <c r="O14" s="125" t="n"/>
      <c r="P14" s="678">
        <f>ABS(INPUT!E14)</f>
        <v/>
      </c>
      <c r="Q14" s="678">
        <f>ABS(INPUT!E14)</f>
        <v/>
      </c>
      <c r="R14" s="678">
        <f>ABS(INPUT!F14)</f>
        <v/>
      </c>
      <c r="S14" s="678">
        <f>ABS(INPUT!G14)</f>
        <v/>
      </c>
      <c r="T14" s="678">
        <f>ABS(INPUT!H14)</f>
        <v/>
      </c>
      <c r="U14" s="128" t="n"/>
      <c r="V14" s="128" t="n"/>
      <c r="W14" s="128" t="n"/>
      <c r="X14" s="128" t="n"/>
    </row>
    <row r="15" ht="15" customHeight="1" s="489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148" t="inlineStr">
        <is>
          <t>Total Revenue</t>
        </is>
      </c>
      <c r="N15" s="125" t="n"/>
      <c r="O15" s="125" t="n"/>
      <c r="P15" s="680">
        <f>INPUT!E9</f>
        <v/>
      </c>
      <c r="Q15" s="680">
        <f>INPUT!E9</f>
        <v/>
      </c>
      <c r="R15" s="680">
        <f>INPUT!F9</f>
        <v/>
      </c>
      <c r="S15" s="680">
        <f>INPUT!G9</f>
        <v/>
      </c>
      <c r="T15" s="680">
        <f>INPUT!H9</f>
        <v/>
      </c>
    </row>
    <row r="16" ht="15" customHeight="1" s="489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125" t="n"/>
      <c r="N16" s="125" t="n"/>
      <c r="O16" s="125" t="n"/>
      <c r="P16" s="677" t="n"/>
      <c r="Q16" s="677" t="n"/>
      <c r="R16" s="677" t="n"/>
      <c r="S16" s="677" t="n"/>
      <c r="T16" s="677" t="n"/>
    </row>
    <row r="17" ht="15" customHeight="1" s="489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148" t="inlineStr">
        <is>
          <t>EBITDA</t>
        </is>
      </c>
      <c r="N17" s="125" t="n"/>
      <c r="O17" s="125" t="n"/>
      <c r="P17" s="678">
        <f>INPUT!E30</f>
        <v/>
      </c>
      <c r="Q17" s="678">
        <f>INPUT!E30</f>
        <v/>
      </c>
      <c r="R17" s="678">
        <f>INPUT!F30</f>
        <v/>
      </c>
      <c r="S17" s="678">
        <f>INPUT!G30</f>
        <v/>
      </c>
      <c r="T17" s="678">
        <f>INPUT!H30</f>
        <v/>
      </c>
    </row>
    <row r="18" ht="15" customHeight="1" s="489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148" t="inlineStr">
        <is>
          <t>Cash from Ops (CFO)</t>
        </is>
      </c>
      <c r="N18" s="125" t="n"/>
      <c r="O18" s="125" t="n"/>
      <c r="P18" s="678">
        <f>INPUT!E75</f>
        <v/>
      </c>
      <c r="Q18" s="678">
        <f>INPUT!E75</f>
        <v/>
      </c>
      <c r="R18" s="678">
        <f>INPUT!F75</f>
        <v/>
      </c>
      <c r="S18" s="678">
        <f>INPUT!G75</f>
        <v/>
      </c>
      <c r="T18" s="678">
        <f>INPUT!H75</f>
        <v/>
      </c>
    </row>
    <row r="19" ht="15" customFormat="1" customHeight="1" s="128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148" t="inlineStr">
        <is>
          <t>Net Income</t>
        </is>
      </c>
      <c r="N19" s="125" t="n"/>
      <c r="O19" s="125" t="n"/>
      <c r="P19" s="678">
        <f>INPUT!E26</f>
        <v/>
      </c>
      <c r="Q19" s="678">
        <f>INPUT!E26</f>
        <v/>
      </c>
      <c r="R19" s="678">
        <f>INPUT!F26</f>
        <v/>
      </c>
      <c r="S19" s="678">
        <f>INPUT!G26</f>
        <v/>
      </c>
      <c r="T19" s="678">
        <f>INPUT!H26</f>
        <v/>
      </c>
    </row>
    <row r="20" ht="15" customFormat="1" customHeight="1" s="128">
      <c r="A20" s="82" t="n"/>
      <c r="B20" s="82" t="n"/>
      <c r="C20" s="82" t="n"/>
      <c r="D20" s="82" t="n"/>
      <c r="E20" s="82" t="n"/>
      <c r="F20" s="82" t="n"/>
      <c r="G20" s="82" t="n"/>
      <c r="H20" s="82" t="n"/>
    </row>
    <row r="21" ht="15" customFormat="1" customHeight="1" s="128">
      <c r="A21" s="82" t="n"/>
      <c r="B21" s="82" t="n"/>
      <c r="C21" s="82" t="n"/>
      <c r="D21" s="82" t="n"/>
      <c r="E21" s="82" t="n"/>
      <c r="F21" s="82" t="n"/>
      <c r="G21" s="82" t="n"/>
      <c r="H21" s="82" t="n"/>
    </row>
    <row r="22" ht="15" customFormat="1" customHeight="1" s="128">
      <c r="A22" s="82" t="n"/>
      <c r="B22" s="176" t="inlineStr">
        <is>
          <t>Stock Chart: Trailing 52-Weeks</t>
        </is>
      </c>
      <c r="C22" s="180" t="n"/>
      <c r="D22" s="180" t="n"/>
      <c r="E22" s="180" t="n"/>
      <c r="F22" s="180" t="n"/>
      <c r="G22" s="180" t="n"/>
      <c r="H22" s="82" t="n"/>
      <c r="I22" s="176" t="inlineStr">
        <is>
          <t>Valuation Summary: Football Field Chart</t>
        </is>
      </c>
      <c r="J22" s="180" t="n"/>
      <c r="K22" s="180" t="n"/>
      <c r="L22" s="180" t="n"/>
      <c r="M22" s="180" t="n"/>
      <c r="N22" s="180" t="n"/>
      <c r="P22" s="176" t="inlineStr">
        <is>
          <t>Other Financial Metrics ($ Millier)</t>
        </is>
      </c>
      <c r="Q22" s="180" t="n"/>
      <c r="R22" s="180" t="n"/>
      <c r="S22" s="180" t="n"/>
    </row>
    <row r="23" ht="15" customFormat="1" customHeight="1" s="128">
      <c r="A23" s="82" t="n"/>
      <c r="B23" s="147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</row>
    <row r="24" ht="15" customFormat="1" customHeight="1" s="128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</row>
    <row r="25" ht="15" customFormat="1" customHeight="1" s="128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</row>
    <row r="26" ht="21" customFormat="1" customHeight="1" s="128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</row>
    <row r="27" ht="15" customFormat="1" customHeight="1" s="128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</row>
    <row r="28" ht="15" customFormat="1" customHeight="1" s="125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</row>
    <row r="29" ht="15" customFormat="1" customHeight="1" s="125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</row>
    <row r="30" ht="15" customFormat="1" customHeight="1" s="125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</row>
    <row r="31" ht="15" customFormat="1" customHeight="1" s="125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</row>
    <row r="32" ht="15" customFormat="1" customHeight="1" s="125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</row>
    <row r="33" ht="15" customFormat="1" customHeight="1" s="125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</row>
    <row r="34" ht="15" customFormat="1" customHeight="1" s="125">
      <c r="B34" s="82" t="n"/>
      <c r="C34" s="82" t="n"/>
      <c r="D34" s="82" t="n"/>
      <c r="E34" s="82" t="n"/>
      <c r="F34" s="82" t="n"/>
      <c r="G34" s="82" t="n"/>
      <c r="H34" s="82" t="n"/>
      <c r="I34" s="82" t="n"/>
    </row>
    <row r="35" ht="15" customFormat="1" customHeight="1" s="125"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</row>
    <row r="36" ht="15" customFormat="1" customHeight="1" s="125"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</row>
    <row r="37" ht="15" customFormat="1" customHeight="1" s="125"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</row>
    <row r="38" ht="15" customFormat="1" customHeight="1" s="125"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</row>
    <row r="39" ht="15" customFormat="1" customHeight="1" s="125"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</row>
    <row r="40" ht="15" customFormat="1" customHeight="1" s="125">
      <c r="B40" s="82" t="n"/>
      <c r="C40" s="82" t="n"/>
      <c r="D40" s="82" t="n"/>
      <c r="E40" s="82" t="n"/>
      <c r="F40" s="82" t="n"/>
      <c r="G40" s="82" t="n"/>
      <c r="H40" s="82" t="n"/>
    </row>
    <row r="41" ht="15" customFormat="1" customHeight="1" s="125">
      <c r="B41" s="82" t="n"/>
      <c r="C41" s="82" t="n"/>
      <c r="D41" s="82" t="n"/>
      <c r="E41" s="82" t="n"/>
      <c r="F41" s="82" t="n"/>
      <c r="G41" s="82" t="n"/>
      <c r="H41" s="82" t="n"/>
    </row>
    <row r="42" ht="15" customFormat="1" customHeight="1" s="125">
      <c r="B42" s="176" t="inlineStr">
        <is>
          <t>Total Revenue ($M)</t>
        </is>
      </c>
      <c r="C42" s="180" t="n"/>
      <c r="D42" s="180" t="n"/>
      <c r="E42" s="180" t="n"/>
      <c r="F42" s="180" t="n"/>
      <c r="G42" s="180" t="n"/>
      <c r="H42" s="82" t="n"/>
    </row>
    <row r="43" ht="15" customFormat="1" customHeight="1" s="125">
      <c r="H43" s="82" t="n"/>
    </row>
    <row r="44" ht="15" customFormat="1" customHeight="1" s="125">
      <c r="H44" s="82" t="n"/>
      <c r="Q44" s="149" t="n"/>
    </row>
    <row r="45" ht="15" customFormat="1" customHeight="1" s="125">
      <c r="H45" s="82" t="n"/>
      <c r="AB45" s="130" t="n"/>
    </row>
    <row r="46" ht="15" customFormat="1" customHeight="1" s="125">
      <c r="H46" s="82" t="n"/>
      <c r="AB46" s="130" t="n"/>
    </row>
    <row r="47" ht="15" customFormat="1" customHeight="1" s="125">
      <c r="H47" s="82" t="n"/>
    </row>
    <row r="48" ht="15" customFormat="1" customHeight="1" s="125">
      <c r="H48" s="82" t="n"/>
    </row>
    <row r="49" ht="15" customFormat="1" customHeight="1" s="125">
      <c r="H49" s="82" t="n"/>
    </row>
    <row r="50" ht="15" customFormat="1" customHeight="1" s="125">
      <c r="H50" s="82" t="n"/>
    </row>
    <row r="51" ht="15" customFormat="1" customHeight="1" s="125">
      <c r="H51" s="82" t="n"/>
      <c r="Q51" s="126" t="n"/>
      <c r="R51" s="126" t="n"/>
      <c r="S51" s="126" t="n"/>
      <c r="T51" s="126" t="n"/>
      <c r="U51" s="126" t="n"/>
      <c r="V51" s="126" t="n"/>
      <c r="W51" s="126" t="n"/>
      <c r="X51" s="126" t="n"/>
    </row>
    <row r="52" ht="15" customFormat="1" customHeight="1" s="125">
      <c r="H52" s="82" t="n"/>
      <c r="Q52" s="126" t="n"/>
      <c r="R52" s="126" t="n"/>
      <c r="S52" s="126" t="n"/>
      <c r="T52" s="126" t="n"/>
      <c r="U52" s="126" t="n"/>
      <c r="V52" s="126" t="n"/>
      <c r="W52" s="126" t="n"/>
      <c r="X52" s="126" t="n"/>
    </row>
    <row r="53" ht="15" customFormat="1" customHeight="1" s="125">
      <c r="H53" s="82" t="n"/>
      <c r="Q53" s="126" t="n"/>
      <c r="R53" s="126" t="n"/>
      <c r="S53" s="126" t="n"/>
      <c r="T53" s="126" t="n"/>
      <c r="U53" s="126" t="n"/>
      <c r="V53" s="126" t="n"/>
      <c r="W53" s="126" t="n"/>
      <c r="X53" s="126" t="n"/>
    </row>
    <row r="54" ht="15" customFormat="1" customHeight="1" s="125">
      <c r="H54" s="82" t="n"/>
      <c r="Q54" s="126" t="n"/>
      <c r="R54" s="126" t="n"/>
      <c r="S54" s="126" t="n"/>
      <c r="T54" s="126" t="n"/>
      <c r="U54" s="126" t="n"/>
      <c r="V54" s="126" t="n"/>
      <c r="W54" s="126" t="n"/>
      <c r="X54" s="126" t="n"/>
    </row>
    <row r="55" ht="15" customFormat="1" customHeight="1" s="125">
      <c r="H55" s="82" t="n"/>
      <c r="Q55" s="126" t="n"/>
      <c r="R55" s="126" t="n"/>
      <c r="S55" s="126" t="n"/>
      <c r="T55" s="126" t="n"/>
      <c r="U55" s="126" t="n"/>
      <c r="V55" s="126" t="n"/>
      <c r="W55" s="126" t="n"/>
      <c r="X55" s="126" t="n"/>
    </row>
    <row r="56" ht="15" customFormat="1" customHeight="1" s="125">
      <c r="H56" s="82" t="n"/>
      <c r="Q56" s="126" t="n"/>
      <c r="R56" s="126" t="n"/>
      <c r="S56" s="126" t="n"/>
      <c r="T56" s="126" t="n"/>
      <c r="U56" s="126" t="n"/>
      <c r="V56" s="126" t="n"/>
      <c r="W56" s="126" t="n"/>
      <c r="X56" s="126" t="n"/>
    </row>
    <row r="57" ht="15" customFormat="1" customHeight="1" s="125">
      <c r="A57" s="126" t="n"/>
      <c r="Q57" s="159" t="n"/>
      <c r="R57" s="159" t="n"/>
      <c r="S57" s="128" t="n"/>
      <c r="T57" s="126" t="n"/>
      <c r="U57" s="126" t="n"/>
      <c r="V57" s="126" t="n"/>
      <c r="W57" s="126" t="n"/>
      <c r="X57" s="126" t="n"/>
    </row>
    <row r="58" ht="15" customFormat="1" customHeight="1" s="125">
      <c r="A58" s="126" t="n"/>
      <c r="Q58" s="159" t="n"/>
      <c r="R58" s="159" t="n"/>
      <c r="S58" s="128" t="n"/>
      <c r="T58" s="126" t="n"/>
      <c r="U58" s="126" t="n"/>
      <c r="V58" s="126" t="n"/>
      <c r="W58" s="126" t="n"/>
      <c r="X58" s="126" t="n"/>
    </row>
    <row r="59" ht="15" customFormat="1" customHeight="1" s="125">
      <c r="A59" s="126" t="n"/>
      <c r="Q59" s="128" t="n"/>
      <c r="R59" s="128" t="n"/>
      <c r="S59" s="128" t="n"/>
      <c r="T59" s="126" t="n"/>
      <c r="U59" s="126" t="n"/>
      <c r="V59" s="126" t="n"/>
      <c r="W59" s="126" t="n"/>
      <c r="X59" s="126" t="n"/>
    </row>
    <row r="60" ht="15" customFormat="1" customHeight="1" s="125">
      <c r="A60" s="126" t="n"/>
      <c r="Q60" s="128" t="n"/>
      <c r="R60" s="128" t="n"/>
      <c r="S60" s="128" t="n"/>
      <c r="T60" s="126" t="n"/>
      <c r="U60" s="126" t="n"/>
      <c r="V60" s="126" t="n"/>
      <c r="W60" s="126" t="n"/>
      <c r="X60" s="126" t="n"/>
    </row>
    <row r="61" ht="15" customFormat="1" customHeight="1" s="125">
      <c r="A61" s="126" t="n"/>
      <c r="Q61" s="128" t="n"/>
      <c r="R61" s="128" t="n"/>
      <c r="S61" s="128" t="n"/>
      <c r="T61" s="126" t="n"/>
      <c r="U61" s="126" t="n"/>
      <c r="V61" s="126" t="n"/>
      <c r="W61" s="126" t="n"/>
      <c r="X61" s="126" t="n"/>
    </row>
    <row r="62" ht="15" customHeight="1" s="489"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Q62" s="128" t="n"/>
      <c r="R62" s="128" t="n"/>
      <c r="S62" s="128" t="n"/>
    </row>
    <row r="63" ht="15" customHeight="1" s="489">
      <c r="B63" s="125" t="n"/>
      <c r="C63" s="125" t="n"/>
      <c r="D63" s="125" t="n"/>
      <c r="E63" s="125" t="n"/>
      <c r="F63" s="125" t="n"/>
      <c r="G63" s="125" t="n"/>
      <c r="H63" s="125" t="n"/>
      <c r="Q63" s="128" t="n"/>
      <c r="R63" s="128" t="n"/>
      <c r="S63" s="128" t="n"/>
    </row>
    <row r="64" ht="15" customHeight="1" s="489">
      <c r="B64" s="125" t="n"/>
      <c r="C64" s="125" t="n"/>
      <c r="D64" s="125" t="n"/>
      <c r="E64" s="125" t="n"/>
      <c r="F64" s="125" t="n"/>
      <c r="G64" s="125" t="n"/>
      <c r="H64" s="125" t="n"/>
      <c r="Q64" s="128" t="n"/>
      <c r="R64" s="128" t="n"/>
      <c r="S64" s="128" t="n"/>
    </row>
    <row r="65" ht="15" customHeight="1" s="489">
      <c r="H65" s="125" t="n"/>
      <c r="Q65" s="128" t="n"/>
      <c r="R65" s="128" t="n"/>
      <c r="S65" s="128" t="n"/>
    </row>
    <row r="66" ht="15" customHeight="1" s="489">
      <c r="H66" s="125" t="n"/>
      <c r="Q66" s="125" t="n"/>
      <c r="R66" s="125" t="n"/>
      <c r="S66" s="125" t="n"/>
    </row>
    <row r="67" ht="15" customHeight="1" s="489">
      <c r="H67" s="125" t="n"/>
      <c r="O67" s="126" t="n"/>
      <c r="Q67" s="125" t="n"/>
      <c r="R67" s="125" t="n"/>
      <c r="S67" s="125" t="n"/>
    </row>
    <row r="68" ht="15" customHeight="1" s="489">
      <c r="H68" s="125" t="n"/>
      <c r="I68" s="157" t="n"/>
      <c r="J68" s="157" t="n"/>
      <c r="K68" s="157" t="n"/>
      <c r="M68" s="159" t="n"/>
      <c r="N68" s="159" t="n"/>
      <c r="O68" s="159" t="n"/>
      <c r="P68" s="159" t="n"/>
      <c r="Q68" s="125" t="n"/>
      <c r="R68" s="125" t="n"/>
      <c r="S68" s="125" t="n"/>
    </row>
    <row r="69" ht="15" customHeight="1" s="489">
      <c r="H69" s="125" t="n"/>
      <c r="I69" s="159" t="n"/>
      <c r="J69" s="159" t="n"/>
      <c r="K69" s="128" t="n"/>
      <c r="L69" s="160" t="n"/>
      <c r="M69" s="159" t="n"/>
      <c r="O69" s="159" t="n"/>
      <c r="P69" s="159" t="n"/>
      <c r="Q69" s="125" t="n"/>
      <c r="R69" s="125" t="n"/>
      <c r="S69" s="125" t="n"/>
    </row>
    <row r="70" ht="15" customHeight="1" s="489">
      <c r="C70" s="157" t="n"/>
      <c r="D70" s="157" t="n"/>
      <c r="E70" s="157" t="n"/>
      <c r="F70" s="157" t="n"/>
      <c r="G70" s="157" t="n"/>
      <c r="H70" s="125" t="n"/>
      <c r="I70" s="157" t="n"/>
      <c r="J70" s="157" t="n"/>
      <c r="K70" s="128" t="n"/>
      <c r="L70" s="160" t="n"/>
      <c r="M70" s="128" t="n"/>
      <c r="N70" s="128" t="n"/>
      <c r="O70" s="128" t="n"/>
      <c r="P70" s="128" t="n"/>
      <c r="Q70" s="125" t="n"/>
      <c r="R70" s="125" t="n"/>
      <c r="S70" s="125" t="n"/>
    </row>
    <row r="71" ht="15" customHeight="1" s="489">
      <c r="B71" s="128" t="n"/>
      <c r="C71" s="158" t="n"/>
      <c r="D71" s="159" t="n"/>
      <c r="E71" s="159" t="n"/>
      <c r="F71" s="159" t="n"/>
      <c r="G71" s="159" t="n"/>
      <c r="H71" s="125" t="n"/>
      <c r="I71" s="157" t="n"/>
      <c r="J71" s="128" t="n"/>
      <c r="K71" s="128" t="n"/>
      <c r="L71" s="128" t="n"/>
      <c r="M71" s="128" t="n"/>
      <c r="N71" s="128" t="n"/>
      <c r="O71" s="128" t="n"/>
      <c r="P71" s="128" t="n"/>
      <c r="Q71" s="125" t="n"/>
      <c r="R71" s="125" t="n"/>
      <c r="S71" s="125" t="n"/>
    </row>
    <row r="72" ht="15" customHeight="1" s="489">
      <c r="B72" s="128" t="n"/>
      <c r="C72" s="157" t="n"/>
      <c r="D72" s="157" t="n"/>
      <c r="E72" s="157" t="n"/>
      <c r="F72" s="157" t="n"/>
      <c r="G72" s="157" t="n"/>
      <c r="H72" s="125" t="n"/>
      <c r="I72" s="157" t="n"/>
      <c r="J72" s="128" t="n"/>
      <c r="K72" s="128" t="n"/>
      <c r="L72" s="128" t="n"/>
      <c r="M72" s="128" t="n"/>
      <c r="N72" s="128" t="n"/>
      <c r="O72" s="128" t="n"/>
      <c r="P72" s="128" t="n"/>
      <c r="Q72" s="125" t="n"/>
      <c r="R72" s="125" t="n"/>
      <c r="S72" s="125" t="n"/>
    </row>
    <row r="73" ht="15" customHeight="1" s="489">
      <c r="B73" s="128" t="n"/>
      <c r="C73" s="157" t="n"/>
      <c r="D73" s="157" t="n"/>
      <c r="E73" s="157" t="n"/>
      <c r="F73" s="157" t="n"/>
      <c r="G73" s="157" t="n"/>
      <c r="H73" s="125" t="n"/>
      <c r="I73" s="157" t="n"/>
      <c r="J73" s="128" t="n"/>
      <c r="K73" s="128" t="n"/>
      <c r="L73" s="128" t="n"/>
      <c r="M73" s="128" t="n"/>
      <c r="N73" s="128" t="n"/>
      <c r="O73" s="128" t="n"/>
      <c r="P73" s="128" t="n"/>
      <c r="Q73" s="125" t="n"/>
      <c r="R73" s="125" t="n"/>
      <c r="S73" s="125" t="n"/>
    </row>
    <row r="74" ht="15" customHeight="1" s="489">
      <c r="B74" s="128" t="n"/>
      <c r="C74" s="157" t="n"/>
      <c r="D74" s="157" t="n"/>
      <c r="E74" s="157" t="n"/>
      <c r="F74" s="157" t="n"/>
      <c r="G74" s="157" t="n"/>
      <c r="H74" s="125" t="n"/>
      <c r="I74" s="157" t="n"/>
      <c r="J74" s="128" t="n"/>
      <c r="K74" s="128" t="n"/>
      <c r="L74" s="128" t="n"/>
      <c r="M74" s="128" t="n"/>
      <c r="N74" s="128" t="n"/>
      <c r="O74" s="128" t="n"/>
      <c r="P74" s="128" t="n"/>
      <c r="Q74" s="125" t="n"/>
      <c r="R74" s="125" t="n"/>
      <c r="S74" s="125" t="n"/>
    </row>
    <row r="75" ht="15" customHeight="1" s="489">
      <c r="B75" s="125" t="n"/>
      <c r="C75" s="157" t="n"/>
      <c r="D75" s="157" t="n"/>
      <c r="E75" s="157" t="n"/>
      <c r="F75" s="157" t="n"/>
      <c r="G75" s="157" t="n"/>
      <c r="H75" s="125" t="n"/>
      <c r="I75" s="157" t="n"/>
      <c r="J75" s="128" t="n"/>
      <c r="K75" s="128" t="n"/>
      <c r="L75" s="128" t="n"/>
      <c r="M75" s="128" t="n"/>
      <c r="N75" s="128" t="n"/>
      <c r="O75" s="128" t="n"/>
      <c r="P75" s="128" t="n"/>
      <c r="Q75" s="125" t="n"/>
      <c r="R75" s="125" t="n"/>
      <c r="S75" s="125" t="n"/>
    </row>
    <row r="76" ht="15" customHeight="1" s="489">
      <c r="B76" s="128" t="n"/>
      <c r="C76" s="157" t="n"/>
      <c r="D76" s="157" t="n"/>
      <c r="E76" s="157" t="n"/>
      <c r="F76" s="157" t="n"/>
      <c r="G76" s="157" t="n"/>
      <c r="H76" s="125" t="n"/>
      <c r="I76" s="163" t="n"/>
      <c r="J76" s="128" t="n"/>
      <c r="K76" s="128" t="n"/>
      <c r="L76" s="128" t="n"/>
      <c r="M76" s="128" t="n"/>
      <c r="N76" s="128" t="n"/>
      <c r="O76" s="128" t="n"/>
      <c r="P76" s="128" t="n"/>
      <c r="Q76" s="681" t="n"/>
      <c r="R76" s="682" t="n"/>
      <c r="S76" s="125" t="n"/>
    </row>
    <row r="77" ht="15" customHeight="1" s="489">
      <c r="B77" s="128" t="n"/>
      <c r="C77" s="157" t="n"/>
      <c r="D77" s="157" t="n"/>
      <c r="E77" s="157" t="n"/>
      <c r="F77" s="157" t="n"/>
      <c r="G77" s="157" t="n"/>
      <c r="H77" s="125" t="n"/>
      <c r="I77" s="681" t="n"/>
      <c r="J77" s="128" t="n"/>
      <c r="K77" s="128" t="n"/>
      <c r="L77" s="128" t="n"/>
      <c r="M77" s="125" t="n"/>
      <c r="N77" s="125" t="n"/>
      <c r="O77" s="125" t="n"/>
      <c r="P77" s="125" t="n"/>
      <c r="Q77" s="168" t="n"/>
      <c r="R77" s="168" t="n"/>
      <c r="S77" s="125" t="n"/>
    </row>
    <row r="78" ht="15" customHeight="1" s="489">
      <c r="B78" s="128" t="n"/>
      <c r="C78" s="157" t="n"/>
      <c r="D78" s="157" t="n"/>
      <c r="E78" s="157" t="n"/>
      <c r="F78" s="157" t="n"/>
      <c r="G78" s="157" t="n"/>
      <c r="H78" s="125" t="n"/>
      <c r="I78" s="681" t="n"/>
      <c r="J78" s="125" t="n"/>
      <c r="K78" s="125" t="n"/>
      <c r="L78" s="125" t="n"/>
      <c r="M78" s="125" t="n"/>
      <c r="N78" s="125" t="n"/>
      <c r="O78" s="125" t="n"/>
      <c r="P78" s="125" t="n"/>
      <c r="Q78" s="170" t="n"/>
      <c r="R78" s="170" t="n"/>
      <c r="S78" s="169" t="n"/>
      <c r="T78" s="169" t="n"/>
      <c r="U78" s="169" t="n"/>
      <c r="V78" s="169" t="n"/>
      <c r="W78" s="169" t="n"/>
      <c r="X78" s="169" t="n"/>
    </row>
    <row r="79" ht="15" customHeight="1" s="489">
      <c r="B79" s="128" t="n"/>
      <c r="C79" s="157" t="n"/>
      <c r="D79" s="157" t="n"/>
      <c r="E79" s="157" t="n"/>
      <c r="F79" s="157" t="n"/>
      <c r="G79" s="157" t="n"/>
      <c r="I79" s="681" t="n"/>
      <c r="J79" s="125" t="n"/>
      <c r="K79" s="125" t="n"/>
      <c r="L79" s="125" t="n"/>
      <c r="M79" s="125" t="n"/>
      <c r="N79" s="125" t="n"/>
      <c r="O79" s="125" t="n"/>
      <c r="P79" s="125" t="n"/>
      <c r="Q79" s="683" t="n"/>
      <c r="R79" s="169" t="n"/>
      <c r="S79" s="169" t="n"/>
      <c r="T79" s="169" t="n"/>
      <c r="U79" s="169" t="n"/>
      <c r="V79" s="169" t="n"/>
      <c r="W79" s="169" t="n"/>
      <c r="X79" s="169" t="n"/>
    </row>
    <row r="80" ht="15" customHeight="1" s="489">
      <c r="B80" s="125" t="n"/>
      <c r="C80" s="157" t="n"/>
      <c r="D80" s="157" t="n"/>
      <c r="E80" s="157" t="n"/>
      <c r="F80" s="157" t="n"/>
      <c r="G80" s="157" t="n"/>
      <c r="I80" s="681" t="n"/>
      <c r="J80" s="125" t="n"/>
      <c r="K80" s="125" t="n"/>
      <c r="L80" s="125" t="n"/>
      <c r="M80" s="125" t="n"/>
      <c r="N80" s="125" t="n"/>
      <c r="O80" s="125" t="n"/>
      <c r="P80" s="125" t="n"/>
      <c r="Q80" s="683" t="n"/>
      <c r="R80" s="169" t="n"/>
      <c r="S80" s="169" t="n"/>
      <c r="T80" s="169" t="n"/>
      <c r="U80" s="169" t="n"/>
      <c r="V80" s="169" t="n"/>
      <c r="W80" s="169" t="n"/>
      <c r="X80" s="169" t="n"/>
    </row>
    <row r="81" ht="15" customHeight="1" s="489">
      <c r="B81" s="125" t="n"/>
      <c r="C81" s="157" t="n"/>
      <c r="D81" s="157" t="n"/>
      <c r="E81" s="157" t="n"/>
      <c r="F81" s="157" t="n"/>
      <c r="G81" s="157" t="n"/>
      <c r="I81" s="681" t="n"/>
      <c r="J81" s="125" t="n"/>
      <c r="K81" s="125" t="n"/>
      <c r="L81" s="125" t="n"/>
      <c r="M81" s="125" t="n"/>
      <c r="N81" s="125" t="n"/>
      <c r="O81" s="125" t="n"/>
      <c r="P81" s="125" t="n"/>
      <c r="Q81" s="683" t="n"/>
      <c r="R81" s="169" t="n"/>
      <c r="S81" s="169" t="n"/>
      <c r="T81" s="169" t="n"/>
      <c r="U81" s="169" t="n"/>
      <c r="V81" s="169" t="n"/>
      <c r="W81" s="169" t="n"/>
      <c r="X81" s="169" t="n"/>
    </row>
    <row r="82" ht="15" customHeight="1" s="489">
      <c r="B82" s="125" t="n"/>
      <c r="C82" s="157" t="n"/>
      <c r="D82" s="157" t="n"/>
      <c r="E82" s="157" t="n"/>
      <c r="F82" s="157" t="n"/>
      <c r="G82" s="157" t="n"/>
      <c r="I82" s="157" t="n"/>
      <c r="J82" s="125" t="n"/>
      <c r="K82" s="125" t="n"/>
      <c r="L82" s="125" t="n"/>
      <c r="M82" s="125" t="n"/>
      <c r="N82" s="125" t="n"/>
      <c r="O82" s="125" t="n"/>
      <c r="P82" s="125" t="n"/>
      <c r="Q82" s="683" t="n"/>
      <c r="R82" s="169" t="n"/>
      <c r="S82" s="169" t="n"/>
      <c r="T82" s="169" t="n"/>
      <c r="U82" s="169" t="n"/>
      <c r="V82" s="169" t="n"/>
      <c r="W82" s="169" t="n"/>
      <c r="X82" s="169" t="n"/>
    </row>
    <row r="83" ht="15" customHeight="1" s="489">
      <c r="B83" s="125" t="n"/>
      <c r="C83" s="157" t="n"/>
      <c r="D83" s="157" t="n"/>
      <c r="E83" s="157" t="n"/>
      <c r="F83" s="157" t="n"/>
      <c r="G83" s="157" t="n"/>
      <c r="I83" s="157" t="n"/>
      <c r="J83" s="157" t="n"/>
      <c r="K83" s="157" t="n"/>
      <c r="L83" s="125" t="n"/>
      <c r="M83" s="125" t="n"/>
      <c r="N83" s="125" t="n"/>
      <c r="O83" s="125" t="n"/>
      <c r="P83" s="125" t="n"/>
      <c r="Q83" s="394" t="n"/>
      <c r="R83" s="394" t="n"/>
      <c r="S83" s="394" t="n"/>
      <c r="T83" s="394" t="n"/>
      <c r="U83" s="394" t="n"/>
      <c r="V83" s="394" t="n"/>
      <c r="W83" s="394" t="n"/>
      <c r="X83" s="394" t="n"/>
    </row>
    <row r="84" ht="15" customHeight="1" s="489">
      <c r="A84" s="169" t="n"/>
      <c r="B84" s="125" t="n"/>
      <c r="C84" s="157" t="n"/>
      <c r="D84" s="157" t="n"/>
      <c r="E84" s="157" t="n"/>
      <c r="F84" s="157" t="n"/>
      <c r="G84" s="681" t="n"/>
      <c r="H84" s="157" t="n"/>
      <c r="I84" s="157" t="n"/>
      <c r="J84" s="157" t="n"/>
      <c r="K84" s="157" t="n"/>
      <c r="L84" s="125" t="n"/>
      <c r="M84" s="125" t="n"/>
      <c r="N84" s="125" t="n"/>
      <c r="O84" s="125" t="n"/>
      <c r="P84" s="125" t="n"/>
      <c r="Q84" s="394" t="n"/>
      <c r="R84" s="394" t="n"/>
      <c r="S84" s="394" t="n"/>
      <c r="T84" s="394" t="n"/>
      <c r="U84" s="394" t="n"/>
      <c r="V84" s="394" t="inlineStr">
        <is>
          <t>Low</t>
        </is>
      </c>
      <c r="W84" s="394" t="inlineStr">
        <is>
          <t>Delta</t>
        </is>
      </c>
      <c r="X84" s="394" t="inlineStr">
        <is>
          <t>High</t>
        </is>
      </c>
    </row>
    <row r="85" ht="15" customHeight="1" s="489">
      <c r="A85" s="169" t="n"/>
      <c r="B85" s="125" t="n"/>
      <c r="C85" s="157" t="n"/>
      <c r="D85" s="157" t="n"/>
      <c r="E85" s="157" t="n"/>
      <c r="F85" s="157" t="n"/>
      <c r="G85" s="157" t="n"/>
      <c r="H85" s="159" t="n"/>
      <c r="I85" s="157" t="n"/>
      <c r="J85" s="157" t="n"/>
      <c r="K85" s="157" t="n"/>
      <c r="L85" s="125" t="n"/>
      <c r="M85" s="125" t="n"/>
      <c r="N85" s="125" t="n"/>
      <c r="O85" s="125" t="n"/>
      <c r="P85" s="125" t="n"/>
      <c r="Q85" s="394" t="n"/>
      <c r="R85" s="394" t="n"/>
      <c r="S85" s="394" t="inlineStr">
        <is>
          <t>52-Week Trading Range</t>
        </is>
      </c>
      <c r="T85" s="394" t="n"/>
      <c r="U85" s="394" t="n"/>
      <c r="V85" s="394">
        <f>I6</f>
        <v/>
      </c>
      <c r="W85" s="394">
        <f>J6</f>
        <v/>
      </c>
      <c r="X85" s="394">
        <f>K6</f>
        <v/>
      </c>
    </row>
    <row r="86" ht="15" customHeight="1" s="489">
      <c r="A86" s="169" t="n"/>
      <c r="B86" s="125" t="n"/>
      <c r="C86" s="157" t="n"/>
      <c r="D86" s="157" t="n"/>
      <c r="E86" s="157" t="n"/>
      <c r="F86" s="157" t="n"/>
      <c r="G86" s="157" t="n"/>
      <c r="H86" s="161" t="n"/>
      <c r="I86" s="157" t="n"/>
      <c r="J86" s="157" t="n"/>
      <c r="K86" s="157" t="n"/>
      <c r="L86" s="125" t="n"/>
      <c r="M86" s="125" t="n"/>
      <c r="N86" s="125" t="n"/>
      <c r="O86" s="125" t="n"/>
      <c r="P86" s="125" t="n"/>
      <c r="Q86" s="394" t="n"/>
      <c r="R86" s="394" t="n"/>
      <c r="S86" s="394" t="inlineStr">
        <is>
          <t>Consensus Research</t>
        </is>
      </c>
      <c r="T86" s="394" t="n"/>
      <c r="U86" s="394" t="n"/>
      <c r="V86" s="394">
        <f>I7</f>
        <v/>
      </c>
      <c r="W86" s="394">
        <f>J7</f>
        <v/>
      </c>
      <c r="X86" s="394">
        <f>K7</f>
        <v/>
      </c>
    </row>
    <row r="87" ht="15" customHeight="1" s="489">
      <c r="A87" s="169" t="n"/>
      <c r="B87" s="125" t="n"/>
      <c r="C87" s="157" t="n"/>
      <c r="D87" s="157" t="n"/>
      <c r="E87" s="157" t="n"/>
      <c r="F87" s="157" t="n"/>
      <c r="G87" s="157" t="n"/>
      <c r="H87" s="684" t="n"/>
      <c r="I87" s="125" t="n"/>
      <c r="J87" s="125" t="n"/>
      <c r="K87" s="125" t="n"/>
      <c r="L87" s="125" t="n"/>
      <c r="M87" s="157" t="n"/>
      <c r="N87" s="157" t="n"/>
      <c r="O87" s="157" t="n"/>
      <c r="P87" s="157" t="n"/>
      <c r="Q87" s="394" t="n"/>
      <c r="R87" s="394" t="n"/>
      <c r="S87" s="394" t="inlineStr">
        <is>
          <t>Precedent Trans.</t>
        </is>
      </c>
      <c r="T87" s="394" t="n"/>
      <c r="U87" s="394" t="n"/>
      <c r="V87" s="394">
        <f>I8</f>
        <v/>
      </c>
      <c r="W87" s="394">
        <f>J8</f>
        <v/>
      </c>
      <c r="X87" s="394">
        <f>K8</f>
        <v/>
      </c>
    </row>
    <row r="88" ht="15" customHeight="1" s="489">
      <c r="A88" s="169" t="n"/>
      <c r="B88" s="125" t="n"/>
      <c r="C88" s="157" t="n"/>
      <c r="D88" s="157" t="n"/>
      <c r="E88" s="157" t="n"/>
      <c r="F88" s="157" t="n"/>
      <c r="G88" s="157" t="n"/>
      <c r="H88" s="684" t="n"/>
      <c r="I88" s="157" t="n"/>
      <c r="J88" s="157" t="n"/>
      <c r="K88" s="157" t="n"/>
      <c r="L88" s="157" t="n"/>
      <c r="M88" s="167" t="n"/>
      <c r="N88" s="167" t="n"/>
      <c r="O88" s="168" t="n"/>
      <c r="P88" s="168" t="n"/>
      <c r="Q88" s="394" t="n"/>
      <c r="R88" s="394" t="n"/>
      <c r="S88" s="394" t="inlineStr">
        <is>
          <t>Sum-of-the-Parts</t>
        </is>
      </c>
      <c r="T88" s="394" t="n"/>
      <c r="U88" s="394" t="n"/>
      <c r="V88" s="394">
        <f>I9</f>
        <v/>
      </c>
      <c r="W88" s="394">
        <f>J9</f>
        <v/>
      </c>
      <c r="X88" s="394">
        <f>K9</f>
        <v/>
      </c>
    </row>
    <row r="89" ht="15" customHeight="1" s="489">
      <c r="A89" s="394" t="n"/>
      <c r="B89" s="125" t="n"/>
      <c r="C89" s="125" t="n"/>
      <c r="D89" s="125" t="n"/>
      <c r="E89" s="125" t="n"/>
      <c r="F89" s="125" t="n"/>
      <c r="G89" s="125" t="n"/>
      <c r="H89" s="684" t="n"/>
      <c r="I89" s="168" t="n"/>
      <c r="J89" s="168" t="n"/>
      <c r="K89" s="157" t="n"/>
      <c r="L89" s="166" t="n"/>
      <c r="M89" s="170" t="n"/>
      <c r="N89" s="170" t="n"/>
      <c r="O89" s="170" t="n"/>
      <c r="P89" s="170" t="n"/>
      <c r="Q89" s="394" t="n"/>
      <c r="R89" s="394" t="n"/>
      <c r="S89" s="394" t="inlineStr">
        <is>
          <t>Discounted Cash Flow</t>
        </is>
      </c>
      <c r="T89" s="394" t="n"/>
      <c r="U89" s="394" t="n"/>
      <c r="V89" s="394">
        <f>I10</f>
        <v/>
      </c>
      <c r="W89" s="394">
        <f>J10</f>
        <v/>
      </c>
      <c r="X89" s="394">
        <f>K10</f>
        <v/>
      </c>
      <c r="Y89" s="169" t="n"/>
      <c r="Z89" s="169" t="n"/>
      <c r="AA89" s="169" t="n"/>
      <c r="AB89" s="169" t="n"/>
      <c r="AC89" s="169" t="n"/>
    </row>
    <row r="90" ht="15" customHeight="1" s="489">
      <c r="A90" s="394" t="n"/>
      <c r="B90" s="125" t="n"/>
      <c r="C90" s="157" t="n"/>
      <c r="D90" s="157" t="n"/>
      <c r="E90" s="157" t="n"/>
      <c r="F90" s="157" t="n"/>
      <c r="G90" s="157" t="n"/>
      <c r="H90" s="162" t="n"/>
      <c r="I90" s="170" t="n"/>
      <c r="J90" s="170" t="n"/>
      <c r="K90" s="169" t="n"/>
      <c r="L90" s="170" t="n"/>
      <c r="M90" s="170" t="n"/>
      <c r="N90" s="170" t="n"/>
      <c r="O90" s="170" t="n"/>
      <c r="P90" s="170" t="n"/>
      <c r="Q90" s="394" t="n"/>
      <c r="R90" s="394" t="n"/>
      <c r="S90" s="394" t="n"/>
      <c r="T90" s="394" t="n"/>
      <c r="U90" s="394" t="n"/>
      <c r="V90" s="394" t="n"/>
      <c r="W90" s="394" t="n"/>
      <c r="X90" s="394" t="n"/>
      <c r="Y90" s="169" t="n"/>
      <c r="Z90" s="169" t="n"/>
      <c r="AA90" s="169" t="n"/>
      <c r="AB90" s="169" t="n"/>
      <c r="AC90" s="169" t="n"/>
    </row>
    <row r="91" ht="15" customHeight="1" s="489">
      <c r="A91" s="394" t="n"/>
      <c r="B91" s="125" t="n"/>
      <c r="C91" s="166" t="n"/>
      <c r="D91" s="167" t="n"/>
      <c r="E91" s="167" t="n"/>
      <c r="F91" s="168" t="n"/>
      <c r="G91" s="168" t="n"/>
      <c r="H91" s="157" t="n"/>
      <c r="I91" s="169" t="n"/>
      <c r="J91" s="169" t="n"/>
      <c r="K91" s="169" t="n"/>
      <c r="L91" s="170" t="n"/>
      <c r="M91" s="170" t="n"/>
      <c r="N91" s="170" t="n"/>
      <c r="O91" s="170" t="n"/>
      <c r="P91" s="170" t="n"/>
      <c r="Q91" s="394" t="n"/>
      <c r="R91" s="394" t="n"/>
      <c r="S91" s="394" t="n"/>
      <c r="T91" s="394" t="n"/>
      <c r="U91" s="394" t="n"/>
      <c r="V91" s="394" t="n"/>
      <c r="W91" s="394" t="n"/>
      <c r="X91" s="394" t="n"/>
      <c r="Y91" s="169" t="n"/>
      <c r="Z91" s="169" t="n"/>
      <c r="AA91" s="169" t="n"/>
      <c r="AB91" s="169" t="n"/>
      <c r="AC91" s="169" t="n"/>
    </row>
    <row r="92" ht="15" customHeight="1" s="489">
      <c r="A92" s="394" t="n"/>
      <c r="B92" s="169" t="n"/>
      <c r="C92" s="170" t="n"/>
      <c r="D92" s="170" t="n"/>
      <c r="E92" s="170" t="n"/>
      <c r="F92" s="170" t="n"/>
      <c r="G92" s="170" t="n"/>
      <c r="H92" s="157" t="n"/>
      <c r="I92" s="169" t="n"/>
      <c r="J92" s="169" t="n"/>
      <c r="K92" s="169" t="n"/>
      <c r="L92" s="170" t="n"/>
      <c r="M92" s="170" t="n"/>
      <c r="N92" s="170" t="n"/>
      <c r="O92" s="170" t="n"/>
      <c r="P92" s="170" t="n"/>
      <c r="Q92" s="394">
        <f>K104</f>
        <v/>
      </c>
      <c r="R92" s="394">
        <f>L104</f>
        <v/>
      </c>
      <c r="S92" s="394">
        <f>M103</f>
        <v/>
      </c>
      <c r="T92" s="394">
        <f>N103</f>
        <v/>
      </c>
      <c r="U92" s="394" t="n"/>
      <c r="V92" s="394" t="n"/>
      <c r="W92" s="394" t="n"/>
      <c r="X92" s="394" t="n"/>
      <c r="Y92" s="169" t="n"/>
      <c r="Z92" s="169" t="n"/>
      <c r="AA92" s="169" t="n"/>
      <c r="AB92" s="169" t="n"/>
      <c r="AC92" s="169" t="n"/>
    </row>
    <row r="93" ht="15" customHeight="1" s="489">
      <c r="A93" s="394" t="n"/>
      <c r="B93" s="169" t="n"/>
      <c r="C93" s="169" t="n"/>
      <c r="D93" s="169" t="n"/>
      <c r="E93" s="169" t="n"/>
      <c r="F93" s="169" t="n"/>
      <c r="G93" s="169" t="n"/>
      <c r="H93" s="157" t="n"/>
      <c r="I93" s="169" t="n"/>
      <c r="J93" s="169" t="n"/>
      <c r="K93" s="169" t="n"/>
      <c r="L93" s="170" t="n"/>
      <c r="M93" s="170" t="n"/>
      <c r="N93" s="170" t="n"/>
      <c r="O93" s="170" t="n"/>
      <c r="P93" s="170" t="n"/>
      <c r="Q93" s="394">
        <f>IF(INPUT!E9="",NA(),INPUT!E30/1000)</f>
        <v/>
      </c>
      <c r="R93" s="394">
        <f>IF(INPUT!F9="",NA(),INPUT!F30/1000)</f>
        <v/>
      </c>
      <c r="S93" s="394">
        <f>IF(INPUT!G9="",NA(),INPUT!G30/1000)</f>
        <v/>
      </c>
      <c r="T93" s="394">
        <f>IF(INPUT!H9="",NA(),INPUT!H30/1000)</f>
        <v/>
      </c>
      <c r="U93" s="394" t="n"/>
      <c r="V93" s="394" t="n"/>
      <c r="W93" s="394" t="n"/>
      <c r="X93" s="394" t="n"/>
      <c r="Y93" s="169" t="n"/>
      <c r="Z93" s="169" t="n"/>
      <c r="AA93" s="169" t="n"/>
      <c r="AB93" s="169" t="n"/>
      <c r="AC93" s="169" t="n"/>
    </row>
    <row r="94" ht="15" customFormat="1" customHeight="1" s="395">
      <c r="A94" s="394" t="n"/>
      <c r="B94" s="169" t="n"/>
      <c r="C94" s="169" t="n"/>
      <c r="D94" s="169" t="n"/>
      <c r="E94" s="169" t="n"/>
      <c r="F94" s="169" t="n"/>
      <c r="G94" s="169" t="n"/>
      <c r="H94" s="157" t="n"/>
      <c r="I94" s="169" t="n"/>
      <c r="J94" s="169" t="n"/>
      <c r="K94" s="169" t="n"/>
      <c r="L94" s="170" t="n"/>
      <c r="M94" s="394" t="n"/>
      <c r="N94" s="394" t="n"/>
      <c r="O94" s="394" t="n"/>
      <c r="P94" s="394" t="n"/>
      <c r="Q94" s="394">
        <f>IF(INPUT!E9="",NA(),INPUT!E75/1000)</f>
        <v/>
      </c>
      <c r="R94" s="394">
        <f>IF(INPUT!F9="",NA(),INPUT!F75/1000)</f>
        <v/>
      </c>
      <c r="S94" s="394">
        <f>IF(INPUT!G9="",NA(),INPUT!G75/1000)</f>
        <v/>
      </c>
      <c r="T94" s="394">
        <f>IF(INPUT!H9="",NA(),INPUT!H75/1000)</f>
        <v/>
      </c>
      <c r="U94" s="394" t="n"/>
      <c r="V94" s="394" t="n"/>
      <c r="W94" s="394" t="n"/>
      <c r="X94" s="394" t="n"/>
      <c r="Y94" s="394" t="n"/>
      <c r="Z94" s="394" t="n"/>
      <c r="AA94" s="394" t="n"/>
      <c r="AB94" s="394" t="n"/>
      <c r="AC94" s="394" t="n"/>
    </row>
    <row r="95" ht="15" customFormat="1" customHeight="1" s="395">
      <c r="A95" s="394" t="n"/>
      <c r="B95" s="169" t="n"/>
      <c r="C95" s="169" t="n"/>
      <c r="D95" s="169" t="n"/>
      <c r="E95" s="169" t="n"/>
      <c r="F95" s="169" t="n"/>
      <c r="G95" s="169" t="n"/>
      <c r="H95" s="157" t="n"/>
      <c r="I95" s="394" t="n"/>
      <c r="J95" s="394" t="n"/>
      <c r="K95" s="394" t="n"/>
      <c r="L95" s="394" t="n"/>
      <c r="M95" s="394" t="n"/>
      <c r="N95" s="394" t="n"/>
      <c r="O95" s="394" t="n"/>
      <c r="P95" s="394" t="n"/>
      <c r="Q95" s="394">
        <f>IF(INPUT!E9="",NA(),INPUT!E26/1000)</f>
        <v/>
      </c>
      <c r="R95" s="399" t="n"/>
      <c r="S95" s="399" t="n">
        <v>2022</v>
      </c>
      <c r="T95" s="399" t="n">
        <v>2023</v>
      </c>
      <c r="U95" s="399" t="n">
        <v>2024</v>
      </c>
      <c r="V95" s="399" t="inlineStr">
        <is>
          <t>2025 (LTM)</t>
        </is>
      </c>
      <c r="W95" s="394" t="n"/>
      <c r="X95" s="394" t="n"/>
      <c r="Y95" s="394" t="n"/>
      <c r="Z95" s="394" t="n"/>
      <c r="AA95" s="394" t="n"/>
      <c r="AB95" s="394" t="n"/>
      <c r="AC95" s="394" t="n"/>
    </row>
    <row r="96" ht="15" customFormat="1" customHeight="1" s="395">
      <c r="A96" s="394" t="n"/>
      <c r="B96" s="169" t="n"/>
      <c r="C96" s="169" t="n"/>
      <c r="D96" s="169" t="n"/>
      <c r="E96" s="169" t="n"/>
      <c r="F96" s="169" t="n"/>
      <c r="G96" s="169" t="n"/>
      <c r="H96" s="157" t="n"/>
      <c r="I96" s="394" t="n"/>
      <c r="J96" s="394" t="n"/>
      <c r="K96" s="394" t="n"/>
      <c r="L96" s="394" t="n"/>
      <c r="M96" s="394" t="n"/>
      <c r="N96" s="394" t="n"/>
      <c r="O96" s="394" t="n"/>
      <c r="P96" s="394" t="n"/>
      <c r="Q96" s="397" t="n"/>
      <c r="R96" s="399" t="inlineStr">
        <is>
          <t>EBITDA</t>
        </is>
      </c>
      <c r="S96" s="399">
        <f>Q17</f>
        <v/>
      </c>
      <c r="T96" s="399">
        <f>R17</f>
        <v/>
      </c>
      <c r="U96" s="399">
        <f>S17</f>
        <v/>
      </c>
      <c r="V96" s="399">
        <f>T17</f>
        <v/>
      </c>
      <c r="Y96" s="394" t="n"/>
      <c r="Z96" s="394" t="n"/>
      <c r="AA96" s="394" t="n"/>
      <c r="AB96" s="394" t="n"/>
      <c r="AC96" s="394" t="n"/>
    </row>
    <row r="97" ht="15" customFormat="1" customHeight="1" s="395">
      <c r="A97" s="394" t="n"/>
      <c r="B97" s="394" t="n"/>
      <c r="C97" s="394" t="n"/>
      <c r="D97" s="394" t="n"/>
      <c r="E97" s="394" t="n"/>
      <c r="F97" s="394" t="n"/>
      <c r="G97" s="394" t="n"/>
      <c r="H97" s="157" t="n"/>
      <c r="I97" s="394" t="n"/>
      <c r="J97" s="394" t="n"/>
      <c r="K97" s="394" t="n"/>
      <c r="L97" s="394" t="n"/>
      <c r="M97" s="394" t="n"/>
      <c r="N97" s="394" t="n"/>
      <c r="O97" s="394" t="n"/>
      <c r="P97" s="394" t="n"/>
      <c r="R97" s="399" t="inlineStr">
        <is>
          <t>CFO</t>
        </is>
      </c>
      <c r="S97" s="399">
        <f>Q18</f>
        <v/>
      </c>
      <c r="T97" s="399">
        <f>R18</f>
        <v/>
      </c>
      <c r="U97" s="399">
        <f>S18</f>
        <v/>
      </c>
      <c r="V97" s="399">
        <f>T18</f>
        <v/>
      </c>
      <c r="Y97" s="394" t="n"/>
      <c r="Z97" s="394" t="n"/>
      <c r="AA97" s="394" t="n"/>
      <c r="AB97" s="394" t="n"/>
      <c r="AC97" s="394" t="n"/>
    </row>
    <row r="98" ht="15" customFormat="1" customHeight="1" s="395">
      <c r="A98" s="394" t="n"/>
      <c r="B98" s="394" t="n"/>
      <c r="C98" s="394" t="n"/>
      <c r="D98" s="394" t="n"/>
      <c r="E98" s="394" t="n"/>
      <c r="F98" s="394" t="n"/>
      <c r="G98" s="394" t="n"/>
      <c r="H98" s="157" t="n"/>
      <c r="I98" s="394" t="n"/>
      <c r="J98" s="394" t="n"/>
      <c r="K98" s="394" t="n"/>
      <c r="L98" s="394" t="n"/>
      <c r="M98" s="394" t="n"/>
      <c r="N98" s="394" t="n"/>
      <c r="O98" s="394" t="n"/>
      <c r="P98" s="394" t="n"/>
      <c r="Q98" s="126" t="n"/>
      <c r="R98" s="399" t="inlineStr">
        <is>
          <t>Net Income</t>
        </is>
      </c>
      <c r="S98" s="399">
        <f>Q19</f>
        <v/>
      </c>
      <c r="T98" s="399">
        <f>R19</f>
        <v/>
      </c>
      <c r="U98" s="399">
        <f>S19</f>
        <v/>
      </c>
      <c r="V98" s="399">
        <f>T19</f>
        <v/>
      </c>
      <c r="W98" s="126" t="n"/>
      <c r="X98" s="126" t="n"/>
      <c r="Y98" s="394" t="n"/>
      <c r="Z98" s="394" t="n"/>
      <c r="AA98" s="394" t="n"/>
      <c r="AB98" s="394" t="n"/>
      <c r="AC98" s="394" t="n"/>
    </row>
    <row r="99" ht="15" customFormat="1" customHeight="1" s="395">
      <c r="A99" s="394" t="n"/>
      <c r="B99" s="394" t="n"/>
      <c r="C99" s="394" t="n"/>
      <c r="D99" s="394" t="n"/>
      <c r="E99" s="394" t="n"/>
      <c r="F99" s="394" t="n"/>
      <c r="G99" s="394" t="n"/>
      <c r="H99" s="157" t="n"/>
      <c r="I99" s="394" t="n"/>
      <c r="J99" s="394" t="n"/>
      <c r="K99" s="394" t="n"/>
      <c r="L99" s="394" t="n"/>
      <c r="M99" s="394" t="n"/>
      <c r="N99" s="394" t="n"/>
      <c r="O99" s="394" t="n"/>
      <c r="P99" s="394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394" t="n"/>
      <c r="Z99" s="394" t="n"/>
      <c r="AA99" s="394" t="n"/>
      <c r="AB99" s="394" t="n"/>
      <c r="AC99" s="394" t="n"/>
    </row>
    <row r="100" ht="15" customFormat="1" customHeight="1" s="395">
      <c r="A100" s="394" t="n"/>
      <c r="B100" s="394" t="n"/>
      <c r="C100" s="394" t="n"/>
      <c r="D100" s="394" t="n"/>
      <c r="E100" s="394" t="n"/>
      <c r="F100" s="394" t="n"/>
      <c r="G100" s="394" t="n"/>
      <c r="H100" s="157" t="n"/>
      <c r="I100" s="394" t="n"/>
      <c r="J100" s="394" t="n"/>
      <c r="K100" s="394" t="n"/>
      <c r="L100" s="394" t="n"/>
      <c r="M100" s="394" t="n"/>
      <c r="N100" s="394" t="n"/>
      <c r="O100" s="394" t="n"/>
      <c r="P100" s="394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394" t="n"/>
      <c r="Z100" s="394" t="n"/>
      <c r="AA100" s="394" t="n"/>
      <c r="AB100" s="394" t="n"/>
      <c r="AC100" s="394" t="n"/>
    </row>
    <row r="101" ht="15" customFormat="1" customHeight="1" s="395">
      <c r="A101" s="394" t="inlineStr">
        <is>
          <t>Revenue</t>
        </is>
      </c>
      <c r="B101" s="394" t="n"/>
      <c r="C101" s="394" t="n"/>
      <c r="D101" s="394" t="n"/>
      <c r="E101" s="394" t="n"/>
      <c r="F101" s="394" t="n"/>
      <c r="G101" s="394" t="n"/>
      <c r="H101" s="157" t="n"/>
      <c r="I101" s="394" t="n"/>
      <c r="J101" s="394" t="n"/>
      <c r="K101" s="394" t="n"/>
      <c r="L101" s="394" t="n"/>
      <c r="M101" s="394" t="n"/>
      <c r="N101" s="394" t="n"/>
      <c r="O101" s="394" t="n"/>
      <c r="P101" s="394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394" t="n"/>
      <c r="Z101" s="394" t="n"/>
      <c r="AA101" s="394" t="n"/>
      <c r="AB101" s="394" t="n"/>
      <c r="AC101" s="394" t="n"/>
    </row>
    <row r="102" ht="15" customFormat="1" customHeight="1" s="395">
      <c r="B102" s="394" t="n"/>
      <c r="C102" s="394" t="n"/>
      <c r="D102" s="394" t="n"/>
      <c r="E102" s="394" t="n"/>
      <c r="F102" s="394" t="n"/>
      <c r="G102" s="394" t="n"/>
      <c r="H102" s="157" t="n"/>
      <c r="I102" s="394" t="n"/>
      <c r="J102" s="394" t="n"/>
      <c r="K102" s="394" t="n"/>
      <c r="L102" s="394" t="n"/>
      <c r="M102" s="394" t="n"/>
      <c r="N102" s="394" t="n"/>
      <c r="O102" s="394" t="n"/>
      <c r="P102" s="394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394" t="n"/>
      <c r="Z102" s="394" t="n"/>
      <c r="AA102" s="394" t="n"/>
      <c r="AB102" s="394" t="n"/>
      <c r="AC102" s="394" t="n"/>
    </row>
    <row r="103" ht="15" customFormat="1" customHeight="1" s="395">
      <c r="B103" s="394" t="n"/>
      <c r="C103" s="394" t="n"/>
      <c r="D103" s="394" t="n"/>
      <c r="E103" s="394" t="n"/>
      <c r="F103" s="394" t="n"/>
      <c r="G103" s="394" t="n"/>
      <c r="H103" s="125" t="n"/>
      <c r="I103" s="394" t="n"/>
      <c r="J103" s="394" t="n"/>
      <c r="K103" s="394" t="n"/>
      <c r="L103" s="394" t="n"/>
      <c r="M103" s="394">
        <f>IF(INPUT!G9="",NA(),'DASHBOARD 2'!R5)</f>
        <v/>
      </c>
      <c r="N103" s="394">
        <f>IF(INPUT!H9="",NA(),'DASHBOARD 2'!S5)</f>
        <v/>
      </c>
      <c r="O103" s="394" t="n"/>
      <c r="P103" s="394">
        <f>J104</f>
        <v/>
      </c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394" t="n"/>
      <c r="Z103" s="394" t="n"/>
      <c r="AA103" s="394" t="n"/>
      <c r="AB103" s="394" t="n"/>
      <c r="AC103" s="394" t="n"/>
    </row>
    <row r="104" ht="15" customFormat="1" customHeight="1" s="395">
      <c r="A104" s="126" t="n"/>
      <c r="B104" s="394" t="n"/>
      <c r="C104" s="394" t="n"/>
      <c r="D104" s="394" t="n"/>
      <c r="E104" s="394" t="n"/>
      <c r="F104" s="394" t="n"/>
      <c r="G104" s="394" t="n"/>
      <c r="H104" s="157" t="n"/>
      <c r="I104" s="394" t="inlineStr">
        <is>
          <t>Year</t>
        </is>
      </c>
      <c r="J104" s="394">
        <f>IF(INPUT!D9="","",INPUT!D5)</f>
        <v/>
      </c>
      <c r="K104" s="394">
        <f>IF(INPUT!E9="",NA(),'DASHBOARD 2'!P5)</f>
        <v/>
      </c>
      <c r="L104" s="394">
        <f>IF(INPUT!F9="",NA(),'DASHBOARD 2'!Q5)</f>
        <v/>
      </c>
      <c r="M104" s="394">
        <f>IF(INPUT!G9="",NA(),INPUT!G30)</f>
        <v/>
      </c>
      <c r="N104" s="394">
        <f>IF(INPUT!H9="",NA(),INPUT!H30)</f>
        <v/>
      </c>
      <c r="O104" s="394" t="n"/>
      <c r="P104" s="394">
        <f>IF(INPUT!D9="",NA(),INPUT!D30/1000)</f>
        <v/>
      </c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394" t="n"/>
      <c r="Z104" s="394" t="n"/>
      <c r="AA104" s="394" t="n"/>
      <c r="AB104" s="394" t="n"/>
      <c r="AC104" s="394" t="n"/>
    </row>
    <row r="105" ht="15" customFormat="1" customHeight="1" s="395">
      <c r="A105" s="126" t="n"/>
      <c r="B105" s="394" t="n"/>
      <c r="C105" s="394" t="n"/>
      <c r="D105" s="394" t="n"/>
      <c r="E105" s="394" t="n"/>
      <c r="F105" s="394" t="n"/>
      <c r="G105" s="394" t="n"/>
      <c r="H105" s="168" t="n"/>
      <c r="I105" s="394" t="inlineStr">
        <is>
          <t>EBITDA ($M)</t>
        </is>
      </c>
      <c r="J105" s="394">
        <f>IF(INPUT!D9="","",INPUT!D30)</f>
        <v/>
      </c>
      <c r="K105" s="394">
        <f>IF(INPUT!E9="",NA(),INPUT!E30)</f>
        <v/>
      </c>
      <c r="L105" s="394">
        <f>IF(INPUT!F9="",NA(),INPUT!F30)</f>
        <v/>
      </c>
      <c r="M105" s="394">
        <f>IF(INPUT!G9="",NA(),INPUT!G75)</f>
        <v/>
      </c>
      <c r="N105" s="394">
        <f>IF(INPUT!H9="",NA(),INPUT!H75)</f>
        <v/>
      </c>
      <c r="O105" s="394" t="n"/>
      <c r="P105" s="394">
        <f>IF(INPUT!D9="",NA(),INPUT!D75/1000)</f>
        <v/>
      </c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394" t="n"/>
      <c r="Z105" s="394" t="n"/>
      <c r="AA105" s="394" t="n"/>
      <c r="AB105" s="394" t="n"/>
      <c r="AC105" s="394" t="n"/>
    </row>
    <row r="106" ht="15" customFormat="1" customHeight="1" s="395">
      <c r="A106" s="126" t="n"/>
      <c r="B106" s="394" t="inlineStr">
        <is>
          <t>Year</t>
        </is>
      </c>
      <c r="C106" s="394">
        <f>IF(INPUT!D9="","",INPUT!D5)</f>
        <v/>
      </c>
      <c r="D106" s="394">
        <f>IF(INPUT!E9="",NA(),'DASHBOARD 2'!P5)</f>
        <v/>
      </c>
      <c r="E106" s="394">
        <f>IF(INPUT!F9="",NA(),'DASHBOARD 2'!Q5)</f>
        <v/>
      </c>
      <c r="F106" s="394">
        <f>IF(INPUT!G9="",NA(),'DASHBOARD 2'!R5)</f>
        <v/>
      </c>
      <c r="G106" s="394">
        <f>IF(INPUT!H9="",NA(),'DASHBOARD 2'!S5)</f>
        <v/>
      </c>
      <c r="H106" s="170" t="n"/>
      <c r="I106" s="394" t="inlineStr">
        <is>
          <t>CFO ($M)</t>
        </is>
      </c>
      <c r="J106" s="394">
        <f>IF(INPUT!D9="","",INPUT!D75)</f>
        <v/>
      </c>
      <c r="K106" s="394">
        <f>IF(INPUT!E9="",NA(),INPUT!E75)</f>
        <v/>
      </c>
      <c r="L106" s="394">
        <f>IF(INPUT!F9="",NA(),INPUT!F75)</f>
        <v/>
      </c>
      <c r="M106" s="394">
        <f>IF(INPUT!G9="",NA(),INPUT!G26)</f>
        <v/>
      </c>
      <c r="N106" s="394">
        <f>IF(INPUT!H9="",NA(),INPUT!H26)</f>
        <v/>
      </c>
      <c r="O106" s="394" t="n"/>
      <c r="P106" s="394">
        <f>IF(INPUT!D9="",NA(),INPUT!D26/1000)</f>
        <v/>
      </c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394" t="n"/>
      <c r="Z106" s="394" t="n"/>
      <c r="AA106" s="394" t="n"/>
      <c r="AB106" s="394" t="n"/>
      <c r="AC106" s="394" t="n"/>
    </row>
    <row r="107" ht="15" customFormat="1" customHeight="1" s="395">
      <c r="A107" s="126" t="n"/>
      <c r="B107" s="394" t="inlineStr">
        <is>
          <t>Revenue Growth (%)</t>
        </is>
      </c>
      <c r="C107" s="394">
        <f>""</f>
        <v/>
      </c>
      <c r="D107" s="394">
        <f>IF(INPUT!E9="",NA(),'DASHBOARD 2'!P7)</f>
        <v/>
      </c>
      <c r="E107" s="394">
        <f>IF(INPUT!F9="",NA(),'DASHBOARD 2'!Q7)</f>
        <v/>
      </c>
      <c r="F107" s="394">
        <f>IF(INPUT!G9="",NA(),'DASHBOARD 2'!R7)</f>
        <v/>
      </c>
      <c r="G107" s="394">
        <f>IF(INPUT!H9="",NA(),'DASHBOARD 2'!S7)</f>
        <v/>
      </c>
      <c r="H107" s="169" t="n"/>
      <c r="I107" s="394" t="inlineStr">
        <is>
          <t>Net Income ($M)</t>
        </is>
      </c>
      <c r="J107" s="394">
        <f>IF(INPUT!D9="","",INPUT!D26)</f>
        <v/>
      </c>
      <c r="K107" s="394">
        <f>IF(INPUT!E9="",NA(),INPUT!E26)</f>
        <v/>
      </c>
      <c r="L107" s="394">
        <f>IF(INPUT!F9="",NA(),INPUT!F26)</f>
        <v/>
      </c>
      <c r="M107" s="397" t="n"/>
      <c r="N107" s="397" t="n"/>
      <c r="O107" s="397" t="n"/>
      <c r="P107" s="397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</row>
    <row r="108" ht="15" customFormat="1" customHeight="1" s="395">
      <c r="A108" s="126" t="n"/>
      <c r="B108" s="394" t="inlineStr">
        <is>
          <t>Total Revenue ($M)</t>
        </is>
      </c>
      <c r="C108" s="396">
        <f>IF(INPUT!D9="","",INPUT!D9)</f>
        <v/>
      </c>
      <c r="D108" s="396">
        <f>IF(INPUT!E9="",NA(),INPUT!E9)</f>
        <v/>
      </c>
      <c r="E108" s="396">
        <f>IF(INPUT!F9="",NA(),INPUT!F9)</f>
        <v/>
      </c>
      <c r="F108" s="396">
        <f>IF(INPUT!G9="",NA(),INPUT!G9)</f>
        <v/>
      </c>
      <c r="G108" s="396">
        <f>IF(INPUT!H9="",NA(),INPUT!H9)</f>
        <v/>
      </c>
      <c r="H108" s="169" t="n"/>
      <c r="I108" s="397" t="n"/>
      <c r="J108" s="397" t="n"/>
      <c r="K108" s="397" t="n"/>
      <c r="L108" s="397" t="n"/>
      <c r="O108" s="398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</row>
    <row r="109" ht="15" customHeight="1" s="489">
      <c r="B109" s="394" t="n"/>
      <c r="C109" s="394" t="n"/>
      <c r="D109" s="394" t="n"/>
      <c r="E109" s="394" t="n"/>
      <c r="F109" s="394" t="n"/>
      <c r="G109" s="394" t="n"/>
      <c r="H109" s="169" t="n"/>
      <c r="I109" s="395" t="n"/>
      <c r="J109" s="395" t="n"/>
      <c r="K109" s="395" t="n"/>
      <c r="L109" s="395" t="n"/>
    </row>
    <row r="110" ht="15" customHeight="1" s="489">
      <c r="B110" s="397" t="n"/>
      <c r="C110" s="397" t="n"/>
      <c r="D110" s="397" t="n"/>
      <c r="E110" s="397" t="n"/>
      <c r="F110" s="397" t="n"/>
      <c r="G110" s="397" t="n"/>
      <c r="H110" s="169" t="n"/>
    </row>
    <row r="111" ht="15" customHeight="1" s="489">
      <c r="B111" s="395" t="n"/>
      <c r="C111" s="395" t="n"/>
      <c r="D111" s="395" t="n"/>
      <c r="E111" s="395" t="n"/>
      <c r="F111" s="395" t="n"/>
      <c r="G111" s="395" t="n"/>
      <c r="H111" s="394" t="n"/>
    </row>
    <row r="112" ht="15" customHeight="1" s="489">
      <c r="H112" s="394" t="n"/>
    </row>
    <row r="113" ht="15" customHeight="1" s="489">
      <c r="H113" s="394" t="n"/>
    </row>
    <row r="114" ht="15" customHeight="1" s="489">
      <c r="H114" s="394" t="n"/>
    </row>
    <row r="115" ht="15" customHeight="1" s="489">
      <c r="H115" s="394" t="n"/>
    </row>
    <row r="116" ht="15" customHeight="1" s="489">
      <c r="H116" s="394" t="n"/>
    </row>
    <row r="117" ht="15" customHeight="1" s="489">
      <c r="H117" s="394" t="n"/>
    </row>
    <row r="118" ht="15" customHeight="1" s="489">
      <c r="H118" s="394" t="n"/>
    </row>
    <row r="119" ht="15" customHeight="1" s="489">
      <c r="H119" s="394" t="n"/>
    </row>
    <row r="120" ht="15" customHeight="1" s="489">
      <c r="H120" s="394" t="n"/>
    </row>
    <row r="121" ht="15" customHeight="1" s="489">
      <c r="H121" s="394" t="n"/>
    </row>
    <row r="122" ht="15" customHeight="1" s="489">
      <c r="H122" s="396" t="n"/>
    </row>
    <row r="123" ht="15" customHeight="1" s="489">
      <c r="H123" s="394" t="n"/>
    </row>
    <row r="124" ht="15" customHeight="1" s="489">
      <c r="H124" s="397" t="n"/>
    </row>
    <row r="125" ht="15" customHeight="1" s="489">
      <c r="H125" s="395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style="489" min="1" max="1"/>
    <col width="6.6640625" bestFit="1" customWidth="1" style="489" min="2" max="2"/>
    <col width="14.109375" bestFit="1" customWidth="1" style="489" min="3" max="3"/>
    <col width="12.6640625" bestFit="1" customWidth="1" style="489" min="4" max="4"/>
  </cols>
  <sheetData>
    <row r="1">
      <c r="A1" s="154" t="inlineStr">
        <is>
          <t>STOCK_DATA — Apple Inc. (AAPL) — Trailing 52 Weeks</t>
        </is>
      </c>
      <c r="B1" s="154" t="n"/>
      <c r="C1" s="154" t="n"/>
    </row>
    <row r="2">
      <c r="A2" s="155" t="inlineStr">
        <is>
          <t>#</t>
        </is>
      </c>
      <c r="B2" s="155" t="inlineStr">
        <is>
          <t>Month</t>
        </is>
      </c>
      <c r="C2" s="155" t="inlineStr">
        <is>
          <t>Close Price ($)</t>
        </is>
      </c>
    </row>
    <row r="3">
      <c r="A3" s="227" t="n">
        <v>1</v>
      </c>
      <c r="B3" t="inlineStr">
        <is>
          <t>May-25</t>
        </is>
      </c>
      <c r="C3" s="685" t="n">
        <v>48.75</v>
      </c>
    </row>
    <row r="4">
      <c r="A4" s="227" t="n">
        <v>2</v>
      </c>
      <c r="B4" t="inlineStr">
        <is>
          <t>Jun-25</t>
        </is>
      </c>
      <c r="C4" s="685" t="n">
        <v>49.16</v>
      </c>
    </row>
    <row r="5">
      <c r="A5" s="227" t="n">
        <v>3</v>
      </c>
      <c r="B5" t="inlineStr">
        <is>
          <t>Jul-25</t>
        </is>
      </c>
      <c r="C5" s="685" t="n">
        <v>49.87</v>
      </c>
    </row>
    <row r="6">
      <c r="A6" s="227" t="n">
        <v>4</v>
      </c>
      <c r="B6" t="inlineStr">
        <is>
          <t>Aug-25</t>
        </is>
      </c>
      <c r="C6" s="685" t="n">
        <v>51.28</v>
      </c>
    </row>
    <row r="7">
      <c r="A7" s="227" t="n">
        <v>5</v>
      </c>
      <c r="B7" t="inlineStr">
        <is>
          <t>Sep-25</t>
        </is>
      </c>
      <c r="C7" s="685" t="n">
        <v>49.59</v>
      </c>
    </row>
    <row r="8">
      <c r="A8" s="227" t="n">
        <v>6</v>
      </c>
      <c r="B8" t="inlineStr">
        <is>
          <t>Oct-25</t>
        </is>
      </c>
      <c r="C8" s="685" t="n">
        <v>51.72</v>
      </c>
    </row>
    <row r="9">
      <c r="A9" s="227" t="n">
        <v>7</v>
      </c>
      <c r="B9" t="inlineStr">
        <is>
          <t>Nov-25</t>
        </is>
      </c>
      <c r="C9" s="685" t="n">
        <v>55.36</v>
      </c>
    </row>
    <row r="10">
      <c r="A10" s="227" t="n">
        <v>8</v>
      </c>
      <c r="B10" t="inlineStr">
        <is>
          <t>Dec-25</t>
        </is>
      </c>
      <c r="C10" s="685" t="n">
        <v>54.18</v>
      </c>
    </row>
    <row r="11">
      <c r="A11" s="227" t="n">
        <v>9</v>
      </c>
      <c r="B11" t="inlineStr">
        <is>
          <t>Jan-26</t>
        </is>
      </c>
      <c r="C11" s="685" t="n">
        <v>60.51</v>
      </c>
    </row>
    <row r="12">
      <c r="A12" s="227" t="n">
        <v>10</v>
      </c>
      <c r="B12" t="inlineStr">
        <is>
          <t>Feb-26</t>
        </is>
      </c>
      <c r="C12" s="685" t="n">
        <v>66.56999999999999</v>
      </c>
    </row>
    <row r="13">
      <c r="A13" s="227" t="n">
        <v>11</v>
      </c>
      <c r="B13" t="inlineStr">
        <is>
          <t>Mar-26</t>
        </is>
      </c>
      <c r="C13" s="685" t="n">
        <v>80.06</v>
      </c>
    </row>
    <row r="14">
      <c r="A14" s="227" t="n">
        <v>12</v>
      </c>
      <c r="B14" t="inlineStr">
        <is>
          <t>Apr-26</t>
        </is>
      </c>
      <c r="C14" s="685" t="n">
        <v>77.69</v>
      </c>
    </row>
    <row r="15">
      <c r="A15" s="227" t="n">
        <v>13</v>
      </c>
      <c r="C15" s="685" t="n"/>
    </row>
    <row r="17">
      <c r="A17" s="156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topLeftCell="A38" workbookViewId="0">
      <selection activeCell="A1" sqref="A1"/>
    </sheetView>
  </sheetViews>
  <sheetFormatPr baseColWidth="10" defaultRowHeight="14.4"/>
  <cols>
    <col width="23.109375" bestFit="1" customWidth="1" style="489" min="1" max="1"/>
    <col width="28.109375" bestFit="1" customWidth="1" style="489" min="2" max="2"/>
    <col width="11" bestFit="1" customWidth="1" style="489" min="3" max="3"/>
    <col width="8.44140625" bestFit="1" customWidth="1" style="489" min="4" max="4"/>
    <col width="10" bestFit="1" customWidth="1" style="489" min="5" max="5"/>
  </cols>
  <sheetData>
    <row r="1">
      <c r="A1" s="154" t="n">
        <v>0.08</v>
      </c>
      <c r="B1" s="154" t="inlineStr">
        <is>
          <t>Driver</t>
        </is>
      </c>
      <c r="C1" s="154" t="inlineStr">
        <is>
          <t>Pessimiste</t>
        </is>
      </c>
      <c r="D1" s="154" t="inlineStr">
        <is>
          <t>Realiste</t>
        </is>
      </c>
      <c r="E1" s="154" t="inlineStr">
        <is>
          <t>Optimiste</t>
        </is>
      </c>
    </row>
    <row r="2" ht="15" customHeight="1" s="489">
      <c r="A2" s="3" t="inlineStr">
        <is>
          <t>Technologie / SaaS</t>
        </is>
      </c>
      <c r="B2" s="3" t="inlineStr">
        <is>
          <t>Revenue Growth Rate (Y1-Y5)</t>
        </is>
      </c>
      <c r="C2" s="285" t="n">
        <v>0.05</v>
      </c>
      <c r="D2" s="285" t="n">
        <v>0.12</v>
      </c>
      <c r="E2" s="285" t="n">
        <v>0.22</v>
      </c>
    </row>
    <row r="3" ht="15" customHeight="1" s="489">
      <c r="A3" s="3" t="inlineStr">
        <is>
          <t>Technologie / SaaS</t>
        </is>
      </c>
      <c r="B3" s="3" t="inlineStr">
        <is>
          <t>Gross Margin</t>
        </is>
      </c>
      <c r="C3" s="285" t="n">
        <v>0.55</v>
      </c>
      <c r="D3" s="285" t="n">
        <v>0.68</v>
      </c>
      <c r="E3" s="285" t="n">
        <v>0.78</v>
      </c>
    </row>
    <row r="4" ht="15" customHeight="1" s="489">
      <c r="A4" s="3" t="inlineStr">
        <is>
          <t>Technologie / SaaS</t>
        </is>
      </c>
      <c r="B4" s="3" t="inlineStr">
        <is>
          <t>EBITDA Margin</t>
        </is>
      </c>
      <c r="C4" s="285" t="n">
        <v>0.08</v>
      </c>
      <c r="D4" s="285" t="n">
        <v>0.18</v>
      </c>
      <c r="E4" s="285" t="n">
        <v>0.28</v>
      </c>
    </row>
    <row r="5" ht="15" customHeight="1" s="489">
      <c r="A5" s="3" t="inlineStr">
        <is>
          <t>Technologie / SaaS</t>
        </is>
      </c>
      <c r="B5" s="3" t="inlineStr">
        <is>
          <t>SG&amp;A (% Revenue)</t>
        </is>
      </c>
      <c r="C5" s="285" t="n">
        <v>0.3</v>
      </c>
      <c r="D5" s="285" t="n">
        <v>0.22</v>
      </c>
      <c r="E5" s="285" t="n">
        <v>0.15</v>
      </c>
    </row>
    <row r="6" ht="15" customHeight="1" s="489">
      <c r="A6" s="3" t="inlineStr">
        <is>
          <t>Technologie / SaaS</t>
        </is>
      </c>
      <c r="B6" s="3" t="inlineStr">
        <is>
          <t>R&amp;D (% Revenue)</t>
        </is>
      </c>
      <c r="C6" s="285" t="n">
        <v>0.18</v>
      </c>
      <c r="D6" s="285" t="n">
        <v>0.12</v>
      </c>
      <c r="E6" s="285" t="n">
        <v>0.08</v>
      </c>
    </row>
    <row r="7" ht="15" customHeight="1" s="489">
      <c r="A7" s="3" t="inlineStr">
        <is>
          <t>Technologie / SaaS</t>
        </is>
      </c>
      <c r="B7" s="3" t="inlineStr">
        <is>
          <t>CapEx (% Revenue)</t>
        </is>
      </c>
      <c r="C7" s="285" t="n">
        <v>0.08</v>
      </c>
      <c r="D7" s="285" t="n">
        <v>0.05</v>
      </c>
      <c r="E7" s="285" t="n">
        <v>0.03</v>
      </c>
    </row>
    <row r="8" ht="15" customHeight="1" s="489">
      <c r="A8" s="3" t="inlineStr">
        <is>
          <t>Technologie / SaaS</t>
        </is>
      </c>
      <c r="B8" s="3" t="inlineStr">
        <is>
          <t>Change in NWC (% Rev Change)</t>
        </is>
      </c>
      <c r="C8" s="285" t="n">
        <v>0.05</v>
      </c>
      <c r="D8" s="285" t="n">
        <v>0.03</v>
      </c>
      <c r="E8" s="285" t="n">
        <v>0.02</v>
      </c>
    </row>
    <row r="9" ht="15" customHeight="1" s="489">
      <c r="A9" s="3" t="inlineStr">
        <is>
          <t>Technologie / SaaS</t>
        </is>
      </c>
      <c r="B9" s="3" t="inlineStr">
        <is>
          <t>Terminal Growth Rate</t>
        </is>
      </c>
      <c r="C9" s="285" t="n">
        <v>0.02</v>
      </c>
      <c r="D9" s="285" t="n">
        <v>0.03</v>
      </c>
      <c r="E9" s="285" t="n">
        <v>0.04</v>
      </c>
    </row>
    <row r="10" ht="15" customHeight="1" s="489">
      <c r="A10" s="3" t="inlineStr">
        <is>
          <t>Technologie / SaaS</t>
        </is>
      </c>
      <c r="B10" s="3" t="inlineStr">
        <is>
          <t>WACC</t>
        </is>
      </c>
      <c r="C10" s="285" t="n">
        <v>0.11</v>
      </c>
      <c r="D10" s="285" t="n">
        <v>0.09</v>
      </c>
      <c r="E10" s="285" t="n">
        <v>0.07000000000000001</v>
      </c>
    </row>
    <row r="11" ht="15" customHeight="1" s="489">
      <c r="A11" s="3" t="inlineStr">
        <is>
          <t>Technologie / SaaS</t>
        </is>
      </c>
      <c r="B11" s="3" t="inlineStr">
        <is>
          <t>EV/EBITDA Exit Multiple</t>
        </is>
      </c>
      <c r="C11" s="285" t="n">
        <v>12</v>
      </c>
      <c r="D11" s="285" t="n">
        <v>16</v>
      </c>
      <c r="E11" s="285" t="n">
        <v>22</v>
      </c>
    </row>
    <row r="12" ht="15" customHeight="1" s="489">
      <c r="A12" s="3" t="inlineStr">
        <is>
          <t>Industrie / Manufacturing</t>
        </is>
      </c>
      <c r="B12" s="3" t="inlineStr">
        <is>
          <t>Revenue Growth Rate (Y1-Y5)</t>
        </is>
      </c>
      <c r="C12" s="285" t="n">
        <v>0.01</v>
      </c>
      <c r="D12" s="285" t="n">
        <v>0.04</v>
      </c>
      <c r="E12" s="285" t="n">
        <v>0.07000000000000001</v>
      </c>
    </row>
    <row r="13" ht="15" customHeight="1" s="489">
      <c r="A13" s="3" t="inlineStr">
        <is>
          <t>Industrie / Manufacturing</t>
        </is>
      </c>
      <c r="B13" s="3" t="inlineStr">
        <is>
          <t>Gross Margin</t>
        </is>
      </c>
      <c r="C13" s="285" t="n">
        <v>0.18</v>
      </c>
      <c r="D13" s="285" t="n">
        <v>0.25</v>
      </c>
      <c r="E13" s="285" t="n">
        <v>0.32</v>
      </c>
    </row>
    <row r="14" ht="15" customHeight="1" s="489">
      <c r="A14" s="3" t="inlineStr">
        <is>
          <t>Industrie / Manufacturing</t>
        </is>
      </c>
      <c r="B14" s="3" t="inlineStr">
        <is>
          <t>EBITDA Margin</t>
        </is>
      </c>
      <c r="C14" s="285" t="n">
        <v>0.06</v>
      </c>
      <c r="D14" s="285" t="n">
        <v>0.12</v>
      </c>
      <c r="E14" s="285" t="n">
        <v>0.18</v>
      </c>
    </row>
    <row r="15" ht="15" customHeight="1" s="489">
      <c r="A15" s="3" t="inlineStr">
        <is>
          <t>Industrie / Manufacturing</t>
        </is>
      </c>
      <c r="B15" s="3" t="inlineStr">
        <is>
          <t>SG&amp;A (% Revenue)</t>
        </is>
      </c>
      <c r="C15" s="285" t="n">
        <v>0.1</v>
      </c>
      <c r="D15" s="285" t="n">
        <v>0.08</v>
      </c>
      <c r="E15" s="285" t="n">
        <v>0.06</v>
      </c>
    </row>
    <row r="16" ht="15" customHeight="1" s="489">
      <c r="A16" s="3" t="inlineStr">
        <is>
          <t>Industrie / Manufacturing</t>
        </is>
      </c>
      <c r="B16" s="3" t="inlineStr">
        <is>
          <t>R&amp;D (% Revenue)</t>
        </is>
      </c>
      <c r="C16" s="285" t="n">
        <v>0.03</v>
      </c>
      <c r="D16" s="285" t="n">
        <v>0.02</v>
      </c>
      <c r="E16" s="285" t="n">
        <v>0.01</v>
      </c>
    </row>
    <row r="17" ht="15" customHeight="1" s="489">
      <c r="A17" s="3" t="inlineStr">
        <is>
          <t>Industrie / Manufacturing</t>
        </is>
      </c>
      <c r="B17" s="3" t="inlineStr">
        <is>
          <t>CapEx (% Revenue)</t>
        </is>
      </c>
      <c r="C17" s="285" t="n">
        <v>0.1</v>
      </c>
      <c r="D17" s="285" t="n">
        <v>0.07000000000000001</v>
      </c>
      <c r="E17" s="285" t="n">
        <v>0.04</v>
      </c>
    </row>
    <row r="18" ht="15" customHeight="1" s="489">
      <c r="A18" s="3" t="inlineStr">
        <is>
          <t>Industrie / Manufacturing</t>
        </is>
      </c>
      <c r="B18" s="3" t="inlineStr">
        <is>
          <t>Change in NWC (% Rev Change)</t>
        </is>
      </c>
      <c r="C18" s="285" t="n">
        <v>0.12</v>
      </c>
      <c r="D18" s="285" t="n">
        <v>0.08</v>
      </c>
      <c r="E18" s="285" t="n">
        <v>0.05</v>
      </c>
    </row>
    <row r="19" ht="15" customHeight="1" s="489">
      <c r="A19" s="3" t="inlineStr">
        <is>
          <t>Industrie / Manufacturing</t>
        </is>
      </c>
      <c r="B19" s="3" t="inlineStr">
        <is>
          <t>Terminal Growth Rate</t>
        </is>
      </c>
      <c r="C19" s="285" t="n">
        <v>0</v>
      </c>
      <c r="D19" s="285" t="n">
        <v>0.01</v>
      </c>
      <c r="E19" s="285" t="n">
        <v>0.02</v>
      </c>
    </row>
    <row r="20" ht="15" customHeight="1" s="489">
      <c r="A20" s="3" t="inlineStr">
        <is>
          <t>Industrie / Manufacturing</t>
        </is>
      </c>
      <c r="B20" s="3" t="inlineStr">
        <is>
          <t>WACC</t>
        </is>
      </c>
      <c r="C20" s="285" t="n">
        <v>0.09</v>
      </c>
      <c r="D20" s="285" t="n">
        <v>0.08</v>
      </c>
      <c r="E20" s="285" t="n">
        <v>0.06</v>
      </c>
    </row>
    <row r="21" ht="15" customHeight="1" s="489">
      <c r="A21" s="3" t="inlineStr">
        <is>
          <t>Industrie / Manufacturing</t>
        </is>
      </c>
      <c r="B21" s="3" t="inlineStr">
        <is>
          <t>EV/EBITDA Exit Multiple</t>
        </is>
      </c>
      <c r="C21" s="285" t="n">
        <v>5</v>
      </c>
      <c r="D21" s="285" t="n">
        <v>7</v>
      </c>
      <c r="E21" s="285" t="n">
        <v>10</v>
      </c>
    </row>
    <row r="22" ht="15" customHeight="1" s="489">
      <c r="A22" s="3" t="inlineStr">
        <is>
          <t>Consommation / Retail</t>
        </is>
      </c>
      <c r="B22" s="3" t="inlineStr">
        <is>
          <t>Revenue Growth Rate (Y1-Y5)</t>
        </is>
      </c>
      <c r="C22" s="285" t="n">
        <v>0.01</v>
      </c>
      <c r="D22" s="285" t="n">
        <v>0.04</v>
      </c>
      <c r="E22" s="285" t="n">
        <v>0.08</v>
      </c>
    </row>
    <row r="23" ht="15" customHeight="1" s="489">
      <c r="A23" s="3" t="inlineStr">
        <is>
          <t>Consommation / Retail</t>
        </is>
      </c>
      <c r="B23" s="3" t="inlineStr">
        <is>
          <t>Gross Margin</t>
        </is>
      </c>
      <c r="C23" s="285" t="n">
        <v>0.25</v>
      </c>
      <c r="D23" s="285" t="n">
        <v>0.35</v>
      </c>
      <c r="E23" s="285" t="n">
        <v>0.45</v>
      </c>
    </row>
    <row r="24" ht="15" customHeight="1" s="489">
      <c r="A24" s="3" t="inlineStr">
        <is>
          <t>Consommation / Retail</t>
        </is>
      </c>
      <c r="B24" s="3" t="inlineStr">
        <is>
          <t>EBITDA Margin</t>
        </is>
      </c>
      <c r="C24" s="285" t="n">
        <v>0.04</v>
      </c>
      <c r="D24" s="285" t="n">
        <v>0.09</v>
      </c>
      <c r="E24" s="285" t="n">
        <v>0.14</v>
      </c>
    </row>
    <row r="25" ht="15" customHeight="1" s="489">
      <c r="A25" s="3" t="inlineStr">
        <is>
          <t>Consommation / Retail</t>
        </is>
      </c>
      <c r="B25" s="3" t="inlineStr">
        <is>
          <t>SG&amp;A (% Revenue)</t>
        </is>
      </c>
      <c r="C25" s="285" t="n">
        <v>0.18</v>
      </c>
      <c r="D25" s="285" t="n">
        <v>0.14</v>
      </c>
      <c r="E25" s="285" t="n">
        <v>0.1</v>
      </c>
    </row>
    <row r="26" ht="15" customHeight="1" s="489">
      <c r="A26" s="3" t="inlineStr">
        <is>
          <t>Consommation / Retail</t>
        </is>
      </c>
      <c r="B26" s="3" t="inlineStr">
        <is>
          <t>R&amp;D (% Revenue)</t>
        </is>
      </c>
      <c r="C26" s="285" t="n">
        <v>0.01</v>
      </c>
      <c r="D26" s="285" t="n">
        <v>0.01</v>
      </c>
      <c r="E26" s="285" t="n">
        <v>0</v>
      </c>
    </row>
    <row r="27" ht="15" customHeight="1" s="489">
      <c r="A27" s="3" t="inlineStr">
        <is>
          <t>Consommation / Retail</t>
        </is>
      </c>
      <c r="B27" s="3" t="inlineStr">
        <is>
          <t>CapEx (% Revenue)</t>
        </is>
      </c>
      <c r="C27" s="285" t="n">
        <v>0.05</v>
      </c>
      <c r="D27" s="285" t="n">
        <v>0.03</v>
      </c>
      <c r="E27" s="285" t="n">
        <v>0.02</v>
      </c>
    </row>
    <row r="28" ht="15" customHeight="1" s="489">
      <c r="A28" s="3" t="inlineStr">
        <is>
          <t>Consommation / Retail</t>
        </is>
      </c>
      <c r="B28" s="3" t="inlineStr">
        <is>
          <t>Change in NWC (% Rev Change)</t>
        </is>
      </c>
      <c r="C28" s="285" t="n">
        <v>0.1</v>
      </c>
      <c r="D28" s="285" t="n">
        <v>0.07000000000000001</v>
      </c>
      <c r="E28" s="285" t="n">
        <v>0.04</v>
      </c>
    </row>
    <row r="29" ht="15" customHeight="1" s="489">
      <c r="A29" s="3" t="inlineStr">
        <is>
          <t>Consommation / Retail</t>
        </is>
      </c>
      <c r="B29" s="3" t="inlineStr">
        <is>
          <t>Terminal Growth Rate</t>
        </is>
      </c>
      <c r="C29" s="285" t="n">
        <v>0</v>
      </c>
      <c r="D29" s="285" t="n">
        <v>0.01</v>
      </c>
      <c r="E29" s="285" t="n">
        <v>0.02</v>
      </c>
    </row>
    <row r="30" ht="15" customHeight="1" s="489">
      <c r="A30" s="3" t="inlineStr">
        <is>
          <t>Consommation / Retail</t>
        </is>
      </c>
      <c r="B30" s="3" t="inlineStr">
        <is>
          <t>WACC</t>
        </is>
      </c>
      <c r="C30" s="285" t="n">
        <v>0.09</v>
      </c>
      <c r="D30" s="285" t="n">
        <v>0.08</v>
      </c>
      <c r="E30" s="285" t="n">
        <v>0.06</v>
      </c>
    </row>
    <row r="31" ht="15" customHeight="1" s="489">
      <c r="A31" s="3" t="inlineStr">
        <is>
          <t>Consommation / Retail</t>
        </is>
      </c>
      <c r="B31" s="3" t="inlineStr">
        <is>
          <t>EV/EBITDA Exit Multiple</t>
        </is>
      </c>
      <c r="C31" s="285" t="n">
        <v>5</v>
      </c>
      <c r="D31" s="285" t="n">
        <v>8</v>
      </c>
      <c r="E31" s="285" t="n">
        <v>11</v>
      </c>
    </row>
    <row r="32" ht="15" customHeight="1" s="489">
      <c r="A32" s="3" t="inlineStr">
        <is>
          <t>Luxe / Premium</t>
        </is>
      </c>
      <c r="B32" s="3" t="inlineStr">
        <is>
          <t>Revenue Growth Rate (Y1-Y5)</t>
        </is>
      </c>
      <c r="C32" s="285" t="n">
        <v>0.03</v>
      </c>
      <c r="D32" s="285" t="n">
        <v>0.08</v>
      </c>
      <c r="E32" s="285" t="n">
        <v>0.15</v>
      </c>
    </row>
    <row r="33" ht="15" customHeight="1" s="489">
      <c r="A33" s="3" t="inlineStr">
        <is>
          <t>Luxe / Premium</t>
        </is>
      </c>
      <c r="B33" s="3" t="inlineStr">
        <is>
          <t>Gross Margin</t>
        </is>
      </c>
      <c r="C33" s="285" t="n">
        <v>0.55</v>
      </c>
      <c r="D33" s="285" t="n">
        <v>0.65</v>
      </c>
      <c r="E33" s="285" t="n">
        <v>0.72</v>
      </c>
    </row>
    <row r="34" ht="15" customHeight="1" s="489">
      <c r="A34" s="3" t="inlineStr">
        <is>
          <t>Luxe / Premium</t>
        </is>
      </c>
      <c r="B34" s="3" t="inlineStr">
        <is>
          <t>EBITDA Margin</t>
        </is>
      </c>
      <c r="C34" s="285" t="n">
        <v>0.18</v>
      </c>
      <c r="D34" s="285" t="n">
        <v>0.28</v>
      </c>
      <c r="E34" s="285" t="n">
        <v>0.35</v>
      </c>
    </row>
    <row r="35" ht="15" customHeight="1" s="489">
      <c r="A35" s="3" t="inlineStr">
        <is>
          <t>Luxe / Premium</t>
        </is>
      </c>
      <c r="B35" s="3" t="inlineStr">
        <is>
          <t>SG&amp;A (% Revenue)</t>
        </is>
      </c>
      <c r="C35" s="285" t="n">
        <v>0.25</v>
      </c>
      <c r="D35" s="285" t="n">
        <v>0.18</v>
      </c>
      <c r="E35" s="285" t="n">
        <v>0.12</v>
      </c>
    </row>
    <row r="36" ht="15" customHeight="1" s="489">
      <c r="A36" s="3" t="inlineStr">
        <is>
          <t>Luxe / Premium</t>
        </is>
      </c>
      <c r="B36" s="3" t="inlineStr">
        <is>
          <t>R&amp;D (% Revenue)</t>
        </is>
      </c>
      <c r="C36" s="285" t="n">
        <v>0.02</v>
      </c>
      <c r="D36" s="285" t="n">
        <v>0.01</v>
      </c>
      <c r="E36" s="285" t="n">
        <v>0.01</v>
      </c>
    </row>
    <row r="37" ht="15" customHeight="1" s="489">
      <c r="A37" s="3" t="inlineStr">
        <is>
          <t>Luxe / Premium</t>
        </is>
      </c>
      <c r="B37" s="3" t="inlineStr">
        <is>
          <t>CapEx (% Revenue)</t>
        </is>
      </c>
      <c r="C37" s="285" t="n">
        <v>0.06</v>
      </c>
      <c r="D37" s="285" t="n">
        <v>0.04</v>
      </c>
      <c r="E37" s="285" t="n">
        <v>0.03</v>
      </c>
    </row>
    <row r="38" ht="15" customHeight="1" s="489">
      <c r="A38" s="3" t="inlineStr">
        <is>
          <t>Luxe / Premium</t>
        </is>
      </c>
      <c r="B38" s="3" t="inlineStr">
        <is>
          <t>Change in NWC (% Rev Change)</t>
        </is>
      </c>
      <c r="C38" s="285" t="n">
        <v>0.08</v>
      </c>
      <c r="D38" s="285" t="n">
        <v>0.05</v>
      </c>
      <c r="E38" s="285" t="n">
        <v>0.03</v>
      </c>
    </row>
    <row r="39" ht="15" customHeight="1" s="489">
      <c r="A39" s="3" t="inlineStr">
        <is>
          <t>Luxe / Premium</t>
        </is>
      </c>
      <c r="B39" s="3" t="inlineStr">
        <is>
          <t>Terminal Growth Rate</t>
        </is>
      </c>
      <c r="C39" s="285" t="n">
        <v>0.01</v>
      </c>
      <c r="D39" s="285" t="n">
        <v>0.02</v>
      </c>
      <c r="E39" s="285" t="n">
        <v>0.03</v>
      </c>
    </row>
    <row r="40" ht="15" customHeight="1" s="489">
      <c r="A40" s="3" t="inlineStr">
        <is>
          <t>Luxe / Premium</t>
        </is>
      </c>
      <c r="B40" s="3" t="inlineStr">
        <is>
          <t>WACC</t>
        </is>
      </c>
      <c r="C40" s="285" t="n">
        <v>0.08</v>
      </c>
      <c r="D40" s="285" t="n">
        <v>0.07000000000000001</v>
      </c>
      <c r="E40" s="285" t="n">
        <v>0.05</v>
      </c>
    </row>
    <row r="41" ht="15" customHeight="1" s="489">
      <c r="A41" s="3" t="inlineStr">
        <is>
          <t>Luxe / Premium</t>
        </is>
      </c>
      <c r="B41" s="3" t="inlineStr">
        <is>
          <t>EV/EBITDA Exit Multiple</t>
        </is>
      </c>
      <c r="C41" s="285" t="n">
        <v>12</v>
      </c>
      <c r="D41" s="285" t="n">
        <v>18</v>
      </c>
      <c r="E41" s="285" t="n">
        <v>25</v>
      </c>
    </row>
    <row r="42" ht="15" customHeight="1" s="489">
      <c r="A42" s="3" t="inlineStr">
        <is>
          <t>Energie / Utilities</t>
        </is>
      </c>
      <c r="B42" s="3" t="inlineStr">
        <is>
          <t>Revenue Growth Rate (Y1-Y5)</t>
        </is>
      </c>
      <c r="C42" s="285" t="n">
        <v>-0.02</v>
      </c>
      <c r="D42" s="285" t="n">
        <v>0.02</v>
      </c>
      <c r="E42" s="285" t="n">
        <v>0.05</v>
      </c>
    </row>
    <row r="43" ht="15" customHeight="1" s="489">
      <c r="A43" s="3" t="inlineStr">
        <is>
          <t>Energie / Utilities</t>
        </is>
      </c>
      <c r="B43" s="3" t="inlineStr">
        <is>
          <t>Gross Margin</t>
        </is>
      </c>
      <c r="C43" s="285" t="n">
        <v>0.2</v>
      </c>
      <c r="D43" s="285" t="n">
        <v>0.3</v>
      </c>
      <c r="E43" s="285" t="n">
        <v>0.4</v>
      </c>
    </row>
    <row r="44" ht="15" customHeight="1" s="489">
      <c r="A44" s="3" t="inlineStr">
        <is>
          <t>Energie / Utilities</t>
        </is>
      </c>
      <c r="B44" s="3" t="inlineStr">
        <is>
          <t>EBITDA Margin</t>
        </is>
      </c>
      <c r="C44" s="285" t="n">
        <v>0.15</v>
      </c>
      <c r="D44" s="285" t="n">
        <v>0.25</v>
      </c>
      <c r="E44" s="285" t="n">
        <v>0.35</v>
      </c>
    </row>
    <row r="45" ht="15" customHeight="1" s="489">
      <c r="A45" s="3" t="inlineStr">
        <is>
          <t>Energie / Utilities</t>
        </is>
      </c>
      <c r="B45" s="3" t="inlineStr">
        <is>
          <t>SG&amp;A (% Revenue)</t>
        </is>
      </c>
      <c r="C45" s="285" t="n">
        <v>0.08</v>
      </c>
      <c r="D45" s="285" t="n">
        <v>0.06</v>
      </c>
      <c r="E45" s="285" t="n">
        <v>0.04</v>
      </c>
    </row>
    <row r="46" ht="15" customHeight="1" s="489">
      <c r="A46" s="3" t="inlineStr">
        <is>
          <t>Energie / Utilities</t>
        </is>
      </c>
      <c r="B46" s="3" t="inlineStr">
        <is>
          <t>R&amp;D (% Revenue)</t>
        </is>
      </c>
      <c r="C46" s="285" t="n">
        <v>0.02</v>
      </c>
      <c r="D46" s="285" t="n">
        <v>0.01</v>
      </c>
      <c r="E46" s="285" t="n">
        <v>0.01</v>
      </c>
    </row>
    <row r="47" ht="15" customHeight="1" s="489">
      <c r="A47" s="3" t="inlineStr">
        <is>
          <t>Energie / Utilities</t>
        </is>
      </c>
      <c r="B47" s="3" t="inlineStr">
        <is>
          <t>CapEx (% Revenue)</t>
        </is>
      </c>
      <c r="C47" s="285" t="n">
        <v>0.15</v>
      </c>
      <c r="D47" s="285" t="n">
        <v>0.1</v>
      </c>
      <c r="E47" s="285" t="n">
        <v>0.07000000000000001</v>
      </c>
    </row>
    <row r="48" ht="15" customHeight="1" s="489">
      <c r="A48" s="3" t="inlineStr">
        <is>
          <t>Energie / Utilities</t>
        </is>
      </c>
      <c r="B48" s="3" t="inlineStr">
        <is>
          <t>Change in NWC (% Rev Change)</t>
        </is>
      </c>
      <c r="C48" s="285" t="n">
        <v>0.05</v>
      </c>
      <c r="D48" s="285" t="n">
        <v>0.04</v>
      </c>
      <c r="E48" s="285" t="n">
        <v>0.03</v>
      </c>
    </row>
    <row r="49" ht="15" customHeight="1" s="489">
      <c r="A49" s="3" t="inlineStr">
        <is>
          <t>Energie / Utilities</t>
        </is>
      </c>
      <c r="B49" s="3" t="inlineStr">
        <is>
          <t>Terminal Growth Rate</t>
        </is>
      </c>
      <c r="C49" s="285" t="n">
        <v>0</v>
      </c>
      <c r="D49" s="285" t="n">
        <v>0.01</v>
      </c>
      <c r="E49" s="285" t="n">
        <v>0.02</v>
      </c>
    </row>
    <row r="50" ht="15" customHeight="1" s="489">
      <c r="A50" s="3" t="inlineStr">
        <is>
          <t>Energie / Utilities</t>
        </is>
      </c>
      <c r="B50" s="3" t="inlineStr">
        <is>
          <t>WACC</t>
        </is>
      </c>
      <c r="C50" s="285" t="n">
        <v>0.07000000000000001</v>
      </c>
      <c r="D50" s="285" t="n">
        <v>0.06</v>
      </c>
      <c r="E50" s="285" t="n">
        <v>0.05</v>
      </c>
    </row>
    <row r="51" ht="15" customHeight="1" s="489">
      <c r="A51" s="3" t="inlineStr">
        <is>
          <t>Energie / Utilities</t>
        </is>
      </c>
      <c r="B51" s="3" t="inlineStr">
        <is>
          <t>EV/EBITDA Exit Multiple</t>
        </is>
      </c>
      <c r="C51" s="285" t="n">
        <v>6</v>
      </c>
      <c r="D51" s="285" t="n">
        <v>8</v>
      </c>
      <c r="E51" s="285" t="n">
        <v>11</v>
      </c>
    </row>
    <row r="52" ht="15" customHeight="1" s="489">
      <c r="A52" s="3" t="inlineStr">
        <is>
          <t>Sante / Pharma</t>
        </is>
      </c>
      <c r="B52" s="3" t="inlineStr">
        <is>
          <t>Revenue Growth Rate (Y1-Y5)</t>
        </is>
      </c>
      <c r="C52" s="285" t="n">
        <v>0.02</v>
      </c>
      <c r="D52" s="285" t="n">
        <v>0.06</v>
      </c>
      <c r="E52" s="285" t="n">
        <v>0.12</v>
      </c>
    </row>
    <row r="53" ht="15" customHeight="1" s="489">
      <c r="A53" s="3" t="inlineStr">
        <is>
          <t>Sante / Pharma</t>
        </is>
      </c>
      <c r="B53" s="3" t="inlineStr">
        <is>
          <t>Gross Margin</t>
        </is>
      </c>
      <c r="C53" s="285" t="n">
        <v>0.45</v>
      </c>
      <c r="D53" s="285" t="n">
        <v>0.6</v>
      </c>
      <c r="E53" s="285" t="n">
        <v>0.72</v>
      </c>
    </row>
    <row r="54" ht="15" customHeight="1" s="489">
      <c r="A54" s="3" t="inlineStr">
        <is>
          <t>Sante / Pharma</t>
        </is>
      </c>
      <c r="B54" s="3" t="inlineStr">
        <is>
          <t>EBITDA Margin</t>
        </is>
      </c>
      <c r="C54" s="285" t="n">
        <v>0.1</v>
      </c>
      <c r="D54" s="285" t="n">
        <v>0.2</v>
      </c>
      <c r="E54" s="285" t="n">
        <v>0.3</v>
      </c>
    </row>
    <row r="55" ht="15" customHeight="1" s="489">
      <c r="A55" s="3" t="inlineStr">
        <is>
          <t>Sante / Pharma</t>
        </is>
      </c>
      <c r="B55" s="3" t="inlineStr">
        <is>
          <t>SG&amp;A (% Revenue)</t>
        </is>
      </c>
      <c r="C55" s="285" t="n">
        <v>0.25</v>
      </c>
      <c r="D55" s="285" t="n">
        <v>0.18</v>
      </c>
      <c r="E55" s="285" t="n">
        <v>0.12</v>
      </c>
    </row>
    <row r="56" ht="15" customHeight="1" s="489">
      <c r="A56" s="3" t="inlineStr">
        <is>
          <t>Sante / Pharma</t>
        </is>
      </c>
      <c r="B56" s="3" t="inlineStr">
        <is>
          <t>R&amp;D (% Revenue)</t>
        </is>
      </c>
      <c r="C56" s="285" t="n">
        <v>0.2</v>
      </c>
      <c r="D56" s="285" t="n">
        <v>0.15</v>
      </c>
      <c r="E56" s="285" t="n">
        <v>0.1</v>
      </c>
    </row>
    <row r="57" ht="15" customHeight="1" s="489">
      <c r="A57" s="3" t="inlineStr">
        <is>
          <t>Sante / Pharma</t>
        </is>
      </c>
      <c r="B57" s="3" t="inlineStr">
        <is>
          <t>CapEx (% Revenue)</t>
        </is>
      </c>
      <c r="C57" s="285" t="n">
        <v>0.06</v>
      </c>
      <c r="D57" s="285" t="n">
        <v>0.04</v>
      </c>
      <c r="E57" s="285" t="n">
        <v>0.03</v>
      </c>
    </row>
    <row r="58" ht="15" customHeight="1" s="489">
      <c r="A58" s="3" t="inlineStr">
        <is>
          <t>Sante / Pharma</t>
        </is>
      </c>
      <c r="B58" s="3" t="inlineStr">
        <is>
          <t>Change in NWC (% Rev Change)</t>
        </is>
      </c>
      <c r="C58" s="285" t="n">
        <v>0.08</v>
      </c>
      <c r="D58" s="285" t="n">
        <v>0.05</v>
      </c>
      <c r="E58" s="285" t="n">
        <v>0.03</v>
      </c>
    </row>
    <row r="59" ht="15" customHeight="1" s="489">
      <c r="A59" s="3" t="inlineStr">
        <is>
          <t>Sante / Pharma</t>
        </is>
      </c>
      <c r="B59" s="3" t="inlineStr">
        <is>
          <t>Terminal Growth Rate</t>
        </is>
      </c>
      <c r="C59" s="285" t="n">
        <v>0.01</v>
      </c>
      <c r="D59" s="285" t="n">
        <v>0.02</v>
      </c>
      <c r="E59" s="285" t="n">
        <v>0.03</v>
      </c>
    </row>
    <row r="60" ht="15" customHeight="1" s="489">
      <c r="A60" s="3" t="inlineStr">
        <is>
          <t>Sante / Pharma</t>
        </is>
      </c>
      <c r="B60" s="3" t="inlineStr">
        <is>
          <t>WACC</t>
        </is>
      </c>
      <c r="C60" s="285" t="n">
        <v>0.08</v>
      </c>
      <c r="D60" s="285" t="n">
        <v>0.07000000000000001</v>
      </c>
      <c r="E60" s="285" t="n">
        <v>0.06</v>
      </c>
    </row>
    <row r="61" ht="15" customHeight="1" s="489">
      <c r="A61" s="3" t="inlineStr">
        <is>
          <t>Sante / Pharma</t>
        </is>
      </c>
      <c r="B61" s="3" t="inlineStr">
        <is>
          <t>EV/EBITDA Exit Multiple</t>
        </is>
      </c>
      <c r="C61" s="285" t="n">
        <v>8</v>
      </c>
      <c r="D61" s="285" t="n">
        <v>12</v>
      </c>
      <c r="E61" s="285" t="n">
        <v>18</v>
      </c>
    </row>
    <row r="62" ht="15" customHeight="1" s="489">
      <c r="A62" s="68" t="inlineStr">
        <is>
          <t>Energie / Oil &amp; Gas</t>
        </is>
      </c>
      <c r="B62" s="68" t="inlineStr">
        <is>
          <t>Revenue Growth Rate (Y1-Y5)</t>
        </is>
      </c>
      <c r="C62" s="581" t="n">
        <v>-0.05</v>
      </c>
      <c r="D62" s="581" t="n">
        <v>0.02</v>
      </c>
      <c r="E62" s="581" t="n">
        <v>0.06</v>
      </c>
    </row>
    <row r="63" ht="15" customHeight="1" s="489">
      <c r="A63" s="68" t="inlineStr">
        <is>
          <t>Energie / Oil &amp; Gas</t>
        </is>
      </c>
      <c r="B63" s="68" t="inlineStr">
        <is>
          <t>Gross Margin (after royalties)</t>
        </is>
      </c>
      <c r="C63" s="581" t="n">
        <v>0.22</v>
      </c>
      <c r="D63" s="581" t="n">
        <v>0.28</v>
      </c>
      <c r="E63" s="581" t="n">
        <v>0.34</v>
      </c>
    </row>
    <row r="64" ht="15" customHeight="1" s="489">
      <c r="A64" s="68" t="inlineStr">
        <is>
          <t>Energie / Oil &amp; Gas</t>
        </is>
      </c>
      <c r="B64" s="68" t="inlineStr">
        <is>
          <t>EBITDA Margin</t>
        </is>
      </c>
      <c r="C64" s="581" t="n">
        <v>0.15</v>
      </c>
      <c r="D64" s="581" t="n">
        <v>0.22</v>
      </c>
      <c r="E64" s="581" t="n">
        <v>0.28</v>
      </c>
    </row>
    <row r="65" ht="15" customHeight="1" s="489">
      <c r="A65" s="68" t="inlineStr">
        <is>
          <t>Energie / Oil &amp; Gas</t>
        </is>
      </c>
      <c r="B65" s="68" t="inlineStr">
        <is>
          <t>Production Cost (% Revenue)</t>
        </is>
      </c>
      <c r="C65" s="581" t="n">
        <v>0.04</v>
      </c>
      <c r="D65" s="581" t="n">
        <v>0.03</v>
      </c>
      <c r="E65" s="581" t="n">
        <v>0.02</v>
      </c>
    </row>
    <row r="66" ht="15" customHeight="1" s="489">
      <c r="A66" s="68" t="inlineStr">
        <is>
          <t>Energie / Oil &amp; Gas</t>
        </is>
      </c>
      <c r="B66" s="68" t="inlineStr">
        <is>
          <t>Exploration Expense (% Revenue)</t>
        </is>
      </c>
      <c r="C66" s="581" t="n">
        <v>0.01</v>
      </c>
      <c r="D66" s="581" t="n">
        <v>0.01</v>
      </c>
      <c r="E66" s="581" t="n">
        <v>0.01</v>
      </c>
    </row>
    <row r="67" ht="15" customHeight="1" s="489">
      <c r="A67" s="68" t="inlineStr">
        <is>
          <t>Energie / Oil &amp; Gas</t>
        </is>
      </c>
      <c r="B67" s="68" t="inlineStr">
        <is>
          <t>CapEx (% Revenue)</t>
        </is>
      </c>
      <c r="C67" s="581" t="n">
        <v>0.12</v>
      </c>
      <c r="D67" s="581" t="n">
        <v>0.09</v>
      </c>
      <c r="E67" s="581" t="n">
        <v>0.07000000000000001</v>
      </c>
    </row>
    <row r="68" ht="15" customHeight="1" s="489">
      <c r="A68" s="68" t="inlineStr">
        <is>
          <t>Energie / Oil &amp; Gas</t>
        </is>
      </c>
      <c r="B68" s="68" t="inlineStr">
        <is>
          <t>Change in NWC (% Rev Change)</t>
        </is>
      </c>
      <c r="C68" s="581" t="n">
        <v>0.04</v>
      </c>
      <c r="D68" s="581" t="n">
        <v>0.03</v>
      </c>
      <c r="E68" s="581" t="n">
        <v>0.02</v>
      </c>
    </row>
    <row r="69" ht="15" customHeight="1" s="489">
      <c r="A69" s="68" t="inlineStr">
        <is>
          <t>Energie / Oil &amp; Gas</t>
        </is>
      </c>
      <c r="B69" s="68" t="inlineStr">
        <is>
          <t>Terminal Growth Rate</t>
        </is>
      </c>
      <c r="C69" s="581" t="n">
        <v>0.01</v>
      </c>
      <c r="D69" s="581" t="n">
        <v>0.02</v>
      </c>
      <c r="E69" s="581" t="n">
        <v>0.03</v>
      </c>
    </row>
    <row r="70" ht="15" customHeight="1" s="489">
      <c r="A70" s="68" t="inlineStr">
        <is>
          <t>Energie / Oil &amp; Gas</t>
        </is>
      </c>
      <c r="B70" s="68" t="inlineStr">
        <is>
          <t>WACC</t>
        </is>
      </c>
      <c r="C70" s="581" t="n">
        <v>0.09</v>
      </c>
      <c r="D70" s="581" t="n">
        <v>0.08</v>
      </c>
      <c r="E70" s="581" t="n">
        <v>0.07000000000000001</v>
      </c>
    </row>
    <row r="71" ht="15" customHeight="1" s="489">
      <c r="A71" s="68" t="inlineStr">
        <is>
          <t>Energie / Oil &amp; Gas</t>
        </is>
      </c>
      <c r="B71" s="68" t="inlineStr">
        <is>
          <t>EV/EBITDA Exit Multiple</t>
        </is>
      </c>
      <c r="C71" s="430" t="n">
        <v>4</v>
      </c>
      <c r="D71" s="430" t="n">
        <v>6</v>
      </c>
      <c r="E71" s="430" t="n">
        <v>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2026-04-15T21:23:28Z</dcterms:modified>
  <cp:lastModifiedBy>Baptiste jeh</cp:lastModifiedBy>
  <cp:lastPrinted>2026-03-07T11:51:18Z</cp:lastPrinted>
</cp:coreProperties>
</file>