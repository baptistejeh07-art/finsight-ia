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15357bc9330a16b/Perso/Excel Finsight/"/>
    </mc:Choice>
  </mc:AlternateContent>
  <xr:revisionPtr revIDLastSave="0" documentId="8_{0C83DC80-94EB-45F0-B5B9-CA548F1358F0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ASHBOARD" sheetId="1" r:id="rId1"/>
    <sheet name="VALUE" sheetId="2" r:id="rId2"/>
    <sheet name="GROWTH" sheetId="3" r:id="rId3"/>
    <sheet name="QUALITY" sheetId="4" r:id="rId4"/>
    <sheet name="MOMENTUM" sheetId="5" r:id="rId5"/>
    <sheet name="ÉNERGIE" sheetId="6" r:id="rId6"/>
    <sheet name="DONNÉES BRUTES" sheetId="7" state="hidden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6" l="1"/>
  <c r="B16" i="6"/>
  <c r="B10" i="6"/>
  <c r="N4" i="6" a="1"/>
  <c r="N4" i="6" s="1"/>
  <c r="H4" i="6"/>
  <c r="C4" i="6"/>
  <c r="I8" i="1"/>
  <c r="K8" i="1" s="1"/>
  <c r="C8" i="1"/>
  <c r="F8" i="1" s="1"/>
  <c r="L3" i="1"/>
  <c r="H3" i="1"/>
  <c r="C19" i="1" a="1"/>
  <c r="C19" i="1" s="1"/>
  <c r="C18" i="1" a="1"/>
  <c r="C18" i="1" s="1"/>
  <c r="C17" i="1" a="1"/>
  <c r="C17" i="1" s="1"/>
  <c r="C16" i="1"/>
  <c r="B8" i="6"/>
  <c r="C7" i="5" a="1"/>
  <c r="C7" i="5" s="1"/>
  <c r="C7" i="4" a="1"/>
  <c r="C7" i="4" s="1"/>
  <c r="L7" i="4" s="1"/>
  <c r="L16" i="1"/>
  <c r="I16" i="1"/>
  <c r="H16" i="1"/>
  <c r="K3" i="5"/>
  <c r="G3" i="5"/>
  <c r="C3" i="5"/>
  <c r="J3" i="4"/>
  <c r="F3" i="4"/>
  <c r="C3" i="4"/>
  <c r="C26" i="3"/>
  <c r="K26" i="3" s="1"/>
  <c r="C25" i="3"/>
  <c r="L25" i="3" s="1"/>
  <c r="C24" i="3"/>
  <c r="M24" i="3" s="1"/>
  <c r="J23" i="3"/>
  <c r="C23" i="3"/>
  <c r="H23" i="3" s="1"/>
  <c r="M22" i="3"/>
  <c r="L22" i="3"/>
  <c r="K22" i="3"/>
  <c r="C22" i="3"/>
  <c r="H22" i="3" s="1"/>
  <c r="C21" i="3"/>
  <c r="D21" i="3" s="1"/>
  <c r="C20" i="3"/>
  <c r="L20" i="3" s="1"/>
  <c r="C19" i="3"/>
  <c r="K19" i="3" s="1"/>
  <c r="C18" i="3"/>
  <c r="I18" i="3" s="1"/>
  <c r="C17" i="3"/>
  <c r="K17" i="3" s="1"/>
  <c r="C16" i="3"/>
  <c r="J16" i="3" s="1"/>
  <c r="M15" i="3"/>
  <c r="C15" i="3"/>
  <c r="H15" i="3" s="1"/>
  <c r="C14" i="3"/>
  <c r="D14" i="3" s="1"/>
  <c r="C13" i="3"/>
  <c r="L13" i="3" s="1"/>
  <c r="C12" i="3"/>
  <c r="K12" i="3" s="1"/>
  <c r="C11" i="3"/>
  <c r="J11" i="3" s="1"/>
  <c r="C10" i="3"/>
  <c r="J10" i="3" s="1"/>
  <c r="M9" i="3"/>
  <c r="C9" i="3"/>
  <c r="J9" i="3" s="1"/>
  <c r="C8" i="3"/>
  <c r="H8" i="3" s="1"/>
  <c r="C7" i="3"/>
  <c r="D7" i="3" s="1"/>
  <c r="L3" i="3"/>
  <c r="G3" i="3"/>
  <c r="C3" i="3"/>
  <c r="M3" i="2"/>
  <c r="H3" i="2"/>
  <c r="C3" i="2"/>
  <c r="K16" i="1"/>
  <c r="O12" i="1"/>
  <c r="R12" i="1" s="1"/>
  <c r="O11" i="1"/>
  <c r="Q11" i="1" s="1"/>
  <c r="O10" i="1"/>
  <c r="R10" i="1" s="1"/>
  <c r="O9" i="1"/>
  <c r="R9" i="1" s="1"/>
  <c r="R8" i="1"/>
  <c r="Q8" i="1"/>
  <c r="O8" i="1"/>
  <c r="P8" i="1" s="1"/>
  <c r="C3" i="1"/>
  <c r="I9" i="1" l="1" a="1"/>
  <c r="I9" i="1" s="1"/>
  <c r="K9" i="1" s="1"/>
  <c r="Q10" i="1"/>
  <c r="F8" i="3"/>
  <c r="L12" i="3"/>
  <c r="G20" i="3"/>
  <c r="I8" i="3"/>
  <c r="M20" i="3"/>
  <c r="J8" i="3"/>
  <c r="I15" i="3"/>
  <c r="K8" i="3"/>
  <c r="J15" i="3"/>
  <c r="L8" i="3"/>
  <c r="K15" i="3"/>
  <c r="I22" i="3"/>
  <c r="C9" i="1" a="1"/>
  <c r="C9" i="1" s="1"/>
  <c r="M8" i="3"/>
  <c r="L15" i="3"/>
  <c r="J22" i="3"/>
  <c r="C10" i="1" a="1"/>
  <c r="C10" i="1" s="1"/>
  <c r="D10" i="1" s="1"/>
  <c r="C21" i="1" a="1"/>
  <c r="C21" i="1" s="1"/>
  <c r="I12" i="3"/>
  <c r="C9" i="5" a="1"/>
  <c r="C9" i="5" s="1"/>
  <c r="K9" i="5" s="1"/>
  <c r="C20" i="1" a="1"/>
  <c r="C20" i="1" s="1"/>
  <c r="L20" i="1" s="1"/>
  <c r="P10" i="1"/>
  <c r="D8" i="3"/>
  <c r="C8" i="5" a="1"/>
  <c r="C8" i="5" s="1"/>
  <c r="G8" i="3"/>
  <c r="H20" i="3"/>
  <c r="I20" i="3"/>
  <c r="I26" i="3"/>
  <c r="O19" i="1"/>
  <c r="N19" i="1"/>
  <c r="I19" i="1"/>
  <c r="H19" i="1"/>
  <c r="G19" i="1"/>
  <c r="L19" i="1"/>
  <c r="H18" i="1"/>
  <c r="N18" i="1"/>
  <c r="I18" i="1"/>
  <c r="L18" i="1"/>
  <c r="N17" i="1"/>
  <c r="I17" i="1"/>
  <c r="H17" i="1"/>
  <c r="L17" i="1"/>
  <c r="N20" i="1"/>
  <c r="O17" i="1"/>
  <c r="D18" i="1"/>
  <c r="G16" i="1"/>
  <c r="H20" i="1"/>
  <c r="O18" i="1"/>
  <c r="K18" i="1"/>
  <c r="G18" i="1"/>
  <c r="N16" i="1"/>
  <c r="O20" i="1"/>
  <c r="E18" i="1"/>
  <c r="G17" i="1"/>
  <c r="G20" i="1"/>
  <c r="I20" i="1"/>
  <c r="O16" i="1"/>
  <c r="C8" i="4" a="1"/>
  <c r="C8" i="4" s="1"/>
  <c r="I7" i="4"/>
  <c r="J9" i="5"/>
  <c r="H7" i="5"/>
  <c r="G7" i="5"/>
  <c r="F7" i="5"/>
  <c r="K7" i="5"/>
  <c r="L7" i="5"/>
  <c r="J7" i="5"/>
  <c r="G13" i="3"/>
  <c r="G18" i="3"/>
  <c r="D7" i="4"/>
  <c r="F11" i="3"/>
  <c r="I13" i="3"/>
  <c r="E16" i="1"/>
  <c r="G11" i="3"/>
  <c r="M13" i="3"/>
  <c r="G21" i="3"/>
  <c r="I11" i="3"/>
  <c r="F14" i="3"/>
  <c r="F16" i="3"/>
  <c r="K18" i="3"/>
  <c r="L21" i="3"/>
  <c r="F23" i="3"/>
  <c r="K25" i="3"/>
  <c r="M7" i="4"/>
  <c r="D9" i="3"/>
  <c r="L14" i="3"/>
  <c r="L18" i="3"/>
  <c r="G23" i="3"/>
  <c r="F7" i="3"/>
  <c r="F9" i="3"/>
  <c r="K11" i="3"/>
  <c r="L8" i="1"/>
  <c r="F10" i="1"/>
  <c r="R11" i="1"/>
  <c r="L7" i="3"/>
  <c r="G9" i="3"/>
  <c r="L11" i="3"/>
  <c r="D15" i="3"/>
  <c r="K16" i="3"/>
  <c r="D22" i="3"/>
  <c r="K23" i="3"/>
  <c r="D18" i="3"/>
  <c r="G8" i="5"/>
  <c r="I16" i="3"/>
  <c r="M18" i="3"/>
  <c r="I9" i="3"/>
  <c r="M11" i="3"/>
  <c r="F15" i="3"/>
  <c r="L16" i="3"/>
  <c r="I19" i="3"/>
  <c r="F22" i="3"/>
  <c r="L23" i="3"/>
  <c r="D25" i="3"/>
  <c r="F18" i="3"/>
  <c r="D11" i="3"/>
  <c r="D16" i="1"/>
  <c r="H18" i="3"/>
  <c r="I25" i="3"/>
  <c r="J7" i="4"/>
  <c r="H11" i="3"/>
  <c r="D16" i="3"/>
  <c r="J18" i="3"/>
  <c r="J25" i="3"/>
  <c r="J8" i="1"/>
  <c r="M25" i="3"/>
  <c r="L8" i="5"/>
  <c r="K9" i="3"/>
  <c r="G15" i="3"/>
  <c r="M16" i="3"/>
  <c r="L19" i="3"/>
  <c r="G22" i="3"/>
  <c r="M23" i="3"/>
  <c r="L26" i="3"/>
  <c r="F25" i="3"/>
  <c r="E9" i="1"/>
  <c r="H13" i="3"/>
  <c r="G25" i="3"/>
  <c r="H25" i="3"/>
  <c r="F7" i="4"/>
  <c r="F21" i="3"/>
  <c r="D23" i="3"/>
  <c r="I23" i="3" s="1"/>
  <c r="K7" i="4"/>
  <c r="G16" i="3"/>
  <c r="M21" i="3"/>
  <c r="L9" i="3"/>
  <c r="P12" i="1"/>
  <c r="D17" i="1"/>
  <c r="M19" i="3"/>
  <c r="Q12" i="1"/>
  <c r="E17" i="1"/>
  <c r="F10" i="3"/>
  <c r="H21" i="3"/>
  <c r="F24" i="3"/>
  <c r="D8" i="1"/>
  <c r="G7" i="3"/>
  <c r="D10" i="3"/>
  <c r="D17" i="3"/>
  <c r="D24" i="3"/>
  <c r="E8" i="1"/>
  <c r="H7" i="3"/>
  <c r="H14" i="3"/>
  <c r="F17" i="3"/>
  <c r="J9" i="1"/>
  <c r="P11" i="1"/>
  <c r="D20" i="1"/>
  <c r="I7" i="3"/>
  <c r="G10" i="3"/>
  <c r="D13" i="3"/>
  <c r="I14" i="3"/>
  <c r="G17" i="3"/>
  <c r="D20" i="3"/>
  <c r="I21" i="3"/>
  <c r="G24" i="3"/>
  <c r="M12" i="3"/>
  <c r="G14" i="3"/>
  <c r="M26" i="3"/>
  <c r="E20" i="1"/>
  <c r="J7" i="3"/>
  <c r="H10" i="3"/>
  <c r="F13" i="3"/>
  <c r="J14" i="3"/>
  <c r="H17" i="3"/>
  <c r="F20" i="3"/>
  <c r="J21" i="3"/>
  <c r="H24" i="3"/>
  <c r="D7" i="5"/>
  <c r="J8" i="5"/>
  <c r="K7" i="3"/>
  <c r="I10" i="3"/>
  <c r="K14" i="3"/>
  <c r="I17" i="3"/>
  <c r="K21" i="3"/>
  <c r="I24" i="3"/>
  <c r="K8" i="5"/>
  <c r="K17" i="1"/>
  <c r="J24" i="3"/>
  <c r="K10" i="3"/>
  <c r="D12" i="3"/>
  <c r="M14" i="3"/>
  <c r="Q9" i="1"/>
  <c r="E19" i="1"/>
  <c r="K20" i="1"/>
  <c r="H9" i="3"/>
  <c r="L10" i="3"/>
  <c r="F12" i="3"/>
  <c r="J13" i="3"/>
  <c r="H16" i="3"/>
  <c r="L17" i="3"/>
  <c r="F19" i="3"/>
  <c r="J20" i="3"/>
  <c r="L24" i="3"/>
  <c r="F26" i="3"/>
  <c r="G7" i="4"/>
  <c r="I7" i="5"/>
  <c r="J17" i="3"/>
  <c r="P9" i="1"/>
  <c r="K24" i="3"/>
  <c r="D26" i="3"/>
  <c r="M10" i="3"/>
  <c r="G12" i="3"/>
  <c r="K13" i="3"/>
  <c r="M17" i="3"/>
  <c r="G19" i="3"/>
  <c r="K20" i="3"/>
  <c r="G26" i="3"/>
  <c r="H7" i="4"/>
  <c r="D19" i="1"/>
  <c r="M7" i="3"/>
  <c r="D19" i="3"/>
  <c r="H12" i="3"/>
  <c r="H19" i="3"/>
  <c r="H26" i="3"/>
  <c r="K19" i="1"/>
  <c r="J12" i="3"/>
  <c r="J19" i="3"/>
  <c r="J26" i="3"/>
  <c r="D9" i="5" l="1"/>
  <c r="I9" i="5"/>
  <c r="F9" i="5"/>
  <c r="E10" i="1"/>
  <c r="I10" i="1" a="1"/>
  <c r="I10" i="1" s="1"/>
  <c r="F9" i="1"/>
  <c r="C11" i="1" a="1"/>
  <c r="C11" i="1" s="1"/>
  <c r="C10" i="5" a="1"/>
  <c r="C10" i="5" s="1"/>
  <c r="L9" i="5"/>
  <c r="F8" i="5"/>
  <c r="H8" i="5"/>
  <c r="H9" i="5"/>
  <c r="L9" i="1"/>
  <c r="I8" i="5"/>
  <c r="D8" i="5"/>
  <c r="G9" i="5"/>
  <c r="C11" i="5" a="1"/>
  <c r="C11" i="5" s="1"/>
  <c r="C22" i="1" a="1"/>
  <c r="C22" i="1" s="1"/>
  <c r="D9" i="1"/>
  <c r="D21" i="1"/>
  <c r="E21" i="1"/>
  <c r="G21" i="1"/>
  <c r="O21" i="1"/>
  <c r="I21" i="1"/>
  <c r="H21" i="1"/>
  <c r="L21" i="1"/>
  <c r="N21" i="1"/>
  <c r="K8" i="4"/>
  <c r="F8" i="4"/>
  <c r="D8" i="4"/>
  <c r="M8" i="4"/>
  <c r="I8" i="4"/>
  <c r="C9" i="4" a="1"/>
  <c r="C9" i="4" s="1"/>
  <c r="G8" i="4"/>
  <c r="J8" i="4"/>
  <c r="L8" i="4"/>
  <c r="H8" i="4"/>
  <c r="K21" i="1"/>
  <c r="C23" i="1" l="1" a="1"/>
  <c r="C23" i="1" s="1"/>
  <c r="C12" i="5" a="1"/>
  <c r="C12" i="5" s="1"/>
  <c r="F11" i="5"/>
  <c r="H11" i="5"/>
  <c r="K11" i="5"/>
  <c r="L11" i="5"/>
  <c r="I11" i="5"/>
  <c r="J11" i="5"/>
  <c r="D11" i="5"/>
  <c r="G11" i="5"/>
  <c r="L10" i="5"/>
  <c r="I10" i="5"/>
  <c r="F10" i="5"/>
  <c r="J10" i="5"/>
  <c r="G10" i="5"/>
  <c r="D10" i="5"/>
  <c r="K10" i="5"/>
  <c r="H10" i="5"/>
  <c r="D11" i="1"/>
  <c r="E11" i="1"/>
  <c r="F11" i="1"/>
  <c r="C12" i="1" a="1"/>
  <c r="C12" i="1" s="1"/>
  <c r="K10" i="1"/>
  <c r="J10" i="1"/>
  <c r="L10" i="1"/>
  <c r="I11" i="1" a="1"/>
  <c r="I11" i="1" s="1"/>
  <c r="I12" i="1" s="1" a="1"/>
  <c r="I12" i="1" s="1"/>
  <c r="I22" i="1"/>
  <c r="N22" i="1"/>
  <c r="G22" i="1"/>
  <c r="H22" i="1"/>
  <c r="L22" i="1"/>
  <c r="O22" i="1"/>
  <c r="F9" i="4"/>
  <c r="I9" i="4"/>
  <c r="K9" i="4"/>
  <c r="L9" i="4"/>
  <c r="D9" i="4"/>
  <c r="H9" i="4"/>
  <c r="M9" i="4"/>
  <c r="J9" i="4"/>
  <c r="G9" i="4"/>
  <c r="C10" i="4" a="1"/>
  <c r="C10" i="4" s="1"/>
  <c r="D22" i="1"/>
  <c r="K22" i="1"/>
  <c r="E22" i="1"/>
  <c r="L12" i="1" l="1"/>
  <c r="K12" i="1"/>
  <c r="J12" i="1"/>
  <c r="K12" i="5"/>
  <c r="L12" i="5"/>
  <c r="G12" i="5"/>
  <c r="J12" i="5"/>
  <c r="H12" i="5"/>
  <c r="I12" i="5"/>
  <c r="D12" i="5"/>
  <c r="F12" i="5"/>
  <c r="F12" i="1"/>
  <c r="E12" i="1"/>
  <c r="D12" i="1"/>
  <c r="C14" i="5" a="1"/>
  <c r="C14" i="5" s="1"/>
  <c r="L11" i="1"/>
  <c r="J11" i="1"/>
  <c r="K11" i="1"/>
  <c r="C13" i="5" a="1"/>
  <c r="C13" i="5" s="1"/>
  <c r="C24" i="1" a="1"/>
  <c r="C24" i="1" s="1"/>
  <c r="C25" i="1" s="1" a="1"/>
  <c r="C25" i="1" s="1"/>
  <c r="N23" i="1"/>
  <c r="G23" i="1"/>
  <c r="O23" i="1"/>
  <c r="H23" i="1"/>
  <c r="L23" i="1"/>
  <c r="I23" i="1"/>
  <c r="D23" i="1"/>
  <c r="E23" i="1"/>
  <c r="K23" i="1"/>
  <c r="I10" i="4"/>
  <c r="L10" i="4"/>
  <c r="F10" i="4"/>
  <c r="J10" i="4"/>
  <c r="K10" i="4"/>
  <c r="G10" i="4"/>
  <c r="H10" i="4"/>
  <c r="D10" i="4"/>
  <c r="M10" i="4"/>
  <c r="C11" i="4" a="1"/>
  <c r="C11" i="4" s="1"/>
  <c r="L14" i="5" l="1"/>
  <c r="I14" i="5"/>
  <c r="D14" i="5"/>
  <c r="J14" i="5"/>
  <c r="G14" i="5"/>
  <c r="H14" i="5"/>
  <c r="F14" i="5"/>
  <c r="K14" i="5"/>
  <c r="C15" i="5" a="1"/>
  <c r="C15" i="5" s="1"/>
  <c r="I13" i="5"/>
  <c r="D13" i="5"/>
  <c r="F13" i="5"/>
  <c r="L13" i="5"/>
  <c r="G13" i="5"/>
  <c r="K13" i="5"/>
  <c r="H13" i="5"/>
  <c r="J13" i="5"/>
  <c r="N24" i="1"/>
  <c r="G24" i="1"/>
  <c r="H24" i="1"/>
  <c r="L24" i="1"/>
  <c r="I24" i="1"/>
  <c r="O24" i="1"/>
  <c r="E24" i="1"/>
  <c r="K24" i="1"/>
  <c r="D24" i="1"/>
  <c r="K11" i="4"/>
  <c r="I11" i="4"/>
  <c r="M11" i="4"/>
  <c r="D11" i="4"/>
  <c r="L11" i="4"/>
  <c r="H11" i="4"/>
  <c r="F11" i="4"/>
  <c r="J11" i="4"/>
  <c r="G11" i="4"/>
  <c r="C12" i="4" a="1"/>
  <c r="C12" i="4" s="1"/>
  <c r="I15" i="5" l="1"/>
  <c r="D15" i="5"/>
  <c r="H15" i="5"/>
  <c r="F15" i="5"/>
  <c r="J15" i="5"/>
  <c r="G15" i="5"/>
  <c r="K15" i="5"/>
  <c r="L15" i="5"/>
  <c r="C16" i="5" a="1"/>
  <c r="C16" i="5" s="1"/>
  <c r="N25" i="1"/>
  <c r="G25" i="1"/>
  <c r="H25" i="1"/>
  <c r="L25" i="1"/>
  <c r="I25" i="1"/>
  <c r="O25" i="1"/>
  <c r="D25" i="1"/>
  <c r="E25" i="1"/>
  <c r="K25" i="1"/>
  <c r="M12" i="4"/>
  <c r="I12" i="4"/>
  <c r="G12" i="4"/>
  <c r="J12" i="4"/>
  <c r="K12" i="4"/>
  <c r="H12" i="4"/>
  <c r="L12" i="4"/>
  <c r="D12" i="4"/>
  <c r="F12" i="4"/>
  <c r="C13" i="4" a="1"/>
  <c r="C13" i="4" s="1"/>
  <c r="L16" i="5" l="1"/>
  <c r="K16" i="5"/>
  <c r="J16" i="5"/>
  <c r="D16" i="5"/>
  <c r="H16" i="5"/>
  <c r="I16" i="5"/>
  <c r="F16" i="5"/>
  <c r="G16" i="5"/>
  <c r="C17" i="5" a="1"/>
  <c r="C17" i="5" s="1"/>
  <c r="H13" i="4"/>
  <c r="I13" i="4"/>
  <c r="L13" i="4"/>
  <c r="D13" i="4"/>
  <c r="G13" i="4"/>
  <c r="K13" i="4"/>
  <c r="F13" i="4"/>
  <c r="J13" i="4"/>
  <c r="M13" i="4"/>
  <c r="C14" i="4" a="1"/>
  <c r="C14" i="4" s="1"/>
  <c r="I17" i="5" l="1"/>
  <c r="F17" i="5"/>
  <c r="K17" i="5"/>
  <c r="G17" i="5"/>
  <c r="J17" i="5"/>
  <c r="H17" i="5"/>
  <c r="D17" i="5"/>
  <c r="L17" i="5"/>
  <c r="C18" i="5" a="1"/>
  <c r="C18" i="5" s="1"/>
  <c r="L14" i="4"/>
  <c r="I14" i="4"/>
  <c r="F14" i="4"/>
  <c r="H14" i="4"/>
  <c r="K14" i="4"/>
  <c r="G14" i="4"/>
  <c r="D14" i="4"/>
  <c r="J14" i="4"/>
  <c r="M14" i="4"/>
  <c r="C15" i="4" a="1"/>
  <c r="C15" i="4" s="1"/>
  <c r="J18" i="5" l="1"/>
  <c r="F18" i="5"/>
  <c r="K18" i="5"/>
  <c r="D18" i="5"/>
  <c r="I18" i="5"/>
  <c r="L18" i="5"/>
  <c r="H18" i="5"/>
  <c r="G18" i="5"/>
  <c r="C19" i="5" a="1"/>
  <c r="C19" i="5" s="1"/>
  <c r="M15" i="4"/>
  <c r="I15" i="4"/>
  <c r="K15" i="4"/>
  <c r="H15" i="4"/>
  <c r="F15" i="4"/>
  <c r="D15" i="4"/>
  <c r="G15" i="4"/>
  <c r="L15" i="4"/>
  <c r="J15" i="4"/>
  <c r="C16" i="4" a="1"/>
  <c r="C16" i="4" s="1"/>
  <c r="D19" i="5" l="1"/>
  <c r="K19" i="5"/>
  <c r="L19" i="5"/>
  <c r="I19" i="5"/>
  <c r="F19" i="5"/>
  <c r="J19" i="5"/>
  <c r="G19" i="5"/>
  <c r="H19" i="5"/>
  <c r="C20" i="5" a="1"/>
  <c r="C20" i="5" s="1"/>
  <c r="F16" i="4"/>
  <c r="I16" i="4"/>
  <c r="G16" i="4"/>
  <c r="M16" i="4"/>
  <c r="J16" i="4"/>
  <c r="K16" i="4"/>
  <c r="H16" i="4"/>
  <c r="L16" i="4"/>
  <c r="D16" i="4"/>
  <c r="C17" i="4" a="1"/>
  <c r="C17" i="4" s="1"/>
  <c r="J20" i="5" l="1"/>
  <c r="G20" i="5"/>
  <c r="K20" i="5"/>
  <c r="H20" i="5"/>
  <c r="D20" i="5"/>
  <c r="F20" i="5"/>
  <c r="I20" i="5"/>
  <c r="L20" i="5"/>
  <c r="C21" i="5" a="1"/>
  <c r="C21" i="5" s="1"/>
  <c r="J17" i="4"/>
  <c r="I17" i="4"/>
  <c r="M17" i="4"/>
  <c r="H17" i="4"/>
  <c r="G17" i="4"/>
  <c r="L17" i="4"/>
  <c r="D17" i="4"/>
  <c r="F17" i="4"/>
  <c r="K17" i="4"/>
  <c r="C18" i="4" a="1"/>
  <c r="C18" i="4" s="1"/>
  <c r="L21" i="5" l="1"/>
  <c r="K21" i="5"/>
  <c r="J21" i="5"/>
  <c r="G21" i="5"/>
  <c r="H21" i="5"/>
  <c r="D21" i="5"/>
  <c r="I21" i="5"/>
  <c r="F21" i="5"/>
  <c r="C22" i="5" a="1"/>
  <c r="C22" i="5" s="1"/>
  <c r="K18" i="4"/>
  <c r="I18" i="4"/>
  <c r="L18" i="4"/>
  <c r="G18" i="4"/>
  <c r="D18" i="4"/>
  <c r="M18" i="4"/>
  <c r="J18" i="4"/>
  <c r="H18" i="4"/>
  <c r="F18" i="4"/>
  <c r="C19" i="4" a="1"/>
  <c r="C19" i="4" s="1"/>
  <c r="F22" i="5" l="1"/>
  <c r="H22" i="5"/>
  <c r="I22" i="5"/>
  <c r="J22" i="5"/>
  <c r="D22" i="5"/>
  <c r="G22" i="5"/>
  <c r="K22" i="5"/>
  <c r="L22" i="5"/>
  <c r="C23" i="5" a="1"/>
  <c r="C23" i="5" s="1"/>
  <c r="I19" i="4"/>
  <c r="H19" i="4"/>
  <c r="G19" i="4"/>
  <c r="L19" i="4"/>
  <c r="J19" i="4"/>
  <c r="F19" i="4"/>
  <c r="K19" i="4"/>
  <c r="M19" i="4"/>
  <c r="D19" i="4"/>
  <c r="C20" i="4" a="1"/>
  <c r="C20" i="4" s="1"/>
  <c r="K23" i="5" l="1"/>
  <c r="I23" i="5"/>
  <c r="G23" i="5"/>
  <c r="F23" i="5"/>
  <c r="J23" i="5"/>
  <c r="H23" i="5"/>
  <c r="L23" i="5"/>
  <c r="D23" i="5"/>
  <c r="C24" i="5" a="1"/>
  <c r="C24" i="5" s="1"/>
  <c r="H20" i="4"/>
  <c r="I20" i="4"/>
  <c r="L20" i="4"/>
  <c r="K20" i="4"/>
  <c r="J20" i="4"/>
  <c r="D20" i="4"/>
  <c r="M20" i="4"/>
  <c r="G20" i="4"/>
  <c r="F20" i="4"/>
  <c r="C21" i="4" a="1"/>
  <c r="C21" i="4" s="1"/>
  <c r="L24" i="5" l="1"/>
  <c r="G24" i="5"/>
  <c r="D24" i="5"/>
  <c r="I24" i="5"/>
  <c r="K24" i="5"/>
  <c r="H24" i="5"/>
  <c r="F24" i="5"/>
  <c r="J24" i="5"/>
  <c r="C25" i="5" a="1"/>
  <c r="C25" i="5" s="1"/>
  <c r="L21" i="4"/>
  <c r="I21" i="4"/>
  <c r="J21" i="4"/>
  <c r="M21" i="4"/>
  <c r="D21" i="4"/>
  <c r="H21" i="4"/>
  <c r="F21" i="4"/>
  <c r="G21" i="4"/>
  <c r="K21" i="4"/>
  <c r="C22" i="4" a="1"/>
  <c r="C22" i="4" s="1"/>
  <c r="G25" i="5" l="1"/>
  <c r="D25" i="5"/>
  <c r="L25" i="5"/>
  <c r="J25" i="5"/>
  <c r="F25" i="5"/>
  <c r="I25" i="5"/>
  <c r="K25" i="5"/>
  <c r="H25" i="5"/>
  <c r="C26" i="5" a="1"/>
  <c r="C26" i="5" s="1"/>
  <c r="I22" i="4"/>
  <c r="K22" i="4"/>
  <c r="F22" i="4"/>
  <c r="J22" i="4"/>
  <c r="H22" i="4"/>
  <c r="M22" i="4"/>
  <c r="N22" i="4"/>
  <c r="D22" i="4"/>
  <c r="L22" i="4"/>
  <c r="G22" i="4"/>
  <c r="C23" i="4" a="1"/>
  <c r="C23" i="4" s="1"/>
  <c r="L26" i="5" l="1"/>
  <c r="H26" i="5"/>
  <c r="I26" i="5"/>
  <c r="D26" i="5"/>
  <c r="G26" i="5"/>
  <c r="K26" i="5"/>
  <c r="F26" i="5"/>
  <c r="J26" i="5"/>
  <c r="D23" i="4"/>
  <c r="I23" i="4"/>
  <c r="N23" i="4"/>
  <c r="G23" i="4"/>
  <c r="H23" i="4"/>
  <c r="F23" i="4"/>
  <c r="M23" i="4"/>
  <c r="K23" i="4"/>
  <c r="L23" i="4"/>
  <c r="J23" i="4"/>
  <c r="C24" i="4" a="1"/>
  <c r="C24" i="4" s="1"/>
  <c r="H24" i="4" l="1"/>
  <c r="I24" i="4"/>
  <c r="G24" i="4"/>
  <c r="K24" i="4"/>
  <c r="L24" i="4"/>
  <c r="D24" i="4"/>
  <c r="J24" i="4"/>
  <c r="F24" i="4"/>
  <c r="N24" i="4"/>
  <c r="M24" i="4"/>
  <c r="C25" i="4" a="1"/>
  <c r="C25" i="4" s="1"/>
  <c r="I25" i="4" l="1"/>
  <c r="L25" i="4"/>
  <c r="N25" i="4"/>
  <c r="M25" i="4"/>
  <c r="H25" i="4"/>
  <c r="J25" i="4"/>
  <c r="K25" i="4"/>
  <c r="F25" i="4"/>
  <c r="D25" i="4"/>
  <c r="G25" i="4"/>
  <c r="C26" i="4" a="1"/>
  <c r="C26" i="4" s="1"/>
  <c r="K26" i="4" l="1"/>
  <c r="I26" i="4"/>
  <c r="G26" i="4"/>
  <c r="D26" i="4"/>
  <c r="L26" i="4"/>
  <c r="N26" i="4"/>
  <c r="M26" i="4"/>
  <c r="J26" i="4"/>
  <c r="H26" i="4"/>
  <c r="F2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<sst xmlns="http://schemas.openxmlformats.org/spreadsheetml/2006/main" count="2875" uniqueCount="803">
  <si>
    <t>Ticker</t>
  </si>
  <si>
    <t>Score Global</t>
  </si>
  <si>
    <t>Signal</t>
  </si>
  <si>
    <t>Nb</t>
  </si>
  <si>
    <t>Growth</t>
  </si>
  <si>
    <t>Quality</t>
  </si>
  <si>
    <t>Momentum</t>
  </si>
  <si>
    <t>Mg EBITDA (%)</t>
  </si>
  <si>
    <t>Zoom sectoriel  ·  Ratios clés  ·  Score FinSight  ·  Usage confidentiel</t>
  </si>
  <si>
    <t>APA</t>
  </si>
  <si>
    <t>Surpondérer</t>
  </si>
  <si>
    <t>CTRA</t>
  </si>
  <si>
    <t>APA Corporation</t>
  </si>
  <si>
    <t>DVN</t>
  </si>
  <si>
    <t>EXE</t>
  </si>
  <si>
    <t>Sociétés dans le secteur</t>
  </si>
  <si>
    <t>Market Cap totale</t>
  </si>
  <si>
    <t>Score moyen FinSight</t>
  </si>
  <si>
    <t>Meilleure société</t>
  </si>
  <si>
    <t>EV/EBITDA médiane</t>
  </si>
  <si>
    <t>EQT</t>
  </si>
  <si>
    <t>Neutre</t>
  </si>
  <si>
    <t>PSX</t>
  </si>
  <si>
    <t>COP</t>
  </si>
  <si>
    <t>#</t>
  </si>
  <si>
    <t>Société</t>
  </si>
  <si>
    <t>Score</t>
  </si>
  <si>
    <t>Val.</t>
  </si>
  <si>
    <t>Mom.</t>
  </si>
  <si>
    <t>EV/EBITDA</t>
  </si>
  <si>
    <t>EV/Rev.</t>
  </si>
  <si>
    <t>P/E</t>
  </si>
  <si>
    <t>Mg Brute</t>
  </si>
  <si>
    <t>Mg EBITDA</t>
  </si>
  <si>
    <t>Mom. 52S</t>
  </si>
  <si>
    <t>Altman Z</t>
  </si>
  <si>
    <t>TRGP</t>
  </si>
  <si>
    <t>EOG</t>
  </si>
  <si>
    <t>OKE</t>
  </si>
  <si>
    <t>Coterra Energy Inc.</t>
  </si>
  <si>
    <t>TPL</t>
  </si>
  <si>
    <t>Devon Energy Corporation</t>
  </si>
  <si>
    <t>FANG</t>
  </si>
  <si>
    <t>Expand Energy Corporation</t>
  </si>
  <si>
    <t>WMB</t>
  </si>
  <si>
    <t>BKR</t>
  </si>
  <si>
    <t>OXY</t>
  </si>
  <si>
    <t>EQT Corporation</t>
  </si>
  <si>
    <t>KMI</t>
  </si>
  <si>
    <t>Phillips 66</t>
  </si>
  <si>
    <t>ENI.MI</t>
  </si>
  <si>
    <t>ConocoPhillips</t>
  </si>
  <si>
    <t>MPC</t>
  </si>
  <si>
    <t>Targa Resources Corp.</t>
  </si>
  <si>
    <t>XOM</t>
  </si>
  <si>
    <t>Sous-pondérer</t>
  </si>
  <si>
    <t>EOG Resources, Inc.</t>
  </si>
  <si>
    <t>HAL</t>
  </si>
  <si>
    <t>ONEOK, Inc.</t>
  </si>
  <si>
    <t>BP.L</t>
  </si>
  <si>
    <t>Texas Pacific Land Corporation</t>
  </si>
  <si>
    <t>SLB</t>
  </si>
  <si>
    <t>Diamondback Energy, Inc.</t>
  </si>
  <si>
    <t>VLO</t>
  </si>
  <si>
    <t>The Williams Companies, Inc.</t>
  </si>
  <si>
    <t>TTE.PA</t>
  </si>
  <si>
    <t>Baker Hughes Company</t>
  </si>
  <si>
    <t>CVX</t>
  </si>
  <si>
    <t>Occidental Petroleum Corporation</t>
  </si>
  <si>
    <t>SHEL.L</t>
  </si>
  <si>
    <t>Kinder Morgan, Inc.</t>
  </si>
  <si>
    <t>DCC.L</t>
  </si>
  <si>
    <t>Eni S.p.A.</t>
  </si>
  <si>
    <t>—</t>
  </si>
  <si>
    <t>Marathon Petroleum Corporation</t>
  </si>
  <si>
    <t>Exxon Mobil Corporation</t>
  </si>
  <si>
    <t>Halliburton Company</t>
  </si>
  <si>
    <t>BP p.l.c.</t>
  </si>
  <si>
    <t>SLB N.V.</t>
  </si>
  <si>
    <t>Valero Energy Corporation</t>
  </si>
  <si>
    <t>TotalEnergies SE</t>
  </si>
  <si>
    <t>Chevron Corporation</t>
  </si>
  <si>
    <t>Shell plc</t>
  </si>
  <si>
    <t>DCC plc</t>
  </si>
  <si>
    <t>16/04/2026</t>
  </si>
  <si>
    <t>SOCIÉTÉS ANALYSÉES</t>
  </si>
  <si>
    <t>SCORE MOYEN SECTEUR</t>
  </si>
  <si>
    <t>MEILLEUR SCORE GLOBAL</t>
  </si>
  <si>
    <t>DATE D'ANALYSE</t>
  </si>
  <si>
    <t xml:space="preserve">TOP 5  ·  Classements par Facteur  ·  Growth </t>
  </si>
  <si>
    <t>Croiss. Rev</t>
  </si>
  <si>
    <t>Mom 52W</t>
  </si>
  <si>
    <t>TOP 10 GLOBAL  ·  Score Composite  ·  Growth / Quality / Momentum</t>
  </si>
  <si>
    <t>Next Earn.</t>
  </si>
  <si>
    <t>Mg%</t>
  </si>
  <si>
    <t>NVDA</t>
  </si>
  <si>
    <t>KLAC</t>
  </si>
  <si>
    <t>Sociétés</t>
  </si>
  <si>
    <t>#1 Score Global</t>
  </si>
  <si>
    <t>Moy. Score Score Global</t>
  </si>
  <si>
    <t>ANET</t>
  </si>
  <si>
    <t>AVGO</t>
  </si>
  <si>
    <t>EV/Rev</t>
  </si>
  <si>
    <t>FCF Yield</t>
  </si>
  <si>
    <t>MU</t>
  </si>
  <si>
    <t>100/100</t>
  </si>
  <si>
    <t>3.2x</t>
  </si>
  <si>
    <t>1.9x</t>
  </si>
  <si>
    <t>9.3x</t>
  </si>
  <si>
    <t>40.6%</t>
  </si>
  <si>
    <t>60.2%</t>
  </si>
  <si>
    <t>1.46</t>
  </si>
  <si>
    <t>13.3%</t>
  </si>
  <si>
    <t>MPWR</t>
  </si>
  <si>
    <t>96/100</t>
  </si>
  <si>
    <t>4.7x</t>
  </si>
  <si>
    <t>2.1x</t>
  </si>
  <si>
    <t>10.8x</t>
  </si>
  <si>
    <t>25.5%</t>
  </si>
  <si>
    <t>44.0%</t>
  </si>
  <si>
    <t>2.89</t>
  </si>
  <si>
    <t>9.8%</t>
  </si>
  <si>
    <t>LRCX</t>
  </si>
  <si>
    <t>92/100</t>
  </si>
  <si>
    <t>5.1x</t>
  </si>
  <si>
    <t>2.3x</t>
  </si>
  <si>
    <t>12.8x</t>
  </si>
  <si>
    <t>50.8%</t>
  </si>
  <si>
    <t>45.1%</t>
  </si>
  <si>
    <t>3.17</t>
  </si>
  <si>
    <t>7.0%</t>
  </si>
  <si>
    <t>WDC</t>
  </si>
  <si>
    <t>88/100</t>
  </si>
  <si>
    <t>5.8x</t>
  </si>
  <si>
    <t>3.7x</t>
  </si>
  <si>
    <t>14.2x</t>
  </si>
  <si>
    <t>41.5%</t>
  </si>
  <si>
    <t>63.5%</t>
  </si>
  <si>
    <t>3.35</t>
  </si>
  <si>
    <t>6.7%</t>
  </si>
  <si>
    <t>PTC</t>
  </si>
  <si>
    <t>83/100</t>
  </si>
  <si>
    <t>8.6x</t>
  </si>
  <si>
    <t>0.6x</t>
  </si>
  <si>
    <t>14.9x</t>
  </si>
  <si>
    <t>7.4%</t>
  </si>
  <si>
    <t>3.12</t>
  </si>
  <si>
    <t>4.2%</t>
  </si>
  <si>
    <t>AMD</t>
  </si>
  <si>
    <t>79/100</t>
  </si>
  <si>
    <t>6.9x</t>
  </si>
  <si>
    <t>3.4x</t>
  </si>
  <si>
    <t>14.4x</t>
  </si>
  <si>
    <t>63.4%</t>
  </si>
  <si>
    <t>49.0%</t>
  </si>
  <si>
    <t>4.53</t>
  </si>
  <si>
    <t>4.8%</t>
  </si>
  <si>
    <t>ASML</t>
  </si>
  <si>
    <t>ASML.AS</t>
  </si>
  <si>
    <t>75/100</t>
  </si>
  <si>
    <t>8.2x</t>
  </si>
  <si>
    <t>0.7x</t>
  </si>
  <si>
    <t>16.5x</t>
  </si>
  <si>
    <t>7.5%</t>
  </si>
  <si>
    <t>8.8%</t>
  </si>
  <si>
    <t>2.92</t>
  </si>
  <si>
    <t>7.1%</t>
  </si>
  <si>
    <t>ADI</t>
  </si>
  <si>
    <t>71/100</t>
  </si>
  <si>
    <t>6.4x</t>
  </si>
  <si>
    <t>2.8x</t>
  </si>
  <si>
    <t>18.6x</t>
  </si>
  <si>
    <t>25.1%</t>
  </si>
  <si>
    <t>43.4%</t>
  </si>
  <si>
    <t>3.98</t>
  </si>
  <si>
    <t>4.9%</t>
  </si>
  <si>
    <t>GLW</t>
  </si>
  <si>
    <t>67/100</t>
  </si>
  <si>
    <t>11.1x</t>
  </si>
  <si>
    <t>2.6x</t>
  </si>
  <si>
    <t>15.8x</t>
  </si>
  <si>
    <t>26.0%</t>
  </si>
  <si>
    <t>23.2%</t>
  </si>
  <si>
    <t>1.10</t>
  </si>
  <si>
    <t>4.6%</t>
  </si>
  <si>
    <t>INTC</t>
  </si>
  <si>
    <t>62/100</t>
  </si>
  <si>
    <t>7.3x</t>
  </si>
  <si>
    <t>5.3x</t>
  </si>
  <si>
    <t>17.8x</t>
  </si>
  <si>
    <t>43.2%</t>
  </si>
  <si>
    <t>72.0%</t>
  </si>
  <si>
    <t>2.52</t>
  </si>
  <si>
    <t>7.8%</t>
  </si>
  <si>
    <t>KEYS</t>
  </si>
  <si>
    <t>58/100</t>
  </si>
  <si>
    <t>9.7x</t>
  </si>
  <si>
    <t>2.0x</t>
  </si>
  <si>
    <t>21.9x</t>
  </si>
  <si>
    <t>22.0%</t>
  </si>
  <si>
    <t>21.0%</t>
  </si>
  <si>
    <t>5.79</t>
  </si>
  <si>
    <t>3.7%</t>
  </si>
  <si>
    <t>APH</t>
  </si>
  <si>
    <t>54/100</t>
  </si>
  <si>
    <t>6.5x</t>
  </si>
  <si>
    <t>3.5x</t>
  </si>
  <si>
    <t>24.2x</t>
  </si>
  <si>
    <t>34.9%</t>
  </si>
  <si>
    <t>54.0%</t>
  </si>
  <si>
    <t>1.74</t>
  </si>
  <si>
    <t>7.3%</t>
  </si>
  <si>
    <t>CDNS</t>
  </si>
  <si>
    <t>50/100</t>
  </si>
  <si>
    <t>11.3x</t>
  </si>
  <si>
    <t>1.7x</t>
  </si>
  <si>
    <t>24.7x</t>
  </si>
  <si>
    <t>15.7%</t>
  </si>
  <si>
    <t>14.7%</t>
  </si>
  <si>
    <t>4.81</t>
  </si>
  <si>
    <t>5.3%</t>
  </si>
  <si>
    <t>SNPS</t>
  </si>
  <si>
    <t>46/100</t>
  </si>
  <si>
    <t>12.4x</t>
  </si>
  <si>
    <t>2.4x</t>
  </si>
  <si>
    <t>23.0x</t>
  </si>
  <si>
    <t>18.2%</t>
  </si>
  <si>
    <t>19.5%</t>
  </si>
  <si>
    <t>3.23</t>
  </si>
  <si>
    <t>5.8%</t>
  </si>
  <si>
    <t>TER</t>
  </si>
  <si>
    <t>42/100</t>
  </si>
  <si>
    <t>14.6x</t>
  </si>
  <si>
    <t>23.2x</t>
  </si>
  <si>
    <t>23.6%</t>
  </si>
  <si>
    <t>15.5%</t>
  </si>
  <si>
    <t>1.95</t>
  </si>
  <si>
    <t>ADSK</t>
  </si>
  <si>
    <t>38/100</t>
  </si>
  <si>
    <t>9.8x</t>
  </si>
  <si>
    <t>2.2x</t>
  </si>
  <si>
    <t>30.4x</t>
  </si>
  <si>
    <t>30.4%</t>
  </si>
  <si>
    <t>22.5%</t>
  </si>
  <si>
    <t>4.09</t>
  </si>
  <si>
    <t>4.4%</t>
  </si>
  <si>
    <t>33/100</t>
  </si>
  <si>
    <t>11.6x</t>
  </si>
  <si>
    <t>30.8x</t>
  </si>
  <si>
    <t>5.5%</t>
  </si>
  <si>
    <t>4.93</t>
  </si>
  <si>
    <t>29/100</t>
  </si>
  <si>
    <t>14.3x</t>
  </si>
  <si>
    <t>6.0x</t>
  </si>
  <si>
    <t>52.9%</t>
  </si>
  <si>
    <t>42.4%</t>
  </si>
  <si>
    <t>0.65</t>
  </si>
  <si>
    <t>4.1%</t>
  </si>
  <si>
    <t>25/100</t>
  </si>
  <si>
    <t>14.1x</t>
  </si>
  <si>
    <t>4.0x</t>
  </si>
  <si>
    <t>26.8x</t>
  </si>
  <si>
    <t>29.4%</t>
  </si>
  <si>
    <t>28.5%</t>
  </si>
  <si>
    <t>1.02</t>
  </si>
  <si>
    <t>1.1%</t>
  </si>
  <si>
    <t>21/100</t>
  </si>
  <si>
    <t>4.5x</t>
  </si>
  <si>
    <t>31.6x</t>
  </si>
  <si>
    <t>35.0%</t>
  </si>
  <si>
    <t>48.1%</t>
  </si>
  <si>
    <t>1.55</t>
  </si>
  <si>
    <t>-1.3%</t>
  </si>
  <si>
    <t>Rev%</t>
  </si>
  <si>
    <t>Score Growth</t>
  </si>
  <si>
    <t>#1 Growth</t>
  </si>
  <si>
    <t>Moy. Score Growth</t>
  </si>
  <si>
    <t>STX</t>
  </si>
  <si>
    <t>Mg Nette</t>
  </si>
  <si>
    <t>ROE</t>
  </si>
  <si>
    <t>SAP.DE</t>
  </si>
  <si>
    <t>XYZ</t>
  </si>
  <si>
    <t>SMCI</t>
  </si>
  <si>
    <t>NOW</t>
  </si>
  <si>
    <t>IBM</t>
  </si>
  <si>
    <t>AltZ</t>
  </si>
  <si>
    <t>Beneish M</t>
  </si>
  <si>
    <t>DSY.PA</t>
  </si>
  <si>
    <t>VRSN</t>
  </si>
  <si>
    <t>#1 Quality</t>
  </si>
  <si>
    <t>Moy. Score Quality</t>
  </si>
  <si>
    <t>ADBE</t>
  </si>
  <si>
    <t>Current R.</t>
  </si>
  <si>
    <t>ND/EBITDA</t>
  </si>
  <si>
    <t>FICO</t>
  </si>
  <si>
    <t>FTNT</t>
  </si>
  <si>
    <t>SGE.L</t>
  </si>
  <si>
    <t>MSFT</t>
  </si>
  <si>
    <t>PAYC</t>
  </si>
  <si>
    <t>FFIV</t>
  </si>
  <si>
    <t>CPAY</t>
  </si>
  <si>
    <t>INTU</t>
  </si>
  <si>
    <t>Mom%</t>
  </si>
  <si>
    <t>Score Momentum</t>
  </si>
  <si>
    <t>SNDK</t>
  </si>
  <si>
    <t>#1 Momentum</t>
  </si>
  <si>
    <t>Moy. Score Momentum</t>
  </si>
  <si>
    <t>CIEN</t>
  </si>
  <si>
    <t>AMAT</t>
  </si>
  <si>
    <t>NOKIA</t>
  </si>
  <si>
    <t>NOKIA.HE</t>
  </si>
  <si>
    <t>JBL</t>
  </si>
  <si>
    <t>AKAM</t>
  </si>
  <si>
    <t>ON</t>
  </si>
  <si>
    <t>Secteur</t>
  </si>
  <si>
    <t>Cours</t>
  </si>
  <si>
    <t>Mkt Cap</t>
  </si>
  <si>
    <t>EV</t>
  </si>
  <si>
    <t>Rev LTM</t>
  </si>
  <si>
    <t>EBITDA LTM</t>
  </si>
  <si>
    <t>EPS</t>
  </si>
  <si>
    <t>Cro Rev</t>
  </si>
  <si>
    <t>ROA</t>
  </si>
  <si>
    <t>Current R</t>
  </si>
  <si>
    <t>Score Val</t>
  </si>
  <si>
    <t>Score Gr</t>
  </si>
  <si>
    <t>Score Qual</t>
  </si>
  <si>
    <t>Score Mom</t>
  </si>
  <si>
    <t>Next Earn</t>
  </si>
  <si>
    <t>Énergie</t>
  </si>
  <si>
    <t>$37.74</t>
  </si>
  <si>
    <t>$13.3</t>
  </si>
  <si>
    <t>$17.3</t>
  </si>
  <si>
    <t>$8.9</t>
  </si>
  <si>
    <t>$5.4</t>
  </si>
  <si>
    <t>$4.06</t>
  </si>
  <si>
    <t>0.82</t>
  </si>
  <si>
    <t>-3.44</t>
  </si>
  <si>
    <t>+129.6%</t>
  </si>
  <si>
    <t>2026-05-06</t>
  </si>
  <si>
    <t>$31.99</t>
  </si>
  <si>
    <t>$24.3</t>
  </si>
  <si>
    <t>$28.0</t>
  </si>
  <si>
    <t>$7.6</t>
  </si>
  <si>
    <t>$4.8</t>
  </si>
  <si>
    <t>$2.26</t>
  </si>
  <si>
    <t>+7.1%</t>
  </si>
  <si>
    <t>1.19</t>
  </si>
  <si>
    <t>0.8x</t>
  </si>
  <si>
    <t>-3.11</t>
  </si>
  <si>
    <t>+36.1%</t>
  </si>
  <si>
    <t>2026-05-04</t>
  </si>
  <si>
    <t>$45.74</t>
  </si>
  <si>
    <t>$28.4</t>
  </si>
  <si>
    <t>$35.4</t>
  </si>
  <si>
    <t>$17.2</t>
  </si>
  <si>
    <t>$4.25</t>
  </si>
  <si>
    <t>0.98</t>
  </si>
  <si>
    <t>0.9x</t>
  </si>
  <si>
    <t>-2.99</t>
  </si>
  <si>
    <t>+55.1%</t>
  </si>
  <si>
    <t>2026-05-05</t>
  </si>
  <si>
    <t>$97.12</t>
  </si>
  <si>
    <t>$23.4</t>
  </si>
  <si>
    <t>$27.8</t>
  </si>
  <si>
    <t>$12.2</t>
  </si>
  <si>
    <t>$5.5</t>
  </si>
  <si>
    <t>$7.57</t>
  </si>
  <si>
    <t>1.01</t>
  </si>
  <si>
    <t>-2.82</t>
  </si>
  <si>
    <t>-13.8%</t>
  </si>
  <si>
    <t>2026-04-28</t>
  </si>
  <si>
    <t>$58.33</t>
  </si>
  <si>
    <t>$36.4</t>
  </si>
  <si>
    <t>$44.1</t>
  </si>
  <si>
    <t>$8.3</t>
  </si>
  <si>
    <t>$6.0</t>
  </si>
  <si>
    <t>$3.27</t>
  </si>
  <si>
    <t>0.76</t>
  </si>
  <si>
    <t>1.3x</t>
  </si>
  <si>
    <t>-3.41</t>
  </si>
  <si>
    <t>2026-04-21</t>
  </si>
  <si>
    <t>$163.47</t>
  </si>
  <si>
    <t>$65.5</t>
  </si>
  <si>
    <t>$84.2</t>
  </si>
  <si>
    <t>$132.4</t>
  </si>
  <si>
    <t>$9.8</t>
  </si>
  <si>
    <t>$10.98</t>
  </si>
  <si>
    <t>1.30</t>
  </si>
  <si>
    <t>-3.47</t>
  </si>
  <si>
    <t>+49.3%</t>
  </si>
  <si>
    <t>2026-04-24</t>
  </si>
  <si>
    <t>$121.32</t>
  </si>
  <si>
    <t>$148.3</t>
  </si>
  <si>
    <t>$164.4</t>
  </si>
  <si>
    <t>$58.9</t>
  </si>
  <si>
    <t>$25.6</t>
  </si>
  <si>
    <t>$6.54</t>
  </si>
  <si>
    <t>-2.97</t>
  </si>
  <si>
    <t>+47.0%</t>
  </si>
  <si>
    <t>2026-04-30</t>
  </si>
  <si>
    <t>$239.64</t>
  </si>
  <si>
    <t>$51.5</t>
  </si>
  <si>
    <t>$68.4</t>
  </si>
  <si>
    <t>$17.0</t>
  </si>
  <si>
    <t>$8.95</t>
  </si>
  <si>
    <t>0.67</t>
  </si>
  <si>
    <t>-3.34</t>
  </si>
  <si>
    <t>+54.4%</t>
  </si>
  <si>
    <t>$133.94</t>
  </si>
  <si>
    <t>$71.9</t>
  </si>
  <si>
    <t>$76.8</t>
  </si>
  <si>
    <t>$22.6</t>
  </si>
  <si>
    <t>$11.1</t>
  </si>
  <si>
    <t>$9.28</t>
  </si>
  <si>
    <t>1.63</t>
  </si>
  <si>
    <t>0.4x</t>
  </si>
  <si>
    <t>-3.01</t>
  </si>
  <si>
    <t>+26.8%</t>
  </si>
  <si>
    <t>$85.03</t>
  </si>
  <si>
    <t>$53.6</t>
  </si>
  <si>
    <t>$86.3</t>
  </si>
  <si>
    <t>$33.6</t>
  </si>
  <si>
    <t>$7.8</t>
  </si>
  <si>
    <t>$5.39</t>
  </si>
  <si>
    <t>0.71</t>
  </si>
  <si>
    <t>4.2x</t>
  </si>
  <si>
    <t>-2.60</t>
  </si>
  <si>
    <t>+11.0%</t>
  </si>
  <si>
    <t>$425.61</t>
  </si>
  <si>
    <t>$29.3</t>
  </si>
  <si>
    <t>$29.2</t>
  </si>
  <si>
    <t>$0.8</t>
  </si>
  <si>
    <t>$0.7</t>
  </si>
  <si>
    <t>43.6x</t>
  </si>
  <si>
    <t>36.5x</t>
  </si>
  <si>
    <t>61.0x</t>
  </si>
  <si>
    <t>$6.98</t>
  </si>
  <si>
    <t>4.34</t>
  </si>
  <si>
    <t>-0.2x</t>
  </si>
  <si>
    <t>16.05</t>
  </si>
  <si>
    <t>-2.72</t>
  </si>
  <si>
    <t>+15.3%</t>
  </si>
  <si>
    <t>$186.87</t>
  </si>
  <si>
    <t>$52.6</t>
  </si>
  <si>
    <t>$67.0</t>
  </si>
  <si>
    <t>$14.9</t>
  </si>
  <si>
    <t>$7.2</t>
  </si>
  <si>
    <t>$5.92</t>
  </si>
  <si>
    <t>0.42</t>
  </si>
  <si>
    <t>-3.08</t>
  </si>
  <si>
    <t>+42.7%</t>
  </si>
  <si>
    <t>$70.75</t>
  </si>
  <si>
    <t>$86.5</t>
  </si>
  <si>
    <t>$115.8</t>
  </si>
  <si>
    <t>$11.9</t>
  </si>
  <si>
    <t>$7.4</t>
  </si>
  <si>
    <t>15.6x</t>
  </si>
  <si>
    <t>33.1x</t>
  </si>
  <si>
    <t>$2.14</t>
  </si>
  <si>
    <t>0.53</t>
  </si>
  <si>
    <t>-0.11</t>
  </si>
  <si>
    <t>-3.07</t>
  </si>
  <si>
    <t>+20.8%</t>
  </si>
  <si>
    <t>$60.56</t>
  </si>
  <si>
    <t>$60.1</t>
  </si>
  <si>
    <t>$62.4</t>
  </si>
  <si>
    <t>$27.7</t>
  </si>
  <si>
    <t>$4.3</t>
  </si>
  <si>
    <t>$2.61</t>
  </si>
  <si>
    <t>1.36</t>
  </si>
  <si>
    <t>-3.16</t>
  </si>
  <si>
    <t>+66.8%</t>
  </si>
  <si>
    <t>2026-04-23</t>
  </si>
  <si>
    <t>$56.91</t>
  </si>
  <si>
    <t>$56.4</t>
  </si>
  <si>
    <t>$75.9</t>
  </si>
  <si>
    <t>$21.6</t>
  </si>
  <si>
    <t>$11.7</t>
  </si>
  <si>
    <t>$2.35</t>
  </si>
  <si>
    <t>0.94</t>
  </si>
  <si>
    <t>-3.04</t>
  </si>
  <si>
    <t>+42.6%</t>
  </si>
  <si>
    <t>$31.77</t>
  </si>
  <si>
    <t>$70.7</t>
  </si>
  <si>
    <t>$102.4</t>
  </si>
  <si>
    <t>$16.9</t>
  </si>
  <si>
    <t>$1.37</t>
  </si>
  <si>
    <t>0.64</t>
  </si>
  <si>
    <t>4.4x</t>
  </si>
  <si>
    <t>-2.95</t>
  </si>
  <si>
    <t>+16.9%</t>
  </si>
  <si>
    <t>2026-04-15</t>
  </si>
  <si>
    <t>€23.41</t>
  </si>
  <si>
    <t>€68.8</t>
  </si>
  <si>
    <t>€89.2</t>
  </si>
  <si>
    <t>1.14</t>
  </si>
  <si>
    <t>+92.3%</t>
  </si>
  <si>
    <t>$226.76</t>
  </si>
  <si>
    <t>$66.8</t>
  </si>
  <si>
    <t>$96.0</t>
  </si>
  <si>
    <t>$132.7</t>
  </si>
  <si>
    <t>$13.74</t>
  </si>
  <si>
    <t>-4.4%</t>
  </si>
  <si>
    <t>1.26</t>
  </si>
  <si>
    <t>2.5x</t>
  </si>
  <si>
    <t>-3.22</t>
  </si>
  <si>
    <t>+44.1%</t>
  </si>
  <si>
    <t>$151.85</t>
  </si>
  <si>
    <t>$631.2</t>
  </si>
  <si>
    <t>$657.7</t>
  </si>
  <si>
    <t>$323.9</t>
  </si>
  <si>
    <t>$67.9</t>
  </si>
  <si>
    <t>$6.94</t>
  </si>
  <si>
    <t>1.15</t>
  </si>
  <si>
    <t>-3.09</t>
  </si>
  <si>
    <t>+53.5%</t>
  </si>
  <si>
    <t>2026-05-01</t>
  </si>
  <si>
    <t>$38.03</t>
  </si>
  <si>
    <t>$31.8</t>
  </si>
  <si>
    <t>$37.0</t>
  </si>
  <si>
    <t>$22.2</t>
  </si>
  <si>
    <t>$3.3</t>
  </si>
  <si>
    <t>$1.54</t>
  </si>
  <si>
    <t>2.04</t>
  </si>
  <si>
    <t>1.6x</t>
  </si>
  <si>
    <t>-2.91</t>
  </si>
  <si>
    <t>+99.5%</t>
  </si>
  <si>
    <t>$584.00</t>
  </si>
  <si>
    <t>$9,022.1</t>
  </si>
  <si>
    <t>$9,048.2</t>
  </si>
  <si>
    <t>$189.3</t>
  </si>
  <si>
    <t>$30.7</t>
  </si>
  <si>
    <t>294.7x</t>
  </si>
  <si>
    <t>47.8x</t>
  </si>
  <si>
    <t>$0.00</t>
  </si>
  <si>
    <t>1.25</t>
  </si>
  <si>
    <t>+62.4%</t>
  </si>
  <si>
    <t>$51.85</t>
  </si>
  <si>
    <t>$77.8</t>
  </si>
  <si>
    <t>$86.4</t>
  </si>
  <si>
    <t>$35.7</t>
  </si>
  <si>
    <t>$7.0</t>
  </si>
  <si>
    <t>$2.25</t>
  </si>
  <si>
    <t>1.33</t>
  </si>
  <si>
    <t>1.2x</t>
  </si>
  <si>
    <t>-2.85</t>
  </si>
  <si>
    <t>+61.7%</t>
  </si>
  <si>
    <t>$241.69</t>
  </si>
  <si>
    <t>$72.2</t>
  </si>
  <si>
    <t>$78.2</t>
  </si>
  <si>
    <t>$122.7</t>
  </si>
  <si>
    <t>$6.7</t>
  </si>
  <si>
    <t>$7.85</t>
  </si>
  <si>
    <t>1.65</t>
  </si>
  <si>
    <t>-3.29</t>
  </si>
  <si>
    <t>+92.9%</t>
  </si>
  <si>
    <t>€77.12</t>
  </si>
  <si>
    <t>€164.5</t>
  </si>
  <si>
    <t>€189.6</t>
  </si>
  <si>
    <t>+58.2%</t>
  </si>
  <si>
    <t>2026-04-29</t>
  </si>
  <si>
    <t>$187.65</t>
  </si>
  <si>
    <t>$373.8</t>
  </si>
  <si>
    <t>$406.8</t>
  </si>
  <si>
    <t>$184.4</t>
  </si>
  <si>
    <t>$41.4</t>
  </si>
  <si>
    <t>$6.17</t>
  </si>
  <si>
    <t>-3.35</t>
  </si>
  <si>
    <t>+43.4%</t>
  </si>
  <si>
    <t>$3,384.50</t>
  </si>
  <si>
    <t>$18,934.5</t>
  </si>
  <si>
    <t>$18,951.6</t>
  </si>
  <si>
    <t>$266.9</t>
  </si>
  <si>
    <t>$56.7</t>
  </si>
  <si>
    <t>334.5x</t>
  </si>
  <si>
    <t>71.0x</t>
  </si>
  <si>
    <t>1061.0x</t>
  </si>
  <si>
    <t>$3.19</t>
  </si>
  <si>
    <t>0.3x</t>
  </si>
  <si>
    <t>-3.05</t>
  </si>
  <si>
    <t>+38.2%</t>
  </si>
  <si>
    <t>2026-05-07</t>
  </si>
  <si>
    <t>$5,215.00</t>
  </si>
  <si>
    <t>$445.5</t>
  </si>
  <si>
    <t>$446.4</t>
  </si>
  <si>
    <t>$18.0</t>
  </si>
  <si>
    <t>579.7x</t>
  </si>
  <si>
    <t>24.8x</t>
  </si>
  <si>
    <t>2155.0x</t>
  </si>
  <si>
    <t>$2.42</t>
  </si>
  <si>
    <t>+6.7%</t>
  </si>
  <si>
    <t>1.51</t>
  </si>
  <si>
    <t>1.1x</t>
  </si>
  <si>
    <t>2.78</t>
  </si>
  <si>
    <t>-3.40</t>
  </si>
  <si>
    <t>+12.5%</t>
  </si>
  <si>
    <t>Applied Materials, Inc.</t>
  </si>
  <si>
    <t>Technology</t>
  </si>
  <si>
    <t>$10.0</t>
  </si>
  <si>
    <t>2.61</t>
  </si>
  <si>
    <t>-0.1x</t>
  </si>
  <si>
    <t>10.40</t>
  </si>
  <si>
    <t>+124.8%</t>
  </si>
  <si>
    <t>2026-05-14</t>
  </si>
  <si>
    <t>Corpay, Inc.</t>
  </si>
  <si>
    <t>$4.5</t>
  </si>
  <si>
    <t>$2.3</t>
  </si>
  <si>
    <t>1.86</t>
  </si>
  <si>
    <t>-3.13</t>
  </si>
  <si>
    <t>-9.7%</t>
  </si>
  <si>
    <t>FSLR</t>
  </si>
  <si>
    <t>First Solar, Inc.</t>
  </si>
  <si>
    <t>$5.2</t>
  </si>
  <si>
    <t>$2.1</t>
  </si>
  <si>
    <t>+24.1%</t>
  </si>
  <si>
    <t>2.67</t>
  </si>
  <si>
    <t>-1.1x</t>
  </si>
  <si>
    <t>6.99</t>
  </si>
  <si>
    <t>SAP SE</t>
  </si>
  <si>
    <t>€36.8</t>
  </si>
  <si>
    <t>€12.1</t>
  </si>
  <si>
    <t>1.16</t>
  </si>
  <si>
    <t>5.34</t>
  </si>
  <si>
    <t>-3.14</t>
  </si>
  <si>
    <t>-43.5%</t>
  </si>
  <si>
    <t>Ciena Corporation</t>
  </si>
  <si>
    <t>$0.4</t>
  </si>
  <si>
    <t>2.73</t>
  </si>
  <si>
    <t>1.96</t>
  </si>
  <si>
    <t>-2.98</t>
  </si>
  <si>
    <t>+454.6%</t>
  </si>
  <si>
    <t>2026-06-04</t>
  </si>
  <si>
    <t>Fortinet, Inc.</t>
  </si>
  <si>
    <t>$6.8</t>
  </si>
  <si>
    <t>$2.5</t>
  </si>
  <si>
    <t>1.17</t>
  </si>
  <si>
    <t>-0.6x</t>
  </si>
  <si>
    <t>2.02</t>
  </si>
  <si>
    <t>-2.92</t>
  </si>
  <si>
    <t>-20.0%</t>
  </si>
  <si>
    <t>MSI</t>
  </si>
  <si>
    <t>Motorola Solutions, Inc.</t>
  </si>
  <si>
    <t>$3.6</t>
  </si>
  <si>
    <t>1.04</t>
  </si>
  <si>
    <t>1.75</t>
  </si>
  <si>
    <t>-2.84</t>
  </si>
  <si>
    <t>Adobe Inc.</t>
  </si>
  <si>
    <t>$23.8</t>
  </si>
  <si>
    <t>1.00</t>
  </si>
  <si>
    <t>0.1x</t>
  </si>
  <si>
    <t>7.74</t>
  </si>
  <si>
    <t>-41.9%</t>
  </si>
  <si>
    <t>2026-06-11</t>
  </si>
  <si>
    <t>VeriSign, Inc.</t>
  </si>
  <si>
    <t>$1.7</t>
  </si>
  <si>
    <t>$1.2</t>
  </si>
  <si>
    <t>0.49</t>
  </si>
  <si>
    <t>-27.16</t>
  </si>
  <si>
    <t>-3.6%</t>
  </si>
  <si>
    <t>Intuit Inc.</t>
  </si>
  <si>
    <t>$18.8</t>
  </si>
  <si>
    <t>$5.9</t>
  </si>
  <si>
    <t>0.5x</t>
  </si>
  <si>
    <t>4.52</t>
  </si>
  <si>
    <t>-42.6%</t>
  </si>
  <si>
    <t>2026-05-21</t>
  </si>
  <si>
    <t>ORCL</t>
  </si>
  <si>
    <t>Oracle Corporation</t>
  </si>
  <si>
    <t>$57.4</t>
  </si>
  <si>
    <t>$23.9</t>
  </si>
  <si>
    <t>0.75</t>
  </si>
  <si>
    <t>0.24</t>
  </si>
  <si>
    <t>-11.6%</t>
  </si>
  <si>
    <t>2026-06-10</t>
  </si>
  <si>
    <t>ServiceNow, Inc.</t>
  </si>
  <si>
    <t>$3.0</t>
  </si>
  <si>
    <t>-0.7x</t>
  </si>
  <si>
    <t>2.29</t>
  </si>
  <si>
    <t>-2.87</t>
  </si>
  <si>
    <t>-49.5%</t>
  </si>
  <si>
    <t>2026-04-22</t>
  </si>
  <si>
    <t>Block, Inc.</t>
  </si>
  <si>
    <t>$24.2</t>
  </si>
  <si>
    <t>$3.4</t>
  </si>
  <si>
    <t>2.20</t>
  </si>
  <si>
    <t>-0.8x</t>
  </si>
  <si>
    <t>4.23</t>
  </si>
  <si>
    <t>-3.15</t>
  </si>
  <si>
    <t>GEN</t>
  </si>
  <si>
    <t>Gen Digital Inc.</t>
  </si>
  <si>
    <t>The Sage Group plc</t>
  </si>
  <si>
    <t>Akamai Technologies, Inc.</t>
  </si>
  <si>
    <t>CSCO</t>
  </si>
  <si>
    <t>Cisco Systems, Inc.</t>
  </si>
  <si>
    <t>CRM</t>
  </si>
  <si>
    <t>Salesforce, Inc.</t>
  </si>
  <si>
    <t>NTAP</t>
  </si>
  <si>
    <t>NetApp, Inc.</t>
  </si>
  <si>
    <t>AAPL</t>
  </si>
  <si>
    <t>Apple Inc.</t>
  </si>
  <si>
    <t>QCOM</t>
  </si>
  <si>
    <t>QUALCOMM Incorporated</t>
  </si>
  <si>
    <t>UBER</t>
  </si>
  <si>
    <t>Uber Technologies, Inc.</t>
  </si>
  <si>
    <t>WDAY</t>
  </si>
  <si>
    <t>Workday, Inc.</t>
  </si>
  <si>
    <t>TDY</t>
  </si>
  <si>
    <t>Teledyne Technologies Incorporated</t>
  </si>
  <si>
    <t>DDOG</t>
  </si>
  <si>
    <t>Datadog, Inc.</t>
  </si>
  <si>
    <t>TEL</t>
  </si>
  <si>
    <t>TE Connectivity plc</t>
  </si>
  <si>
    <t>Dassault Systèmes SE</t>
  </si>
  <si>
    <t>GDDY</t>
  </si>
  <si>
    <t>GoDaddy Inc.</t>
  </si>
  <si>
    <t>JKHY</t>
  </si>
  <si>
    <t>Jack Henry &amp; Associates, Inc.</t>
  </si>
  <si>
    <t>DELL</t>
  </si>
  <si>
    <t>Dell Technologies Inc.</t>
  </si>
  <si>
    <t>ROP</t>
  </si>
  <si>
    <t>Roper Technologies, Inc.</t>
  </si>
  <si>
    <t>Nokia Oyj</t>
  </si>
  <si>
    <t>FTV</t>
  </si>
  <si>
    <t>Fortive Corporation</t>
  </si>
  <si>
    <t>Paycom Software, Inc.</t>
  </si>
  <si>
    <t>Q</t>
  </si>
  <si>
    <t>Qnity Electronics, Inc.</t>
  </si>
  <si>
    <t>NXPI</t>
  </si>
  <si>
    <t>NXP Semiconductors N.V.</t>
  </si>
  <si>
    <t>TRMB</t>
  </si>
  <si>
    <t>Trimble Inc.</t>
  </si>
  <si>
    <t>TYL</t>
  </si>
  <si>
    <t>Tyler Technologies, Inc.</t>
  </si>
  <si>
    <t>HPE</t>
  </si>
  <si>
    <t>Hewlett Packard Enterprise Company</t>
  </si>
  <si>
    <t>Sandisk Corporation</t>
  </si>
  <si>
    <t>LDOS</t>
  </si>
  <si>
    <t>Leidos Holdings, Inc.</t>
  </si>
  <si>
    <t>IFX.DE</t>
  </si>
  <si>
    <t>Infineon Technologies AG</t>
  </si>
  <si>
    <t>ADP</t>
  </si>
  <si>
    <t>Automatic Data Processing, Inc.</t>
  </si>
  <si>
    <t>CTSH</t>
  </si>
  <si>
    <t>Cognizant Technology Solutions Corporation</t>
  </si>
  <si>
    <t>CRWD</t>
  </si>
  <si>
    <t>CrowdStrike Holdings, Inc.</t>
  </si>
  <si>
    <t>MCHP</t>
  </si>
  <si>
    <t>Microchip Technology Incorporated</t>
  </si>
  <si>
    <t>ON Semiconductor Corporation</t>
  </si>
  <si>
    <t>Super Micro Computer, Inc.</t>
  </si>
  <si>
    <t>STMPA.PA</t>
  </si>
  <si>
    <t>STMicroelectronics N.V.</t>
  </si>
  <si>
    <t>Jabil Inc.</t>
  </si>
  <si>
    <t>BR</t>
  </si>
  <si>
    <t>Broadridge Financial Solutions, Inc.</t>
  </si>
  <si>
    <t>EPAM</t>
  </si>
  <si>
    <t>EPAM Systems, Inc.</t>
  </si>
  <si>
    <t>SWKS</t>
  </si>
  <si>
    <t>Skyworks Solutions, Inc.</t>
  </si>
  <si>
    <t>ZBRA</t>
  </si>
  <si>
    <t>Zebra Technologies Corporation</t>
  </si>
  <si>
    <t>ACN</t>
  </si>
  <si>
    <t>Accenture plc</t>
  </si>
  <si>
    <t>IT</t>
  </si>
  <si>
    <t>Gartner, Inc.</t>
  </si>
  <si>
    <t>HPQ</t>
  </si>
  <si>
    <t>HP Inc.</t>
  </si>
  <si>
    <t>CAP.PA</t>
  </si>
  <si>
    <t>Capgemini SE</t>
  </si>
  <si>
    <t>CDW</t>
  </si>
  <si>
    <t>CDW Corporation</t>
  </si>
  <si>
    <t>FIS</t>
  </si>
  <si>
    <t>Fidelity National Information Services, Inc.</t>
  </si>
  <si>
    <t>WLN.PA</t>
  </si>
  <si>
    <t>Worldline SA</t>
  </si>
  <si>
    <t>Revenue</t>
  </si>
  <si>
    <t>Rev Gr YoY</t>
  </si>
  <si>
    <t>EBITDA</t>
  </si>
  <si>
    <t>FinSight IA  ·  Screening Énergie  ·  Scores calculés sur métriques Growth, Quality, Momentum  ·  Ne constitue pas un conseil en investissement</t>
  </si>
  <si>
    <t>Usage confidentiel  ·  Calculs FinSight IA  ·  Screening Énergie</t>
  </si>
  <si>
    <t>ANALYSE DÉTAILLÉE  ·  ÉNERGIE  ·  TOP 20 par Score Global  ·  Triée par Score Score Global</t>
  </si>
  <si>
    <t>ANALYSE DÉTAILLÉE  ·  ÉNERGIE  ·  TOP 20 par Growth  ·  Triée par Score Growth</t>
  </si>
  <si>
    <t>ANALYSE DÉTAILLÉE  ·  ÉNERGIE  ·  TOP 20 par Quality  ·  Triée par Score Quality</t>
  </si>
  <si>
    <t>ANALYSE DÉTAILLÉE  ·  ÉNERGIE  ·  TOP 20 par Momentum  ·  Triée par Score Momentum</t>
  </si>
  <si>
    <t>FinSight IA  ·  Screening Énergie  ·  Ne constitue pas un conseil en investissement</t>
  </si>
  <si>
    <t>FinSight IA   ·   Énergie Screening — Tableau de Bord</t>
  </si>
  <si>
    <t>FinSight IA  ·  Analyse VALUE  ·  Énergie Screening  (ScoreVal N/A → classé par Score Global)</t>
  </si>
  <si>
    <t>FinSight IA  ·  Analyse GROWTH  ·  Énergie Screening</t>
  </si>
  <si>
    <t>FinSight IA  ·  Analyse QUALITY  ·  Énergie Screening</t>
  </si>
  <si>
    <t>FinSight IA  ·  Analyse MOMENTUM  ·  Énergie Screening</t>
  </si>
  <si>
    <t>FinSight IA  ·  Analyse Sectorielle  ·  Énergie Screening</t>
  </si>
  <si>
    <t>DONNÉES BRUTES  ·  Source de vérité  ·  Énergie Screening</t>
  </si>
  <si>
    <t>Net Income</t>
  </si>
  <si>
    <t>Equity</t>
  </si>
  <si>
    <t>Debt</t>
  </si>
  <si>
    <t>Cash</t>
  </si>
  <si>
    <t>FCF</t>
  </si>
  <si>
    <t>Capex</t>
  </si>
  <si>
    <t>D/E Ratio</t>
  </si>
  <si>
    <t>Cash Conv</t>
  </si>
  <si>
    <t>Capex/Rev</t>
  </si>
  <si>
    <t>Net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</si>
</sst>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color rgb="FF2E5FA3"/>
      <name val="Calibri"/>
    </font>
    <font>
      <b/>
      <sz val="13"/>
      <color rgb="FF2E5FA3"/>
      <name val="Calibri"/>
    </font>
    <font>
      <sz val="7.5"/>
      <color rgb="FF888888"/>
      <name val="Calibri"/>
    </font>
    <font>
      <b/>
      <sz val="7"/>
      <color rgb="FFFFFFFF"/>
      <name val="Calibri"/>
    </font>
    <font>
      <sz val="7"/>
      <color rgb="FF0D0D0D"/>
      <name val="Calibri"/>
    </font>
    <font>
      <b/>
      <sz val="11"/>
      <color rgb="FFFFFFFF"/>
      <name val="Calibri"/>
      <family val="2"/>
      <scheme val="minor"/>
    </font>
    <font>
      <sz val="8"/>
      <color rgb="FF8BA8C8"/>
      <name val="Calibri"/>
      <family val="2"/>
      <scheme val="minor"/>
    </font>
    <font>
      <b/>
      <sz val="20"/>
      <color rgb="FF0A2342"/>
      <name val="Calibri"/>
      <family val="2"/>
      <scheme val="minor"/>
    </font>
    <font>
      <sz val="8"/>
      <color rgb="FF6E7B8B"/>
      <name val="Calibri"/>
      <family val="2"/>
      <scheme val="minor"/>
    </font>
    <font>
      <b/>
      <sz val="14"/>
      <color rgb="FF0A2342"/>
      <name val="Calibri"/>
      <family val="2"/>
      <scheme val="minor"/>
    </font>
    <font>
      <b/>
      <sz val="8"/>
      <color rgb="FF8BA8C8"/>
      <name val="Calibri"/>
      <family val="2"/>
      <scheme val="minor"/>
    </font>
    <font>
      <b/>
      <sz val="18"/>
      <color rgb="FF0A234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sz val="8"/>
      <color rgb="FF6E7B8B"/>
      <name val="Calibri"/>
      <family val="2"/>
    </font>
    <font>
      <b/>
      <sz val="18"/>
      <color rgb="FF0A2342"/>
      <name val="Calibri"/>
      <family val="2"/>
    </font>
    <font>
      <sz val="7.5"/>
      <color rgb="FF6E7B8B"/>
      <name val="Calibri"/>
      <family val="2"/>
    </font>
    <font>
      <b/>
      <sz val="14"/>
      <color rgb="FF0A2342"/>
      <name val="Calibri"/>
      <family val="2"/>
    </font>
    <font>
      <sz val="9"/>
      <color rgb="FF0D0D0D"/>
      <name val="Calibri"/>
      <family val="2"/>
      <scheme val="minor"/>
    </font>
    <font>
      <b/>
      <sz val="9"/>
      <color rgb="FF0A2342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0A234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8"/>
      <color rgb="FF0D0D0D"/>
      <name val="Calibri"/>
      <family val="2"/>
      <scheme val="minor"/>
    </font>
    <font>
      <sz val="9"/>
      <color rgb="FFFFFFFF"/>
      <name val="Calibri"/>
      <family val="2"/>
      <scheme val="minor"/>
    </font>
    <font>
      <sz val="8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7F8FA"/>
      </patternFill>
    </fill>
    <fill>
      <patternFill patternType="solid">
        <fgColor rgb="FF888888"/>
      </patternFill>
    </fill>
    <fill>
      <patternFill patternType="solid">
        <fgColor rgb="FF0A2342"/>
        <bgColor indexed="64"/>
      </patternFill>
    </fill>
    <fill>
      <patternFill patternType="solid">
        <fgColor rgb="FFEEF1F6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06000"/>
        <bgColor indexed="64"/>
      </patternFill>
    </fill>
    <fill>
      <patternFill patternType="solid">
        <fgColor rgb="FFA82020"/>
        <bgColor indexed="64"/>
      </patternFill>
    </fill>
    <fill>
      <patternFill patternType="solid">
        <fgColor rgb="FF1A7A4A"/>
        <bgColor indexed="64"/>
      </patternFill>
    </fill>
    <fill>
      <patternFill patternType="solid">
        <fgColor rgb="FF1A1A2E"/>
        <bgColor indexed="64"/>
      </patternFill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8BA8C8"/>
      </bottom>
      <diagonal/>
    </border>
    <border>
      <left/>
      <right/>
      <top style="thin">
        <color rgb="FF8BA8C8"/>
      </top>
      <bottom/>
      <diagonal/>
    </border>
    <border>
      <left/>
      <right/>
      <top style="thin">
        <color rgb="FFD8DEE9"/>
      </top>
      <bottom style="thin">
        <color rgb="FFD8DEE9"/>
      </bottom>
      <diagonal/>
    </border>
    <border>
      <left/>
      <right/>
      <top/>
      <bottom style="thin">
        <color rgb="FFD8DEE9"/>
      </bottom>
      <diagonal/>
    </border>
    <border>
      <left/>
      <right/>
      <top style="thin">
        <color rgb="FFD8DEE9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0" fontId="0" fillId="0" borderId="0" xfId="0" applyNumberFormat="1"/>
    <xf numFmtId="14" fontId="0" fillId="0" borderId="0" xfId="0" applyNumberFormat="1"/>
    <xf numFmtId="0" fontId="12" fillId="5" borderId="0" xfId="0" applyFont="1" applyFill="1"/>
    <xf numFmtId="0" fontId="10" fillId="0" borderId="0" xfId="0" applyFont="1"/>
    <xf numFmtId="0" fontId="0" fillId="7" borderId="0" xfId="0" applyFill="1"/>
    <xf numFmtId="2" fontId="9" fillId="6" borderId="0" xfId="0" applyNumberFormat="1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14" fontId="11" fillId="6" borderId="0" xfId="0" applyNumberFormat="1" applyFont="1" applyFill="1" applyAlignment="1">
      <alignment horizontal="center"/>
    </xf>
    <xf numFmtId="0" fontId="7" fillId="5" borderId="0" xfId="0" applyFont="1" applyFill="1"/>
    <xf numFmtId="0" fontId="8" fillId="0" borderId="0" xfId="0" applyFont="1"/>
    <xf numFmtId="164" fontId="9" fillId="6" borderId="0" xfId="0" applyNumberFormat="1" applyFont="1" applyFill="1" applyAlignment="1">
      <alignment horizontal="center"/>
    </xf>
    <xf numFmtId="0" fontId="7" fillId="8" borderId="0" xfId="0" applyFont="1" applyFill="1"/>
    <xf numFmtId="0" fontId="0" fillId="8" borderId="0" xfId="0" applyFill="1"/>
    <xf numFmtId="0" fontId="7" fillId="0" borderId="0" xfId="0" applyFont="1"/>
    <xf numFmtId="2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7" fillId="5" borderId="0" xfId="0" applyFont="1" applyFill="1" applyAlignment="1">
      <alignment horizontal="centerContinuous" vertical="center"/>
    </xf>
    <xf numFmtId="0" fontId="12" fillId="5" borderId="0" xfId="0" applyFont="1" applyFill="1" applyAlignment="1">
      <alignment horizontal="center"/>
    </xf>
    <xf numFmtId="0" fontId="13" fillId="6" borderId="0" xfId="0" applyFont="1" applyFill="1" applyAlignment="1">
      <alignment horizontal="center"/>
    </xf>
    <xf numFmtId="0" fontId="0" fillId="6" borderId="0" xfId="0" applyFill="1"/>
    <xf numFmtId="0" fontId="0" fillId="9" borderId="0" xfId="0" applyFill="1"/>
    <xf numFmtId="0" fontId="12" fillId="5" borderId="2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left"/>
    </xf>
    <xf numFmtId="0" fontId="22" fillId="7" borderId="4" xfId="0" applyFont="1" applyFill="1" applyBorder="1" applyAlignment="1">
      <alignment horizontal="center"/>
    </xf>
    <xf numFmtId="0" fontId="21" fillId="7" borderId="4" xfId="0" applyFont="1" applyFill="1" applyBorder="1" applyAlignment="1">
      <alignment horizontal="center"/>
    </xf>
    <xf numFmtId="0" fontId="21" fillId="7" borderId="4" xfId="0" applyFont="1" applyFill="1" applyBorder="1" applyAlignment="1">
      <alignment horizontal="left"/>
    </xf>
    <xf numFmtId="10" fontId="21" fillId="7" borderId="4" xfId="0" applyNumberFormat="1" applyFont="1" applyFill="1" applyBorder="1" applyAlignment="1">
      <alignment horizontal="center"/>
    </xf>
    <xf numFmtId="0" fontId="22" fillId="9" borderId="4" xfId="0" applyFont="1" applyFill="1" applyBorder="1" applyAlignment="1">
      <alignment horizontal="center"/>
    </xf>
    <xf numFmtId="0" fontId="21" fillId="9" borderId="4" xfId="0" applyFont="1" applyFill="1" applyBorder="1" applyAlignment="1">
      <alignment horizontal="center"/>
    </xf>
    <xf numFmtId="0" fontId="21" fillId="9" borderId="4" xfId="0" applyFont="1" applyFill="1" applyBorder="1" applyAlignment="1">
      <alignment horizontal="left"/>
    </xf>
    <xf numFmtId="10" fontId="21" fillId="9" borderId="4" xfId="0" applyNumberFormat="1" applyFont="1" applyFill="1" applyBorder="1" applyAlignment="1">
      <alignment horizontal="center"/>
    </xf>
    <xf numFmtId="0" fontId="22" fillId="9" borderId="5" xfId="0" applyFont="1" applyFill="1" applyBorder="1" applyAlignment="1">
      <alignment horizontal="center"/>
    </xf>
    <xf numFmtId="0" fontId="21" fillId="9" borderId="5" xfId="0" applyFont="1" applyFill="1" applyBorder="1" applyAlignment="1">
      <alignment horizontal="center"/>
    </xf>
    <xf numFmtId="0" fontId="21" fillId="9" borderId="5" xfId="0" applyFont="1" applyFill="1" applyBorder="1" applyAlignment="1">
      <alignment horizontal="left"/>
    </xf>
    <xf numFmtId="10" fontId="21" fillId="9" borderId="5" xfId="0" applyNumberFormat="1" applyFont="1" applyFill="1" applyBorder="1" applyAlignment="1">
      <alignment horizontal="center"/>
    </xf>
    <xf numFmtId="0" fontId="24" fillId="12" borderId="3" xfId="0" applyFont="1" applyFill="1" applyBorder="1"/>
    <xf numFmtId="0" fontId="23" fillId="5" borderId="0" xfId="0" applyFont="1" applyFill="1"/>
    <xf numFmtId="0" fontId="16" fillId="5" borderId="0" xfId="0" applyFont="1" applyFill="1" applyAlignment="1">
      <alignment vertical="center"/>
    </xf>
    <xf numFmtId="0" fontId="17" fillId="6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0" fillId="6" borderId="0" xfId="0" applyFont="1" applyFill="1"/>
    <xf numFmtId="0" fontId="18" fillId="6" borderId="0" xfId="0" applyFont="1" applyFill="1" applyAlignment="1">
      <alignment vertical="center"/>
    </xf>
    <xf numFmtId="0" fontId="19" fillId="6" borderId="0" xfId="0" applyFont="1" applyFill="1" applyAlignment="1">
      <alignment vertical="center"/>
    </xf>
    <xf numFmtId="0" fontId="18" fillId="6" borderId="0" xfId="0" applyFont="1" applyFill="1" applyAlignment="1">
      <alignment horizontal="centerContinuous" vertical="center"/>
    </xf>
    <xf numFmtId="0" fontId="0" fillId="6" borderId="0" xfId="0" applyFill="1" applyAlignment="1">
      <alignment horizontal="centerContinuous"/>
    </xf>
    <xf numFmtId="0" fontId="19" fillId="6" borderId="0" xfId="0" applyFont="1" applyFill="1" applyAlignment="1">
      <alignment horizontal="centerContinuous" vertical="center"/>
    </xf>
    <xf numFmtId="0" fontId="22" fillId="8" borderId="4" xfId="0" applyFont="1" applyFill="1" applyBorder="1" applyAlignment="1">
      <alignment horizontal="center"/>
    </xf>
    <xf numFmtId="0" fontId="21" fillId="8" borderId="4" xfId="0" applyFont="1" applyFill="1" applyBorder="1" applyAlignment="1">
      <alignment horizontal="left"/>
    </xf>
    <xf numFmtId="0" fontId="21" fillId="8" borderId="4" xfId="0" applyFont="1" applyFill="1" applyBorder="1" applyAlignment="1">
      <alignment horizontal="center"/>
    </xf>
    <xf numFmtId="10" fontId="21" fillId="8" borderId="4" xfId="0" applyNumberFormat="1" applyFont="1" applyFill="1" applyBorder="1" applyAlignment="1">
      <alignment horizontal="center"/>
    </xf>
    <xf numFmtId="0" fontId="14" fillId="8" borderId="0" xfId="0" applyFont="1" applyFill="1"/>
    <xf numFmtId="0" fontId="15" fillId="0" borderId="0" xfId="0" applyFont="1"/>
    <xf numFmtId="0" fontId="15" fillId="8" borderId="0" xfId="0" applyFont="1" applyFill="1"/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26" fillId="5" borderId="0" xfId="0" applyFont="1" applyFill="1"/>
    <xf numFmtId="0" fontId="27" fillId="0" borderId="0" xfId="0" applyFont="1"/>
    <xf numFmtId="0" fontId="27" fillId="8" borderId="0" xfId="0" applyFont="1" applyFill="1"/>
    <xf numFmtId="0" fontId="25" fillId="7" borderId="4" xfId="0" applyFont="1" applyFill="1" applyBorder="1"/>
    <xf numFmtId="0" fontId="28" fillId="7" borderId="4" xfId="0" applyFont="1" applyFill="1" applyBorder="1"/>
    <xf numFmtId="0" fontId="22" fillId="9" borderId="6" xfId="0" applyFont="1" applyFill="1" applyBorder="1" applyAlignment="1">
      <alignment horizontal="center"/>
    </xf>
    <xf numFmtId="0" fontId="21" fillId="9" borderId="6" xfId="0" applyFont="1" applyFill="1" applyBorder="1" applyAlignment="1">
      <alignment horizontal="left"/>
    </xf>
    <xf numFmtId="0" fontId="21" fillId="9" borderId="6" xfId="0" applyFont="1" applyFill="1" applyBorder="1" applyAlignment="1">
      <alignment horizontal="center"/>
    </xf>
    <xf numFmtId="10" fontId="21" fillId="9" borderId="6" xfId="0" applyNumberFormat="1" applyFont="1" applyFill="1" applyBorder="1" applyAlignment="1">
      <alignment horizontal="center"/>
    </xf>
    <xf numFmtId="0" fontId="23" fillId="9" borderId="0" xfId="0" applyFont="1" applyFill="1" applyAlignment="1">
      <alignment horizontal="center"/>
    </xf>
    <xf numFmtId="0" fontId="29" fillId="9" borderId="0" xfId="0" applyFont="1" applyFill="1" applyAlignment="1">
      <alignment horizontal="left"/>
    </xf>
    <xf numFmtId="0" fontId="29" fillId="9" borderId="0" xfId="0" applyFont="1" applyFill="1" applyAlignment="1">
      <alignment horizontal="center"/>
    </xf>
    <xf numFmtId="10" fontId="29" fillId="9" borderId="0" xfId="0" applyNumberFormat="1" applyFont="1" applyFill="1" applyAlignment="1">
      <alignment horizontal="center"/>
    </xf>
    <xf numFmtId="0" fontId="22" fillId="7" borderId="6" xfId="0" applyFont="1" applyFill="1" applyBorder="1" applyAlignment="1">
      <alignment horizontal="center"/>
    </xf>
    <xf numFmtId="0" fontId="21" fillId="7" borderId="6" xfId="0" applyFont="1" applyFill="1" applyBorder="1" applyAlignment="1">
      <alignment horizontal="left"/>
    </xf>
    <xf numFmtId="0" fontId="21" fillId="7" borderId="6" xfId="0" applyFont="1" applyFill="1" applyBorder="1" applyAlignment="1">
      <alignment horizontal="center"/>
    </xf>
    <xf numFmtId="10" fontId="21" fillId="7" borderId="6" xfId="0" applyNumberFormat="1" applyFont="1" applyFill="1" applyBorder="1" applyAlignment="1">
      <alignment horizontal="center"/>
    </xf>
    <xf numFmtId="0" fontId="24" fillId="10" borderId="5" xfId="0" applyFont="1" applyFill="1" applyBorder="1" applyAlignment="1">
      <alignment horizontal="left"/>
    </xf>
    <xf numFmtId="0" fontId="25" fillId="10" borderId="5" xfId="0" applyFont="1" applyFill="1" applyBorder="1" applyAlignment="1">
      <alignment horizontal="center"/>
    </xf>
    <xf numFmtId="0" fontId="25" fillId="10" borderId="5" xfId="0" applyFont="1" applyFill="1" applyBorder="1" applyAlignment="1">
      <alignment horizontal="left"/>
    </xf>
    <xf numFmtId="10" fontId="25" fillId="10" borderId="5" xfId="0" applyNumberFormat="1" applyFont="1" applyFill="1" applyBorder="1" applyAlignment="1">
      <alignment horizontal="center"/>
    </xf>
    <xf numFmtId="0" fontId="24" fillId="11" borderId="5" xfId="0" applyFont="1" applyFill="1" applyBorder="1" applyAlignment="1">
      <alignment horizontal="left"/>
    </xf>
    <xf numFmtId="0" fontId="25" fillId="11" borderId="5" xfId="0" applyFont="1" applyFill="1" applyBorder="1" applyAlignment="1">
      <alignment horizontal="center"/>
    </xf>
    <xf numFmtId="0" fontId="25" fillId="11" borderId="5" xfId="0" applyFont="1" applyFill="1" applyBorder="1" applyAlignment="1">
      <alignment horizontal="left"/>
    </xf>
    <xf numFmtId="10" fontId="25" fillId="11" borderId="5" xfId="0" applyNumberFormat="1" applyFont="1" applyFill="1" applyBorder="1" applyAlignment="1">
      <alignment horizontal="center"/>
    </xf>
    <xf numFmtId="0" fontId="22" fillId="7" borderId="0" xfId="0" applyFont="1" applyFill="1" applyAlignment="1">
      <alignment horizontal="center"/>
    </xf>
    <xf numFmtId="0" fontId="21" fillId="7" borderId="0" xfId="0" applyFont="1" applyFill="1" applyAlignment="1">
      <alignment horizontal="left"/>
    </xf>
    <xf numFmtId="0" fontId="27" fillId="9" borderId="0" xfId="0" applyFont="1" applyFill="1"/>
    <xf numFmtId="0" fontId="7" fillId="9" borderId="0" xfId="0" applyFont="1" applyFill="1"/>
    <xf numFmtId="0" fontId="30" fillId="9" borderId="0" xfId="0" applyFont="1" applyFill="1"/>
    <xf numFmtId="0" fontId="23" fillId="9" borderId="0" xfId="0" applyFont="1" applyFill="1"/>
    <xf numFmtId="0" fontId="29" fillId="9" borderId="0" xfId="0" applyFont="1" applyFill="1"/>
    <xf numFmtId="0" fontId="31" fillId="0" borderId="0" xfId="0" applyFont="1"/>
    <xf numFmtId="0" fontId="31" fillId="0" borderId="0" xfId="0" applyFont="1" applyAlignment="1">
      <alignment horizontal="center"/>
    </xf>
    <xf numFmtId="0" fontId="31" fillId="7" borderId="0" xfId="0" applyFont="1" applyFill="1"/>
    <xf numFmtId="0" fontId="31" fillId="7" borderId="0" xfId="0" applyFont="1" applyFill="1" applyAlignment="1">
      <alignment horizontal="center"/>
    </xf>
    <xf numFmtId="0" fontId="31" fillId="0" borderId="0" xfId="0" applyFont="1" applyAlignment="1">
      <alignment horizontal="left"/>
    </xf>
    <xf numFmtId="0" fontId="31" fillId="7" borderId="0" xfId="0" applyFont="1" applyFill="1" applyAlignment="1">
      <alignment horizontal="left"/>
    </xf>
    <xf numFmtId="0" fontId="31" fillId="0" borderId="6" xfId="0" applyFont="1" applyBorder="1" applyAlignment="1">
      <alignment horizontal="center"/>
    </xf>
    <xf numFmtId="0" fontId="31" fillId="0" borderId="6" xfId="0" applyFont="1" applyBorder="1" applyAlignment="1">
      <alignment horizontal="left"/>
    </xf>
    <xf numFmtId="0" fontId="31" fillId="0" borderId="6" xfId="0" applyFont="1" applyBorder="1"/>
    <xf numFmtId="0" fontId="31" fillId="7" borderId="6" xfId="0" applyFont="1" applyFill="1" applyBorder="1" applyAlignment="1">
      <alignment horizontal="center"/>
    </xf>
    <xf numFmtId="0" fontId="31" fillId="7" borderId="6" xfId="0" applyFont="1" applyFill="1" applyBorder="1" applyAlignment="1">
      <alignment horizontal="left"/>
    </xf>
    <xf numFmtId="0" fontId="31" fillId="7" borderId="6" xfId="0" applyFont="1" applyFill="1" applyBorder="1"/>
    <xf numFmtId="0" fontId="31" fillId="7" borderId="4" xfId="0" applyFont="1" applyFill="1" applyBorder="1" applyAlignment="1">
      <alignment horizontal="center"/>
    </xf>
    <xf numFmtId="0" fontId="31" fillId="7" borderId="4" xfId="0" applyFont="1" applyFill="1" applyBorder="1" applyAlignment="1">
      <alignment horizontal="left"/>
    </xf>
    <xf numFmtId="0" fontId="31" fillId="7" borderId="4" xfId="0" applyFont="1" applyFill="1" applyBorder="1"/>
    <xf numFmtId="10" fontId="0" fillId="7" borderId="0" xfId="0" applyNumberFormat="1" applyFill="1"/>
    <xf numFmtId="165" fontId="6" fillId="2" borderId="1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49" fontId="0" fillId="0" borderId="0" xfId="0" applyNumberFormat="1"/>
    <xf numFmtId="10" fontId="0" fillId="0" borderId="0" xfId="0" applyNumberFormat="1" applyAlignment="1">
      <alignment horizontal="right"/>
    </xf>
    <xf numFmtId="165" fontId="0" fillId="7" borderId="0" xfId="0" applyNumberFormat="1" applyFill="1"/>
    <xf numFmtId="0" fontId="32" fillId="13" borderId="0" xfId="0" applyFont="1" applyFill="1" applyAlignment="1">
      <alignment horizontal="center" vertical="center"/>
    </xf>
    <xf numFmtId="0" fontId="23" fillId="13" borderId="0" xfId="0" applyFont="1" applyFill="1" applyAlignment="1">
      <alignment horizontal="center"/>
    </xf>
    <xf numFmtId="2" fontId="0" fillId="0" borderId="0" xfId="0" applyNumberFormat="1"/>
    <xf numFmtId="0" fontId="19" fillId="6" borderId="0" xfId="0" applyFont="1" applyFill="1" applyAlignment="1">
      <alignment horizontal="center" vertical="center"/>
    </xf>
    <xf numFmtId="0" fontId="0" fillId="0" borderId="0" xfId="0"/>
    <xf numFmtId="0" fontId="3" fillId="6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65" fontId="0" fillId="7" borderId="0" xfId="0" applyNumberFormat="1" applyFill="1" applyAlignment="1">
      <alignment horizontal="right"/>
    </xf>
    <xf numFmtId="0" fontId="0" fillId="7" borderId="0" xfId="0" applyFill="1" applyAlignment="1">
      <alignment horizontal="right"/>
    </xf>
    <xf numFmtId="0" fontId="31" fillId="0" borderId="0" xfId="0" applyFont="1" applyAlignment="1">
      <alignment horizontal="right"/>
    </xf>
    <xf numFmtId="0" fontId="31" fillId="7" borderId="0" xfId="0" applyFont="1" applyFill="1" applyAlignment="1">
      <alignment horizontal="right"/>
    </xf>
    <xf numFmtId="10" fontId="31" fillId="0" borderId="0" xfId="0" applyNumberFormat="1" applyFont="1" applyAlignment="1">
      <alignment horizontal="right"/>
    </xf>
    <xf numFmtId="10" fontId="31" fillId="7" borderId="0" xfId="0" applyNumberFormat="1" applyFont="1" applyFill="1" applyAlignment="1">
      <alignment horizontal="right"/>
    </xf>
    <xf numFmtId="0" fontId="31" fillId="0" borderId="6" xfId="0" applyFont="1" applyBorder="1" applyAlignment="1">
      <alignment horizontal="right"/>
    </xf>
    <xf numFmtId="10" fontId="31" fillId="0" borderId="6" xfId="0" applyNumberFormat="1" applyFont="1" applyBorder="1" applyAlignment="1">
      <alignment horizontal="right"/>
    </xf>
    <xf numFmtId="0" fontId="31" fillId="7" borderId="6" xfId="0" applyFont="1" applyFill="1" applyBorder="1" applyAlignment="1">
      <alignment horizontal="right"/>
    </xf>
    <xf numFmtId="10" fontId="31" fillId="7" borderId="6" xfId="0" applyNumberFormat="1" applyFont="1" applyFill="1" applyBorder="1" applyAlignment="1">
      <alignment horizontal="right"/>
    </xf>
    <xf numFmtId="0" fontId="31" fillId="7" borderId="4" xfId="0" applyFont="1" applyFill="1" applyBorder="1" applyAlignment="1">
      <alignment horizontal="right"/>
    </xf>
    <xf numFmtId="10" fontId="31" fillId="7" borderId="4" xfId="0" applyNumberFormat="1" applyFont="1" applyFill="1" applyBorder="1" applyAlignment="1">
      <alignment horizontal="right"/>
    </xf>
  </cellXfs>
  <cellStyles count="1">
    <cellStyle name="Normal" xfId="0" builtinId="0"/>
  </cellStyles>
  <dxfs count="11">
    <dxf>
      <font>
        <color rgb="FFFFFFFF"/>
      </font>
    </dxf>
    <dxf>
      <font>
        <color rgb="FF0D0D0D"/>
      </font>
      <fill>
        <patternFill patternType="solid">
          <fgColor indexed="64"/>
          <bgColor rgb="FFFFFFFF"/>
        </patternFill>
      </fill>
      <border>
        <top style="thin">
          <color rgb="FFD8DEE9"/>
        </top>
        <bottom style="thin">
          <color rgb="FFD8DEE9"/>
        </bottom>
      </border>
    </dxf>
    <dxf>
      <font>
        <color rgb="FF0D0D0D"/>
      </font>
      <fill>
        <patternFill patternType="solid">
          <fgColor indexed="64"/>
          <bgColor rgb="FFF5F7FA"/>
        </patternFill>
      </fill>
      <border>
        <top style="thin">
          <color rgb="FFD8DEE9"/>
        </top>
        <bottom style="thin">
          <color rgb="FFD8DEE9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top/>
        <bottom/>
      </border>
    </dxf>
    <dxf>
      <font>
        <b/>
        <i val="0"/>
        <color rgb="FFFFFFFF"/>
      </font>
      <fill>
        <patternFill patternType="solid">
          <fgColor indexed="64"/>
          <bgColor rgb="FFA82020"/>
        </patternFill>
      </fill>
    </dxf>
    <dxf>
      <font>
        <b/>
        <i val="0"/>
        <color rgb="FFFFFFFF"/>
      </font>
      <fill>
        <patternFill patternType="solid">
          <fgColor indexed="64"/>
          <bgColor rgb="FFB06000"/>
        </patternFill>
      </fill>
    </dxf>
    <dxf>
      <font>
        <b/>
        <i val="0"/>
        <color rgb="FFFFFFFF"/>
      </font>
      <fill>
        <patternFill patternType="solid">
          <fgColor indexed="64"/>
          <bgColor rgb="FF1A7A4A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</dxf>
    <dxf>
      <font>
        <color rgb="FFFFFFFF"/>
      </font>
      <fill>
        <patternFill patternType="solid">
          <fgColor indexed="64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0A2342"/>
                </a:solidFill>
              </a:defRPr>
            </a:pPr>
            <a:r>
              <a:rPr lang="en-US"/>
              <a:t>Score Global — Top 20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VALUE!$Q$1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VALUE!$P$2:$P$21</c:f>
              <c:strCache>
                <c:ptCount val="20"/>
                <c:pt idx="0">
                  <c:v>NVDA</c:v>
                </c:pt>
                <c:pt idx="1">
                  <c:v>KLAC</c:v>
                </c:pt>
                <c:pt idx="2">
                  <c:v>ANET</c:v>
                </c:pt>
                <c:pt idx="3">
                  <c:v>AVGO</c:v>
                </c:pt>
                <c:pt idx="4">
                  <c:v>MU</c:v>
                </c:pt>
                <c:pt idx="5">
                  <c:v>MPWR</c:v>
                </c:pt>
                <c:pt idx="6">
                  <c:v>LRCX</c:v>
                </c:pt>
                <c:pt idx="7">
                  <c:v>WDC</c:v>
                </c:pt>
                <c:pt idx="8">
                  <c:v>PTC</c:v>
                </c:pt>
                <c:pt idx="9">
                  <c:v>AMD</c:v>
                </c:pt>
                <c:pt idx="10">
                  <c:v>ASML</c:v>
                </c:pt>
                <c:pt idx="11">
                  <c:v>ADI</c:v>
                </c:pt>
                <c:pt idx="12">
                  <c:v>GLW</c:v>
                </c:pt>
                <c:pt idx="13">
                  <c:v>INTC</c:v>
                </c:pt>
                <c:pt idx="14">
                  <c:v>KEYS</c:v>
                </c:pt>
                <c:pt idx="15">
                  <c:v>APH</c:v>
                </c:pt>
                <c:pt idx="16">
                  <c:v>CDNS</c:v>
                </c:pt>
                <c:pt idx="17">
                  <c:v>SNPS</c:v>
                </c:pt>
                <c:pt idx="18">
                  <c:v>TER</c:v>
                </c:pt>
                <c:pt idx="19">
                  <c:v>ADSK</c:v>
                </c:pt>
              </c:strCache>
            </c:strRef>
          </c:cat>
          <c:val>
            <c:numRef>
              <c:f>VALUE!$Q$2:$Q$21</c:f>
              <c:numCache>
                <c:formatCode>General</c:formatCode>
                <c:ptCount val="20"/>
                <c:pt idx="0">
                  <c:v>88</c:v>
                </c:pt>
                <c:pt idx="1">
                  <c:v>84</c:v>
                </c:pt>
                <c:pt idx="2">
                  <c:v>83</c:v>
                </c:pt>
                <c:pt idx="3">
                  <c:v>81</c:v>
                </c:pt>
                <c:pt idx="4">
                  <c:v>78</c:v>
                </c:pt>
                <c:pt idx="5">
                  <c:v>78</c:v>
                </c:pt>
                <c:pt idx="6">
                  <c:v>77</c:v>
                </c:pt>
                <c:pt idx="7">
                  <c:v>77</c:v>
                </c:pt>
                <c:pt idx="8">
                  <c:v>74</c:v>
                </c:pt>
                <c:pt idx="9">
                  <c:v>73</c:v>
                </c:pt>
                <c:pt idx="10">
                  <c:v>72</c:v>
                </c:pt>
                <c:pt idx="11">
                  <c:v>71</c:v>
                </c:pt>
                <c:pt idx="12">
                  <c:v>68</c:v>
                </c:pt>
                <c:pt idx="13">
                  <c:v>67</c:v>
                </c:pt>
                <c:pt idx="14">
                  <c:v>67</c:v>
                </c:pt>
                <c:pt idx="15">
                  <c:v>66</c:v>
                </c:pt>
                <c:pt idx="16">
                  <c:v>66</c:v>
                </c:pt>
                <c:pt idx="17">
                  <c:v>66</c:v>
                </c:pt>
                <c:pt idx="18">
                  <c:v>66</c:v>
                </c:pt>
                <c:pt idx="19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F-4D34-97AB-E358C0BB3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3958592"/>
        <c:axId val="663962912"/>
      </c:barChart>
      <c:catAx>
        <c:axId val="6639585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0A2342"/>
                </a:solidFill>
              </a:defRPr>
            </a:pPr>
            <a:endParaRPr lang="fr-FR"/>
          </a:p>
        </c:txPr>
        <c:crossAx val="663962912"/>
        <c:crosses val="autoZero"/>
        <c:auto val="1"/>
        <c:lblAlgn val="ctr"/>
        <c:lblOffset val="100"/>
        <c:noMultiLvlLbl val="0"/>
      </c:catAx>
      <c:valAx>
        <c:axId val="663962912"/>
        <c:scaling>
          <c:orientation val="minMax"/>
          <c:max val="100"/>
          <c:min val="0"/>
        </c:scaling>
        <c:delete val="0"/>
        <c:axPos val="t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fr-FR"/>
          </a:p>
        </c:txPr>
        <c:crossAx val="66395859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0A2342"/>
                </a:solidFill>
              </a:defRPr>
            </a:pPr>
            <a:r>
              <a:rPr lang="en-US"/>
              <a:t>Marge EBITDA (%) — Top 20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VALUE!$T$1</c:f>
              <c:strCache>
                <c:ptCount val="1"/>
                <c:pt idx="0">
                  <c:v>Mg%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VALUE!$S$2:$S$21</c:f>
              <c:strCache>
                <c:ptCount val="20"/>
                <c:pt idx="0">
                  <c:v>NVDA</c:v>
                </c:pt>
                <c:pt idx="1">
                  <c:v>KLAC</c:v>
                </c:pt>
                <c:pt idx="2">
                  <c:v>ANET</c:v>
                </c:pt>
                <c:pt idx="3">
                  <c:v>AVGO</c:v>
                </c:pt>
                <c:pt idx="4">
                  <c:v>MU</c:v>
                </c:pt>
                <c:pt idx="5">
                  <c:v>MPWR</c:v>
                </c:pt>
                <c:pt idx="6">
                  <c:v>LRCX</c:v>
                </c:pt>
                <c:pt idx="7">
                  <c:v>WDC</c:v>
                </c:pt>
                <c:pt idx="8">
                  <c:v>PTC</c:v>
                </c:pt>
                <c:pt idx="9">
                  <c:v>AMD</c:v>
                </c:pt>
                <c:pt idx="10">
                  <c:v>ASML</c:v>
                </c:pt>
                <c:pt idx="11">
                  <c:v>ADI</c:v>
                </c:pt>
                <c:pt idx="12">
                  <c:v>GLW</c:v>
                </c:pt>
                <c:pt idx="13">
                  <c:v>INTC</c:v>
                </c:pt>
                <c:pt idx="14">
                  <c:v>KEYS</c:v>
                </c:pt>
                <c:pt idx="15">
                  <c:v>APH</c:v>
                </c:pt>
                <c:pt idx="16">
                  <c:v>CDNS</c:v>
                </c:pt>
                <c:pt idx="17">
                  <c:v>SNPS</c:v>
                </c:pt>
                <c:pt idx="18">
                  <c:v>TER</c:v>
                </c:pt>
                <c:pt idx="19">
                  <c:v>ADSK</c:v>
                </c:pt>
              </c:strCache>
            </c:strRef>
          </c:cat>
          <c:val>
            <c:numRef>
              <c:f>VALUE!$T$2:$T$21</c:f>
              <c:numCache>
                <c:formatCode>General</c:formatCode>
                <c:ptCount val="20"/>
                <c:pt idx="0">
                  <c:v>66.900000000000006</c:v>
                </c:pt>
                <c:pt idx="1">
                  <c:v>43.9</c:v>
                </c:pt>
                <c:pt idx="2">
                  <c:v>43.6</c:v>
                </c:pt>
                <c:pt idx="3">
                  <c:v>54.3</c:v>
                </c:pt>
                <c:pt idx="4">
                  <c:v>49.4</c:v>
                </c:pt>
                <c:pt idx="5">
                  <c:v>28</c:v>
                </c:pt>
                <c:pt idx="6">
                  <c:v>35.4</c:v>
                </c:pt>
                <c:pt idx="7">
                  <c:v>20.399999999999999</c:v>
                </c:pt>
                <c:pt idx="8">
                  <c:v>41.3</c:v>
                </c:pt>
                <c:pt idx="9">
                  <c:v>21</c:v>
                </c:pt>
                <c:pt idx="10">
                  <c:v>38.4</c:v>
                </c:pt>
                <c:pt idx="11">
                  <c:v>45.6</c:v>
                </c:pt>
                <c:pt idx="12">
                  <c:v>23.9</c:v>
                </c:pt>
                <c:pt idx="13">
                  <c:v>27.2</c:v>
                </c:pt>
                <c:pt idx="14">
                  <c:v>27.1</c:v>
                </c:pt>
                <c:pt idx="15">
                  <c:v>29.8</c:v>
                </c:pt>
                <c:pt idx="16">
                  <c:v>35.4</c:v>
                </c:pt>
                <c:pt idx="17">
                  <c:v>35.4</c:v>
                </c:pt>
                <c:pt idx="18">
                  <c:v>24.7</c:v>
                </c:pt>
                <c:pt idx="19">
                  <c:v>27.6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7-41DA-A953-B522B13AD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3951392"/>
        <c:axId val="663959552"/>
      </c:barChart>
      <c:catAx>
        <c:axId val="6639513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0A2342"/>
                </a:solidFill>
              </a:defRPr>
            </a:pPr>
            <a:endParaRPr lang="fr-FR"/>
          </a:p>
        </c:txPr>
        <c:crossAx val="663959552"/>
        <c:crosses val="autoZero"/>
        <c:auto val="1"/>
        <c:lblAlgn val="ctr"/>
        <c:lblOffset val="100"/>
        <c:noMultiLvlLbl val="0"/>
      </c:catAx>
      <c:valAx>
        <c:axId val="663959552"/>
        <c:scaling>
          <c:orientation val="minMax"/>
          <c:min val="0"/>
        </c:scaling>
        <c:delete val="0"/>
        <c:axPos val="t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fr-FR"/>
          </a:p>
        </c:txPr>
        <c:crossAx val="66395139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0A2342"/>
                </a:solidFill>
              </a:defRPr>
            </a:pPr>
            <a:r>
              <a:rPr lang="en-US"/>
              <a:t>Score Growth — Top 20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GROWTH!$O$1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GROWTH!$N$2:$N$21</c:f>
              <c:strCache>
                <c:ptCount val="20"/>
                <c:pt idx="0">
                  <c:v>INTC</c:v>
                </c:pt>
                <c:pt idx="1">
                  <c:v>WDC</c:v>
                </c:pt>
                <c:pt idx="2">
                  <c:v>MU</c:v>
                </c:pt>
                <c:pt idx="3">
                  <c:v>STX</c:v>
                </c:pt>
                <c:pt idx="4">
                  <c:v>NVDA</c:v>
                </c:pt>
                <c:pt idx="5">
                  <c:v>APH</c:v>
                </c:pt>
                <c:pt idx="6">
                  <c:v>SAP.DE</c:v>
                </c:pt>
                <c:pt idx="7">
                  <c:v>AMD</c:v>
                </c:pt>
                <c:pt idx="8">
                  <c:v>PTC</c:v>
                </c:pt>
                <c:pt idx="9">
                  <c:v>AVGO</c:v>
                </c:pt>
                <c:pt idx="10">
                  <c:v>GLW</c:v>
                </c:pt>
                <c:pt idx="11">
                  <c:v>XYZ</c:v>
                </c:pt>
                <c:pt idx="12">
                  <c:v>MPWR</c:v>
                </c:pt>
                <c:pt idx="13">
                  <c:v>KLAC</c:v>
                </c:pt>
                <c:pt idx="14">
                  <c:v>ANET</c:v>
                </c:pt>
                <c:pt idx="15">
                  <c:v>LRCX</c:v>
                </c:pt>
                <c:pt idx="16">
                  <c:v>SMCI</c:v>
                </c:pt>
                <c:pt idx="17">
                  <c:v>NOW</c:v>
                </c:pt>
                <c:pt idx="18">
                  <c:v>SNPS</c:v>
                </c:pt>
                <c:pt idx="19">
                  <c:v>IBM</c:v>
                </c:pt>
              </c:strCache>
            </c:strRef>
          </c:cat>
          <c:val>
            <c:numRef>
              <c:f>GROWTH!$O$2:$O$21</c:f>
              <c:numCache>
                <c:formatCode>General</c:formatCode>
                <c:ptCount val="2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95</c:v>
                </c:pt>
                <c:pt idx="5">
                  <c:v>94</c:v>
                </c:pt>
                <c:pt idx="6">
                  <c:v>93</c:v>
                </c:pt>
                <c:pt idx="7">
                  <c:v>92</c:v>
                </c:pt>
                <c:pt idx="8">
                  <c:v>91</c:v>
                </c:pt>
                <c:pt idx="9">
                  <c:v>90</c:v>
                </c:pt>
                <c:pt idx="10">
                  <c:v>88</c:v>
                </c:pt>
                <c:pt idx="11">
                  <c:v>87</c:v>
                </c:pt>
                <c:pt idx="12">
                  <c:v>86</c:v>
                </c:pt>
                <c:pt idx="13">
                  <c:v>85</c:v>
                </c:pt>
                <c:pt idx="14">
                  <c:v>84</c:v>
                </c:pt>
                <c:pt idx="15">
                  <c:v>83</c:v>
                </c:pt>
                <c:pt idx="16">
                  <c:v>81</c:v>
                </c:pt>
                <c:pt idx="17">
                  <c:v>80</c:v>
                </c:pt>
                <c:pt idx="18">
                  <c:v>79</c:v>
                </c:pt>
                <c:pt idx="19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D-40EB-8600-C72375F73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3962432"/>
        <c:axId val="663964352"/>
      </c:barChart>
      <c:catAx>
        <c:axId val="6639624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0A2342"/>
                </a:solidFill>
              </a:defRPr>
            </a:pPr>
            <a:endParaRPr lang="fr-FR"/>
          </a:p>
        </c:txPr>
        <c:crossAx val="663964352"/>
        <c:crosses val="autoZero"/>
        <c:auto val="1"/>
        <c:lblAlgn val="ctr"/>
        <c:lblOffset val="100"/>
        <c:noMultiLvlLbl val="0"/>
      </c:catAx>
      <c:valAx>
        <c:axId val="663964352"/>
        <c:scaling>
          <c:orientation val="minMax"/>
          <c:max val="100"/>
          <c:min val="0"/>
        </c:scaling>
        <c:delete val="0"/>
        <c:axPos val="t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fr-FR"/>
          </a:p>
        </c:txPr>
        <c:crossAx val="66396243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0A2342"/>
                </a:solidFill>
              </a:defRPr>
            </a:pPr>
            <a:r>
              <a:rPr lang="en-US"/>
              <a:t>Croissance Revenus (%) — Top 20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GROWTH!$R$1</c:f>
              <c:strCache>
                <c:ptCount val="1"/>
                <c:pt idx="0">
                  <c:v>Rev%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GROWTH!$Q$2:$Q$21</c:f>
              <c:strCache>
                <c:ptCount val="20"/>
                <c:pt idx="0">
                  <c:v>INTC</c:v>
                </c:pt>
                <c:pt idx="1">
                  <c:v>WDC</c:v>
                </c:pt>
                <c:pt idx="2">
                  <c:v>MU</c:v>
                </c:pt>
                <c:pt idx="3">
                  <c:v>STX</c:v>
                </c:pt>
                <c:pt idx="4">
                  <c:v>NVDA</c:v>
                </c:pt>
                <c:pt idx="5">
                  <c:v>APH</c:v>
                </c:pt>
                <c:pt idx="6">
                  <c:v>SAP.DE</c:v>
                </c:pt>
                <c:pt idx="7">
                  <c:v>AMD</c:v>
                </c:pt>
                <c:pt idx="8">
                  <c:v>PTC</c:v>
                </c:pt>
                <c:pt idx="9">
                  <c:v>AVGO</c:v>
                </c:pt>
                <c:pt idx="10">
                  <c:v>GLW</c:v>
                </c:pt>
                <c:pt idx="11">
                  <c:v>XYZ</c:v>
                </c:pt>
                <c:pt idx="12">
                  <c:v>MPWR</c:v>
                </c:pt>
                <c:pt idx="13">
                  <c:v>KLAC</c:v>
                </c:pt>
                <c:pt idx="14">
                  <c:v>ANET</c:v>
                </c:pt>
                <c:pt idx="15">
                  <c:v>LRCX</c:v>
                </c:pt>
                <c:pt idx="16">
                  <c:v>SMCI</c:v>
                </c:pt>
                <c:pt idx="17">
                  <c:v>NOW</c:v>
                </c:pt>
                <c:pt idx="18">
                  <c:v>SNPS</c:v>
                </c:pt>
                <c:pt idx="19">
                  <c:v>IBM</c:v>
                </c:pt>
              </c:strCache>
            </c:strRef>
          </c:cat>
          <c:val>
            <c:numRef>
              <c:f>GROWTH!$R$2:$R$21</c:f>
              <c:numCache>
                <c:formatCode>General</c:formatCode>
                <c:ptCount val="20"/>
                <c:pt idx="0">
                  <c:v>-0.5</c:v>
                </c:pt>
                <c:pt idx="1">
                  <c:v>50.7</c:v>
                </c:pt>
                <c:pt idx="2">
                  <c:v>48.9</c:v>
                </c:pt>
                <c:pt idx="3">
                  <c:v>38.9</c:v>
                </c:pt>
                <c:pt idx="4">
                  <c:v>65.5</c:v>
                </c:pt>
                <c:pt idx="5">
                  <c:v>51.7</c:v>
                </c:pt>
                <c:pt idx="6">
                  <c:v>7.7</c:v>
                </c:pt>
                <c:pt idx="7">
                  <c:v>34.299999999999997</c:v>
                </c:pt>
                <c:pt idx="8">
                  <c:v>19.2</c:v>
                </c:pt>
                <c:pt idx="9">
                  <c:v>23.9</c:v>
                </c:pt>
                <c:pt idx="10">
                  <c:v>19.100000000000001</c:v>
                </c:pt>
                <c:pt idx="11">
                  <c:v>0.3</c:v>
                </c:pt>
                <c:pt idx="12">
                  <c:v>26.4</c:v>
                </c:pt>
                <c:pt idx="13">
                  <c:v>23.9</c:v>
                </c:pt>
                <c:pt idx="14">
                  <c:v>28.6</c:v>
                </c:pt>
                <c:pt idx="15">
                  <c:v>23.7</c:v>
                </c:pt>
                <c:pt idx="16">
                  <c:v>46.6</c:v>
                </c:pt>
                <c:pt idx="17">
                  <c:v>20.9</c:v>
                </c:pt>
                <c:pt idx="18">
                  <c:v>15.1</c:v>
                </c:pt>
                <c:pt idx="19">
                  <c:v>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6-4626-9EF7-3B817EC12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3970112"/>
        <c:axId val="663961472"/>
      </c:barChart>
      <c:catAx>
        <c:axId val="6639701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0A2342"/>
                </a:solidFill>
              </a:defRPr>
            </a:pPr>
            <a:endParaRPr lang="fr-FR"/>
          </a:p>
        </c:txPr>
        <c:crossAx val="663961472"/>
        <c:crosses val="autoZero"/>
        <c:auto val="1"/>
        <c:lblAlgn val="ctr"/>
        <c:lblOffset val="100"/>
        <c:noMultiLvlLbl val="0"/>
      </c:catAx>
      <c:valAx>
        <c:axId val="663961472"/>
        <c:scaling>
          <c:orientation val="minMax"/>
        </c:scaling>
        <c:delete val="0"/>
        <c:axPos val="t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fr-FR"/>
          </a:p>
        </c:txPr>
        <c:crossAx val="66397011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0A2342"/>
                </a:solidFill>
              </a:defRPr>
            </a:pPr>
            <a:r>
              <a:rPr lang="en-US"/>
              <a:t>Score Quality — Top 20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QUALITY!$O$1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QUALITY!$N$2:$N$21</c:f>
              <c:strCache>
                <c:ptCount val="20"/>
                <c:pt idx="0">
                  <c:v>DSY.PA</c:v>
                </c:pt>
                <c:pt idx="3">
                  <c:v>ADBE</c:v>
                </c:pt>
                <c:pt idx="4">
                  <c:v>FICO</c:v>
                </c:pt>
                <c:pt idx="5">
                  <c:v>PTC</c:v>
                </c:pt>
                <c:pt idx="6">
                  <c:v>CDNS</c:v>
                </c:pt>
                <c:pt idx="7">
                  <c:v>FTNT</c:v>
                </c:pt>
                <c:pt idx="8">
                  <c:v>SGE.L</c:v>
                </c:pt>
                <c:pt idx="9">
                  <c:v>ADSK</c:v>
                </c:pt>
                <c:pt idx="10">
                  <c:v>ANET</c:v>
                </c:pt>
                <c:pt idx="11">
                  <c:v>MSFT</c:v>
                </c:pt>
                <c:pt idx="12">
                  <c:v>PAYC</c:v>
                </c:pt>
                <c:pt idx="13">
                  <c:v>AVGO</c:v>
                </c:pt>
                <c:pt idx="14">
                  <c:v>FFIV</c:v>
                </c:pt>
                <c:pt idx="15">
                  <c:v>CPAY</c:v>
                </c:pt>
                <c:pt idx="16">
                  <c:v>INTU</c:v>
                </c:pt>
                <c:pt idx="17">
                  <c:v>SNPS</c:v>
                </c:pt>
                <c:pt idx="18">
                  <c:v>KLAC</c:v>
                </c:pt>
                <c:pt idx="19">
                  <c:v>APH</c:v>
                </c:pt>
              </c:strCache>
            </c:strRef>
          </c:cat>
          <c:val>
            <c:numRef>
              <c:f>QUALITY!$O$2:$O$21</c:f>
              <c:numCache>
                <c:formatCode>General</c:formatCode>
                <c:ptCount val="2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95</c:v>
                </c:pt>
                <c:pt idx="5">
                  <c:v>94</c:v>
                </c:pt>
                <c:pt idx="6">
                  <c:v>93</c:v>
                </c:pt>
                <c:pt idx="7">
                  <c:v>92</c:v>
                </c:pt>
                <c:pt idx="8">
                  <c:v>91</c:v>
                </c:pt>
                <c:pt idx="9">
                  <c:v>90</c:v>
                </c:pt>
                <c:pt idx="10">
                  <c:v>89</c:v>
                </c:pt>
                <c:pt idx="11">
                  <c:v>87</c:v>
                </c:pt>
                <c:pt idx="12">
                  <c:v>86</c:v>
                </c:pt>
                <c:pt idx="13">
                  <c:v>85</c:v>
                </c:pt>
                <c:pt idx="14">
                  <c:v>84</c:v>
                </c:pt>
                <c:pt idx="15">
                  <c:v>83</c:v>
                </c:pt>
                <c:pt idx="16">
                  <c:v>82</c:v>
                </c:pt>
                <c:pt idx="17">
                  <c:v>80</c:v>
                </c:pt>
                <c:pt idx="18">
                  <c:v>79</c:v>
                </c:pt>
                <c:pt idx="19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9-4E45-9E82-5E3A4CDCE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3976832"/>
        <c:axId val="663974912"/>
      </c:barChart>
      <c:catAx>
        <c:axId val="6639768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0A2342"/>
                </a:solidFill>
              </a:defRPr>
            </a:pPr>
            <a:endParaRPr lang="fr-FR"/>
          </a:p>
        </c:txPr>
        <c:crossAx val="663974912"/>
        <c:crosses val="autoZero"/>
        <c:auto val="1"/>
        <c:lblAlgn val="ctr"/>
        <c:lblOffset val="100"/>
        <c:noMultiLvlLbl val="0"/>
      </c:catAx>
      <c:valAx>
        <c:axId val="663974912"/>
        <c:scaling>
          <c:orientation val="minMax"/>
          <c:max val="100"/>
          <c:min val="0"/>
        </c:scaling>
        <c:delete val="0"/>
        <c:axPos val="t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fr-FR"/>
          </a:p>
        </c:txPr>
        <c:crossAx val="66397683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0A2342"/>
                </a:solidFill>
              </a:defRPr>
            </a:pPr>
            <a:r>
              <a:rPr lang="en-US"/>
              <a:t>Altman Z — Solidité financière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QUALITY!$R$1</c:f>
              <c:strCache>
                <c:ptCount val="1"/>
                <c:pt idx="0">
                  <c:v>AltZ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QUALITY!$Q$2:$Q$21</c:f>
              <c:strCache>
                <c:ptCount val="20"/>
                <c:pt idx="0">
                  <c:v>DSY.PA</c:v>
                </c:pt>
                <c:pt idx="1">
                  <c:v>VRSN</c:v>
                </c:pt>
                <c:pt idx="2">
                  <c:v>NVDA</c:v>
                </c:pt>
                <c:pt idx="3">
                  <c:v>ADBE</c:v>
                </c:pt>
                <c:pt idx="4">
                  <c:v>FICO</c:v>
                </c:pt>
                <c:pt idx="5">
                  <c:v>PTC</c:v>
                </c:pt>
                <c:pt idx="6">
                  <c:v>CDNS</c:v>
                </c:pt>
                <c:pt idx="7">
                  <c:v>FTNT</c:v>
                </c:pt>
                <c:pt idx="8">
                  <c:v>SGE.L</c:v>
                </c:pt>
                <c:pt idx="9">
                  <c:v>ADSK</c:v>
                </c:pt>
                <c:pt idx="10">
                  <c:v>ANET</c:v>
                </c:pt>
                <c:pt idx="11">
                  <c:v>MSFT</c:v>
                </c:pt>
                <c:pt idx="12">
                  <c:v>PAYC</c:v>
                </c:pt>
                <c:pt idx="13">
                  <c:v>AVGO</c:v>
                </c:pt>
                <c:pt idx="14">
                  <c:v>FFIV</c:v>
                </c:pt>
                <c:pt idx="15">
                  <c:v>CPAY</c:v>
                </c:pt>
                <c:pt idx="16">
                  <c:v>INTU</c:v>
                </c:pt>
                <c:pt idx="17">
                  <c:v>SNPS</c:v>
                </c:pt>
                <c:pt idx="18">
                  <c:v>KLAC</c:v>
                </c:pt>
                <c:pt idx="19">
                  <c:v>APH</c:v>
                </c:pt>
              </c:strCache>
            </c:strRef>
          </c:cat>
          <c:val>
            <c:numRef>
              <c:f>QUALITY!$R$2:$R$21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13.22</c:v>
                </c:pt>
                <c:pt idx="3">
                  <c:v>7.74</c:v>
                </c:pt>
                <c:pt idx="4">
                  <c:v>10.3</c:v>
                </c:pt>
                <c:pt idx="5">
                  <c:v>3.62</c:v>
                </c:pt>
                <c:pt idx="6">
                  <c:v>6.55</c:v>
                </c:pt>
                <c:pt idx="7">
                  <c:v>2.02</c:v>
                </c:pt>
                <c:pt idx="8">
                  <c:v>0</c:v>
                </c:pt>
                <c:pt idx="9">
                  <c:v>0.48</c:v>
                </c:pt>
                <c:pt idx="10">
                  <c:v>8.4600000000000009</c:v>
                </c:pt>
                <c:pt idx="11">
                  <c:v>4.46</c:v>
                </c:pt>
                <c:pt idx="12">
                  <c:v>0</c:v>
                </c:pt>
                <c:pt idx="13">
                  <c:v>2.66</c:v>
                </c:pt>
                <c:pt idx="14">
                  <c:v>5.01</c:v>
                </c:pt>
                <c:pt idx="15">
                  <c:v>1.86</c:v>
                </c:pt>
                <c:pt idx="16">
                  <c:v>4.5199999999999996</c:v>
                </c:pt>
                <c:pt idx="17">
                  <c:v>2.76</c:v>
                </c:pt>
                <c:pt idx="18">
                  <c:v>5.64</c:v>
                </c:pt>
                <c:pt idx="19">
                  <c:v>5.05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8A-44AB-83D7-65B217C4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3980672"/>
        <c:axId val="663981152"/>
      </c:barChart>
      <c:catAx>
        <c:axId val="6639806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0A2342"/>
                </a:solidFill>
              </a:defRPr>
            </a:pPr>
            <a:endParaRPr lang="fr-FR"/>
          </a:p>
        </c:txPr>
        <c:crossAx val="663981152"/>
        <c:crosses val="autoZero"/>
        <c:auto val="1"/>
        <c:lblAlgn val="ctr"/>
        <c:lblOffset val="100"/>
        <c:noMultiLvlLbl val="0"/>
      </c:catAx>
      <c:valAx>
        <c:axId val="663981152"/>
        <c:scaling>
          <c:orientation val="minMax"/>
          <c:min val="0"/>
        </c:scaling>
        <c:delete val="0"/>
        <c:axPos val="t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fr-FR"/>
          </a:p>
        </c:txPr>
        <c:crossAx val="66398067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0A2342"/>
                </a:solidFill>
              </a:defRPr>
            </a:pPr>
            <a:r>
              <a:rPr lang="en-US"/>
              <a:t>Score Momentum — Top 20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MOMENTUM!$O$1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MOMENTUM!$N$2:$N$21</c:f>
              <c:strCache>
                <c:ptCount val="20"/>
                <c:pt idx="0">
                  <c:v>SNDK</c:v>
                </c:pt>
                <c:pt idx="1">
                  <c:v>WDC</c:v>
                </c:pt>
                <c:pt idx="2">
                  <c:v>CIEN</c:v>
                </c:pt>
                <c:pt idx="3">
                  <c:v>TER</c:v>
                </c:pt>
                <c:pt idx="4">
                  <c:v>MU</c:v>
                </c:pt>
                <c:pt idx="5">
                  <c:v>STX</c:v>
                </c:pt>
                <c:pt idx="6">
                  <c:v>GLW</c:v>
                </c:pt>
                <c:pt idx="7">
                  <c:v>LRCX</c:v>
                </c:pt>
                <c:pt idx="8">
                  <c:v>INTC</c:v>
                </c:pt>
                <c:pt idx="9">
                  <c:v>AMAT</c:v>
                </c:pt>
                <c:pt idx="10">
                  <c:v>KLAC</c:v>
                </c:pt>
                <c:pt idx="11">
                  <c:v>AMD</c:v>
                </c:pt>
                <c:pt idx="12">
                  <c:v>KEYS</c:v>
                </c:pt>
                <c:pt idx="13">
                  <c:v>ASML</c:v>
                </c:pt>
                <c:pt idx="14">
                  <c:v>MPWR</c:v>
                </c:pt>
                <c:pt idx="15">
                  <c:v>NOKIA</c:v>
                </c:pt>
                <c:pt idx="16">
                  <c:v>JBL</c:v>
                </c:pt>
                <c:pt idx="17">
                  <c:v>AKAM</c:v>
                </c:pt>
                <c:pt idx="18">
                  <c:v>ADI</c:v>
                </c:pt>
                <c:pt idx="19">
                  <c:v>ON</c:v>
                </c:pt>
              </c:strCache>
            </c:strRef>
          </c:cat>
          <c:val>
            <c:numRef>
              <c:f>MOMENTUM!$O$2:$O$21</c:f>
              <c:numCache>
                <c:formatCode>General</c:formatCode>
                <c:ptCount val="2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95</c:v>
                </c:pt>
                <c:pt idx="5">
                  <c:v>94</c:v>
                </c:pt>
                <c:pt idx="6">
                  <c:v>93</c:v>
                </c:pt>
                <c:pt idx="7">
                  <c:v>92</c:v>
                </c:pt>
                <c:pt idx="8">
                  <c:v>91</c:v>
                </c:pt>
                <c:pt idx="9">
                  <c:v>90</c:v>
                </c:pt>
                <c:pt idx="10">
                  <c:v>88</c:v>
                </c:pt>
                <c:pt idx="11">
                  <c:v>87</c:v>
                </c:pt>
                <c:pt idx="12">
                  <c:v>86</c:v>
                </c:pt>
                <c:pt idx="13">
                  <c:v>85</c:v>
                </c:pt>
                <c:pt idx="14">
                  <c:v>84</c:v>
                </c:pt>
                <c:pt idx="15">
                  <c:v>83</c:v>
                </c:pt>
                <c:pt idx="16">
                  <c:v>81</c:v>
                </c:pt>
                <c:pt idx="17">
                  <c:v>79</c:v>
                </c:pt>
                <c:pt idx="18">
                  <c:v>78</c:v>
                </c:pt>
                <c:pt idx="19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1-47E5-954A-3C6EB742F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3992672"/>
        <c:axId val="663996992"/>
      </c:barChart>
      <c:catAx>
        <c:axId val="6639926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0A2342"/>
                </a:solidFill>
              </a:defRPr>
            </a:pPr>
            <a:endParaRPr lang="fr-FR"/>
          </a:p>
        </c:txPr>
        <c:crossAx val="663996992"/>
        <c:crosses val="autoZero"/>
        <c:auto val="1"/>
        <c:lblAlgn val="ctr"/>
        <c:lblOffset val="100"/>
        <c:noMultiLvlLbl val="0"/>
      </c:catAx>
      <c:valAx>
        <c:axId val="663996992"/>
        <c:scaling>
          <c:orientation val="minMax"/>
          <c:max val="100"/>
          <c:min val="0"/>
        </c:scaling>
        <c:delete val="0"/>
        <c:axPos val="t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fr-FR"/>
          </a:p>
        </c:txPr>
        <c:crossAx val="66399267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 sz="1100" b="1">
                <a:solidFill>
                  <a:srgbClr val="0A2342"/>
                </a:solidFill>
              </a:defRPr>
            </a:pPr>
            <a:r>
              <a:rPr lang="en-US"/>
              <a:t>Performance 52 semaines (%) — Top 20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MOMENTUM!$R$1</c:f>
              <c:strCache>
                <c:ptCount val="1"/>
                <c:pt idx="0">
                  <c:v>Mom%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MOMENTUM!$Q$2:$Q$21</c:f>
              <c:strCache>
                <c:ptCount val="20"/>
                <c:pt idx="0">
                  <c:v>SNDK</c:v>
                </c:pt>
                <c:pt idx="1">
                  <c:v>WDC</c:v>
                </c:pt>
                <c:pt idx="2">
                  <c:v>CIEN</c:v>
                </c:pt>
                <c:pt idx="3">
                  <c:v>TER</c:v>
                </c:pt>
                <c:pt idx="4">
                  <c:v>MU</c:v>
                </c:pt>
                <c:pt idx="5">
                  <c:v>STX</c:v>
                </c:pt>
                <c:pt idx="6">
                  <c:v>GLW</c:v>
                </c:pt>
                <c:pt idx="7">
                  <c:v>LRCX</c:v>
                </c:pt>
                <c:pt idx="8">
                  <c:v>INTC</c:v>
                </c:pt>
                <c:pt idx="9">
                  <c:v>AMAT</c:v>
                </c:pt>
                <c:pt idx="10">
                  <c:v>KLAC</c:v>
                </c:pt>
                <c:pt idx="11">
                  <c:v>AMD</c:v>
                </c:pt>
                <c:pt idx="12">
                  <c:v>KEYS</c:v>
                </c:pt>
                <c:pt idx="13">
                  <c:v>ASML</c:v>
                </c:pt>
                <c:pt idx="14">
                  <c:v>MPWR</c:v>
                </c:pt>
                <c:pt idx="15">
                  <c:v>NOKIA</c:v>
                </c:pt>
                <c:pt idx="16">
                  <c:v>JBL</c:v>
                </c:pt>
                <c:pt idx="17">
                  <c:v>AKAM</c:v>
                </c:pt>
                <c:pt idx="18">
                  <c:v>ADI</c:v>
                </c:pt>
                <c:pt idx="19">
                  <c:v>ON</c:v>
                </c:pt>
              </c:strCache>
            </c:strRef>
          </c:cat>
          <c:val>
            <c:numRef>
              <c:f>MOMENTUM!$R$2:$R$21</c:f>
              <c:numCache>
                <c:formatCode>General</c:formatCode>
                <c:ptCount val="20"/>
                <c:pt idx="0">
                  <c:v>0</c:v>
                </c:pt>
                <c:pt idx="1">
                  <c:v>477</c:v>
                </c:pt>
                <c:pt idx="2">
                  <c:v>455</c:v>
                </c:pt>
                <c:pt idx="3">
                  <c:v>292</c:v>
                </c:pt>
                <c:pt idx="4">
                  <c:v>283</c:v>
                </c:pt>
                <c:pt idx="5">
                  <c:v>264</c:v>
                </c:pt>
                <c:pt idx="6">
                  <c:v>199</c:v>
                </c:pt>
                <c:pt idx="7">
                  <c:v>172</c:v>
                </c:pt>
                <c:pt idx="8">
                  <c:v>152</c:v>
                </c:pt>
                <c:pt idx="9">
                  <c:v>125</c:v>
                </c:pt>
                <c:pt idx="10">
                  <c:v>102</c:v>
                </c:pt>
                <c:pt idx="11">
                  <c:v>93</c:v>
                </c:pt>
                <c:pt idx="12">
                  <c:v>85</c:v>
                </c:pt>
                <c:pt idx="13">
                  <c:v>79</c:v>
                </c:pt>
                <c:pt idx="14">
                  <c:v>69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D-4E07-A580-0DC7314BE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4007552"/>
        <c:axId val="664002752"/>
      </c:barChart>
      <c:catAx>
        <c:axId val="664007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0A2342"/>
                </a:solidFill>
              </a:defRPr>
            </a:pPr>
            <a:endParaRPr lang="fr-FR"/>
          </a:p>
        </c:txPr>
        <c:crossAx val="664002752"/>
        <c:crosses val="autoZero"/>
        <c:auto val="1"/>
        <c:lblAlgn val="ctr"/>
        <c:lblOffset val="100"/>
        <c:noMultiLvlLbl val="0"/>
      </c:catAx>
      <c:valAx>
        <c:axId val="664002752"/>
        <c:scaling>
          <c:orientation val="minMax"/>
          <c:min val="0"/>
        </c:scaling>
        <c:delete val="0"/>
        <c:axPos val="t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fr-FR"/>
          </a:p>
        </c:txPr>
        <c:crossAx val="66400755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strike="noStrike" kern="1200" spc="0" baseline="0">
                <a:solidFill>
                  <a:srgbClr val="0A234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— Top 15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 Global</c:v>
          </c:tx>
          <c:spPr>
            <a:solidFill>
              <a:srgbClr val="0A234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strike="noStrike" kern="1200" baseline="0">
                    <a:solidFill>
                      <a:srgbClr val="0A234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ÉNERGIE!$R$2:$R$16</c:f>
              <c:strCache>
                <c:ptCount val="15"/>
                <c:pt idx="0">
                  <c:v>APA</c:v>
                </c:pt>
                <c:pt idx="1">
                  <c:v>CTRA</c:v>
                </c:pt>
                <c:pt idx="2">
                  <c:v>DVN</c:v>
                </c:pt>
                <c:pt idx="3">
                  <c:v>EXE</c:v>
                </c:pt>
                <c:pt idx="4">
                  <c:v>EQT</c:v>
                </c:pt>
                <c:pt idx="5">
                  <c:v>PSX</c:v>
                </c:pt>
                <c:pt idx="6">
                  <c:v>COP</c:v>
                </c:pt>
                <c:pt idx="7">
                  <c:v>TRGP</c:v>
                </c:pt>
                <c:pt idx="8">
                  <c:v>EOG</c:v>
                </c:pt>
                <c:pt idx="9">
                  <c:v>OKE</c:v>
                </c:pt>
                <c:pt idx="10">
                  <c:v>TPL</c:v>
                </c:pt>
                <c:pt idx="11">
                  <c:v>FANG</c:v>
                </c:pt>
                <c:pt idx="12">
                  <c:v>WMB</c:v>
                </c:pt>
                <c:pt idx="13">
                  <c:v>BKR</c:v>
                </c:pt>
                <c:pt idx="14">
                  <c:v>OXY</c:v>
                </c:pt>
              </c:strCache>
            </c:strRef>
          </c:cat>
          <c:val>
            <c:numRef>
              <c:f>ÉNERGIE!$S$2:$S$16</c:f>
              <c:numCache>
                <c:formatCode>General</c:formatCode>
                <c:ptCount val="15"/>
                <c:pt idx="0">
                  <c:v>84</c:v>
                </c:pt>
                <c:pt idx="1">
                  <c:v>72</c:v>
                </c:pt>
                <c:pt idx="2">
                  <c:v>69</c:v>
                </c:pt>
                <c:pt idx="3">
                  <c:v>68</c:v>
                </c:pt>
                <c:pt idx="4">
                  <c:v>62</c:v>
                </c:pt>
                <c:pt idx="5">
                  <c:v>60</c:v>
                </c:pt>
                <c:pt idx="6">
                  <c:v>58</c:v>
                </c:pt>
                <c:pt idx="7">
                  <c:v>54</c:v>
                </c:pt>
                <c:pt idx="8">
                  <c:v>52</c:v>
                </c:pt>
                <c:pt idx="9">
                  <c:v>52</c:v>
                </c:pt>
                <c:pt idx="10">
                  <c:v>52</c:v>
                </c:pt>
                <c:pt idx="11">
                  <c:v>51</c:v>
                </c:pt>
                <c:pt idx="12">
                  <c:v>51</c:v>
                </c:pt>
                <c:pt idx="13">
                  <c:v>50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68-4BB5-ABFA-B1D3E2268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8378816"/>
        <c:axId val="708366336"/>
      </c:barChart>
      <c:catAx>
        <c:axId val="7083788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rgbClr val="0A234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8366336"/>
        <c:crosses val="autoZero"/>
        <c:auto val="1"/>
        <c:lblAlgn val="ctr"/>
        <c:lblOffset val="100"/>
        <c:noMultiLvlLbl val="0"/>
      </c:catAx>
      <c:valAx>
        <c:axId val="708366336"/>
        <c:scaling>
          <c:orientation val="minMax"/>
          <c:max val="1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8378816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strike="noStrike" kern="1200" spc="0" baseline="0">
                <a:solidFill>
                  <a:srgbClr val="0A234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des Signaux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ÉNERGIE!$V$1</c:f>
              <c:strCache>
                <c:ptCount val="1"/>
                <c:pt idx="0">
                  <c:v>Nb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A7A4A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15D-41EB-8020-D0D91ABF8E9A}"/>
              </c:ext>
            </c:extLst>
          </c:dPt>
          <c:dPt>
            <c:idx val="1"/>
            <c:bubble3D val="0"/>
            <c:spPr>
              <a:solidFill>
                <a:srgbClr val="B06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15D-41EB-8020-D0D91ABF8E9A}"/>
              </c:ext>
            </c:extLst>
          </c:dPt>
          <c:dPt>
            <c:idx val="2"/>
            <c:bubble3D val="0"/>
            <c:spPr>
              <a:solidFill>
                <a:srgbClr val="A8202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15D-41EB-8020-D0D91ABF8E9A}"/>
              </c:ext>
            </c:extLst>
          </c:dPt>
          <c:cat>
            <c:strRef>
              <c:f>ÉNERGIE!$U$2:$U$4</c:f>
              <c:strCache>
                <c:ptCount val="3"/>
                <c:pt idx="0">
                  <c:v>Surpondérer</c:v>
                </c:pt>
                <c:pt idx="1">
                  <c:v>Surpondérer</c:v>
                </c:pt>
                <c:pt idx="2">
                  <c:v>Surpondérer</c:v>
                </c:pt>
              </c:strCache>
            </c:strRef>
          </c:cat>
          <c:val>
            <c:numRef>
              <c:f>ÉNERGIE!$V$2:$V$4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5D-41EB-8020-D0D91ABF8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l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strike="noStrike" kern="1200" spc="0" baseline="0">
                <a:solidFill>
                  <a:srgbClr val="0A234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 — Top 8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ÉNERGIE!$Y$1</c:f>
              <c:strCache>
                <c:ptCount val="1"/>
                <c:pt idx="0">
                  <c:v>Growth</c:v>
                </c:pt>
              </c:strCache>
            </c:strRef>
          </c:tx>
          <c:spPr>
            <a:solidFill>
              <a:srgbClr val="0A2342"/>
            </a:solidFill>
            <a:ln>
              <a:noFill/>
              <a:prstDash val="solid"/>
            </a:ln>
          </c:spPr>
          <c:invertIfNegative val="0"/>
          <c:cat>
            <c:strRef>
              <c:f>ÉNERGIE!$X$2:$X$9</c:f>
              <c:strCache>
                <c:ptCount val="8"/>
                <c:pt idx="0">
                  <c:v>APA</c:v>
                </c:pt>
                <c:pt idx="1">
                  <c:v>CTRA</c:v>
                </c:pt>
                <c:pt idx="2">
                  <c:v>DVN</c:v>
                </c:pt>
                <c:pt idx="3">
                  <c:v>EXE</c:v>
                </c:pt>
                <c:pt idx="4">
                  <c:v>EQT</c:v>
                </c:pt>
                <c:pt idx="5">
                  <c:v>PSX</c:v>
                </c:pt>
                <c:pt idx="6">
                  <c:v>COP</c:v>
                </c:pt>
                <c:pt idx="7">
                  <c:v>TRGP</c:v>
                </c:pt>
              </c:strCache>
            </c:strRef>
          </c:cat>
          <c:val>
            <c:numRef>
              <c:f>ÉNERGIE!$Y$2:$Y$9</c:f>
              <c:numCache>
                <c:formatCode>General</c:formatCode>
                <c:ptCount val="8"/>
                <c:pt idx="0">
                  <c:v>62</c:v>
                </c:pt>
                <c:pt idx="1">
                  <c:v>92</c:v>
                </c:pt>
                <c:pt idx="2">
                  <c:v>50</c:v>
                </c:pt>
                <c:pt idx="3">
                  <c:v>100</c:v>
                </c:pt>
                <c:pt idx="4">
                  <c:v>96</c:v>
                </c:pt>
                <c:pt idx="5">
                  <c:v>83</c:v>
                </c:pt>
                <c:pt idx="6">
                  <c:v>54</c:v>
                </c:pt>
                <c:pt idx="7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2-4423-9F21-817B27A0AB20}"/>
            </c:ext>
          </c:extLst>
        </c:ser>
        <c:ser>
          <c:idx val="1"/>
          <c:order val="1"/>
          <c:tx>
            <c:strRef>
              <c:f>ÉNERGIE!$Z$1</c:f>
              <c:strCache>
                <c:ptCount val="1"/>
                <c:pt idx="0">
                  <c:v>Quality</c:v>
                </c:pt>
              </c:strCache>
            </c:strRef>
          </c:tx>
          <c:spPr>
            <a:solidFill>
              <a:srgbClr val="1A9E8A"/>
            </a:solidFill>
            <a:ln>
              <a:noFill/>
              <a:prstDash val="solid"/>
            </a:ln>
          </c:spPr>
          <c:invertIfNegative val="0"/>
          <c:cat>
            <c:strRef>
              <c:f>ÉNERGIE!$X$2:$X$9</c:f>
              <c:strCache>
                <c:ptCount val="8"/>
                <c:pt idx="0">
                  <c:v>APA</c:v>
                </c:pt>
                <c:pt idx="1">
                  <c:v>CTRA</c:v>
                </c:pt>
                <c:pt idx="2">
                  <c:v>DVN</c:v>
                </c:pt>
                <c:pt idx="3">
                  <c:v>EXE</c:v>
                </c:pt>
                <c:pt idx="4">
                  <c:v>EQT</c:v>
                </c:pt>
                <c:pt idx="5">
                  <c:v>PSX</c:v>
                </c:pt>
                <c:pt idx="6">
                  <c:v>COP</c:v>
                </c:pt>
                <c:pt idx="7">
                  <c:v>TRGP</c:v>
                </c:pt>
              </c:strCache>
            </c:strRef>
          </c:cat>
          <c:val>
            <c:numRef>
              <c:f>ÉNERGIE!$Z$2:$Z$9</c:f>
              <c:numCache>
                <c:formatCode>General</c:formatCode>
                <c:ptCount val="8"/>
                <c:pt idx="0">
                  <c:v>73</c:v>
                </c:pt>
                <c:pt idx="1">
                  <c:v>77</c:v>
                </c:pt>
                <c:pt idx="2">
                  <c:v>62</c:v>
                </c:pt>
                <c:pt idx="3">
                  <c:v>81</c:v>
                </c:pt>
                <c:pt idx="4">
                  <c:v>85</c:v>
                </c:pt>
                <c:pt idx="5">
                  <c:v>15</c:v>
                </c:pt>
                <c:pt idx="6">
                  <c:v>54</c:v>
                </c:pt>
                <c:pt idx="7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C2-4423-9F21-817B27A0AB20}"/>
            </c:ext>
          </c:extLst>
        </c:ser>
        <c:ser>
          <c:idx val="2"/>
          <c:order val="2"/>
          <c:tx>
            <c:strRef>
              <c:f>ÉNERGIE!$AA$1</c:f>
              <c:strCache>
                <c:ptCount val="1"/>
                <c:pt idx="0">
                  <c:v>Momentum</c:v>
                </c:pt>
              </c:strCache>
            </c:strRef>
          </c:tx>
          <c:spPr>
            <a:solidFill>
              <a:srgbClr val="D4890A"/>
            </a:solidFill>
            <a:ln>
              <a:noFill/>
              <a:prstDash val="solid"/>
            </a:ln>
          </c:spPr>
          <c:invertIfNegative val="0"/>
          <c:cat>
            <c:strRef>
              <c:f>ÉNERGIE!$X$2:$X$9</c:f>
              <c:strCache>
                <c:ptCount val="8"/>
                <c:pt idx="0">
                  <c:v>APA</c:v>
                </c:pt>
                <c:pt idx="1">
                  <c:v>CTRA</c:v>
                </c:pt>
                <c:pt idx="2">
                  <c:v>DVN</c:v>
                </c:pt>
                <c:pt idx="3">
                  <c:v>EXE</c:v>
                </c:pt>
                <c:pt idx="4">
                  <c:v>EQT</c:v>
                </c:pt>
                <c:pt idx="5">
                  <c:v>PSX</c:v>
                </c:pt>
                <c:pt idx="6">
                  <c:v>COP</c:v>
                </c:pt>
                <c:pt idx="7">
                  <c:v>TRGP</c:v>
                </c:pt>
              </c:strCache>
            </c:strRef>
          </c:cat>
          <c:val>
            <c:numRef>
              <c:f>ÉNERGIE!$AA$2:$AA$9</c:f>
              <c:numCache>
                <c:formatCode>General</c:formatCode>
                <c:ptCount val="8"/>
                <c:pt idx="0">
                  <c:v>100</c:v>
                </c:pt>
                <c:pt idx="1">
                  <c:v>31</c:v>
                </c:pt>
                <c:pt idx="2">
                  <c:v>69</c:v>
                </c:pt>
                <c:pt idx="3">
                  <c:v>0</c:v>
                </c:pt>
                <c:pt idx="4">
                  <c:v>4</c:v>
                </c:pt>
                <c:pt idx="5">
                  <c:v>58</c:v>
                </c:pt>
                <c:pt idx="6">
                  <c:v>54</c:v>
                </c:pt>
                <c:pt idx="7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C2-4423-9F21-817B27A0A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8367296"/>
        <c:axId val="708367776"/>
      </c:barChart>
      <c:catAx>
        <c:axId val="7083672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rgbClr val="0A234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8367776"/>
        <c:crosses val="autoZero"/>
        <c:auto val="1"/>
        <c:lblAlgn val="ctr"/>
        <c:lblOffset val="100"/>
        <c:noMultiLvlLbl val="0"/>
      </c:catAx>
      <c:valAx>
        <c:axId val="708367776"/>
        <c:scaling>
          <c:orientation val="minMax"/>
          <c:max val="1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83672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rgbClr val="0A234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strike="noStrike" kern="1200" spc="0" baseline="0">
                <a:solidFill>
                  <a:srgbClr val="0A234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 EBITDA (%) — Top 15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ÉNERGIE!$AD$1</c:f>
              <c:strCache>
                <c:ptCount val="1"/>
                <c:pt idx="0">
                  <c:v>Mg EBITDA (%)</c:v>
                </c:pt>
              </c:strCache>
            </c:strRef>
          </c:tx>
          <c:spPr>
            <a:solidFill>
              <a:srgbClr val="1A9E8A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5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ÉNERGIE!$AC$2:$AC$16</c:f>
              <c:strCache>
                <c:ptCount val="15"/>
                <c:pt idx="0">
                  <c:v>APA</c:v>
                </c:pt>
                <c:pt idx="1">
                  <c:v>CTRA</c:v>
                </c:pt>
                <c:pt idx="2">
                  <c:v>DVN</c:v>
                </c:pt>
                <c:pt idx="3">
                  <c:v>EXE</c:v>
                </c:pt>
                <c:pt idx="4">
                  <c:v>EQT</c:v>
                </c:pt>
                <c:pt idx="5">
                  <c:v>PSX</c:v>
                </c:pt>
                <c:pt idx="6">
                  <c:v>COP</c:v>
                </c:pt>
                <c:pt idx="7">
                  <c:v>TRGP</c:v>
                </c:pt>
                <c:pt idx="8">
                  <c:v>EOG</c:v>
                </c:pt>
                <c:pt idx="9">
                  <c:v>OKE</c:v>
                </c:pt>
                <c:pt idx="10">
                  <c:v>TPL</c:v>
                </c:pt>
                <c:pt idx="11">
                  <c:v>FANG</c:v>
                </c:pt>
                <c:pt idx="12">
                  <c:v>WMB</c:v>
                </c:pt>
                <c:pt idx="13">
                  <c:v>BKR</c:v>
                </c:pt>
                <c:pt idx="14">
                  <c:v>OXY</c:v>
                </c:pt>
              </c:strCache>
            </c:strRef>
          </c:cat>
          <c:val>
            <c:numRef>
              <c:f>ÉNERGIE!$AD$2:$AD$16</c:f>
              <c:numCache>
                <c:formatCode>General</c:formatCode>
                <c:ptCount val="15"/>
                <c:pt idx="0">
                  <c:v>60.2</c:v>
                </c:pt>
                <c:pt idx="1">
                  <c:v>63.5</c:v>
                </c:pt>
                <c:pt idx="2">
                  <c:v>44</c:v>
                </c:pt>
                <c:pt idx="3">
                  <c:v>45.1</c:v>
                </c:pt>
                <c:pt idx="4">
                  <c:v>72</c:v>
                </c:pt>
                <c:pt idx="5">
                  <c:v>7.4</c:v>
                </c:pt>
                <c:pt idx="6">
                  <c:v>43.4</c:v>
                </c:pt>
                <c:pt idx="7">
                  <c:v>28.5</c:v>
                </c:pt>
                <c:pt idx="8">
                  <c:v>49</c:v>
                </c:pt>
                <c:pt idx="9">
                  <c:v>23.2</c:v>
                </c:pt>
                <c:pt idx="10">
                  <c:v>84.4</c:v>
                </c:pt>
                <c:pt idx="11">
                  <c:v>48.1</c:v>
                </c:pt>
                <c:pt idx="12">
                  <c:v>62</c:v>
                </c:pt>
                <c:pt idx="13">
                  <c:v>15.5</c:v>
                </c:pt>
                <c:pt idx="14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0-4920-BADD-BB778E9E5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8391776"/>
        <c:axId val="708392256"/>
      </c:barChart>
      <c:catAx>
        <c:axId val="708391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rgbClr val="0A234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8392256"/>
        <c:crosses val="autoZero"/>
        <c:auto val="1"/>
        <c:lblAlgn val="ctr"/>
        <c:lblOffset val="100"/>
        <c:noMultiLvlLbl val="0"/>
      </c:catAx>
      <c:valAx>
        <c:axId val="708392256"/>
        <c:scaling>
          <c:orientation val="minMax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8391776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249011</xdr:colOff>
      <xdr:row>18</xdr:row>
      <xdr:rowOff>133805</xdr:rowOff>
    </xdr:from>
    <xdr:to>
      <xdr:col>28</xdr:col>
      <xdr:colOff>400050</xdr:colOff>
      <xdr:row>36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258537</xdr:colOff>
      <xdr:row>0</xdr:row>
      <xdr:rowOff>90261</xdr:rowOff>
    </xdr:from>
    <xdr:to>
      <xdr:col>28</xdr:col>
      <xdr:colOff>381001</xdr:colOff>
      <xdr:row>18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17318</xdr:colOff>
      <xdr:row>17</xdr:row>
      <xdr:rowOff>78221</xdr:rowOff>
    </xdr:from>
    <xdr:to>
      <xdr:col>33</xdr:col>
      <xdr:colOff>121227</xdr:colOff>
      <xdr:row>34</xdr:row>
      <xdr:rowOff>51955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12989</xdr:colOff>
      <xdr:row>0</xdr:row>
      <xdr:rowOff>130175</xdr:rowOff>
    </xdr:from>
    <xdr:to>
      <xdr:col>33</xdr:col>
      <xdr:colOff>121227</xdr:colOff>
      <xdr:row>16</xdr:row>
      <xdr:rowOff>17318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242455</xdr:colOff>
      <xdr:row>23</xdr:row>
      <xdr:rowOff>43585</xdr:rowOff>
    </xdr:from>
    <xdr:to>
      <xdr:col>36</xdr:col>
      <xdr:colOff>501651</xdr:colOff>
      <xdr:row>53</xdr:row>
      <xdr:rowOff>27132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237260</xdr:colOff>
      <xdr:row>0</xdr:row>
      <xdr:rowOff>164812</xdr:rowOff>
    </xdr:from>
    <xdr:to>
      <xdr:col>36</xdr:col>
      <xdr:colOff>534555</xdr:colOff>
      <xdr:row>22</xdr:row>
      <xdr:rowOff>138545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112060</xdr:colOff>
      <xdr:row>19</xdr:row>
      <xdr:rowOff>85349</xdr:rowOff>
    </xdr:from>
    <xdr:to>
      <xdr:col>24</xdr:col>
      <xdr:colOff>470648</xdr:colOff>
      <xdr:row>34</xdr:row>
      <xdr:rowOff>89647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98052</xdr:colOff>
      <xdr:row>4</xdr:row>
      <xdr:rowOff>89647</xdr:rowOff>
    </xdr:from>
    <xdr:to>
      <xdr:col>24</xdr:col>
      <xdr:colOff>414618</xdr:colOff>
      <xdr:row>19</xdr:row>
      <xdr:rowOff>67235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413809</xdr:colOff>
      <xdr:row>0</xdr:row>
      <xdr:rowOff>144992</xdr:rowOff>
    </xdr:from>
    <xdr:to>
      <xdr:col>25</xdr:col>
      <xdr:colOff>432859</xdr:colOff>
      <xdr:row>24</xdr:row>
      <xdr:rowOff>94192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400049</xdr:colOff>
      <xdr:row>67</xdr:row>
      <xdr:rowOff>166159</xdr:rowOff>
    </xdr:from>
    <xdr:to>
      <xdr:col>21</xdr:col>
      <xdr:colOff>586316</xdr:colOff>
      <xdr:row>82</xdr:row>
      <xdr:rowOff>104776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25</xdr:row>
      <xdr:rowOff>128059</xdr:rowOff>
    </xdr:from>
    <xdr:to>
      <xdr:col>25</xdr:col>
      <xdr:colOff>353484</xdr:colOff>
      <xdr:row>44</xdr:row>
      <xdr:rowOff>58209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409575</xdr:colOff>
      <xdr:row>45</xdr:row>
      <xdr:rowOff>41275</xdr:rowOff>
    </xdr:from>
    <xdr:to>
      <xdr:col>25</xdr:col>
      <xdr:colOff>412749</xdr:colOff>
      <xdr:row>67</xdr:row>
      <xdr:rowOff>116416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968B06-9C9B-4D0B-BE65-5A0539ED53FA}">
  <we:reference id="wa200009404" version="1.0.0.8" store="fr-FR" storeType="OMEX"/>
  <we:alternateReferences>
    <we:reference id="wa200009404" version="1.0.0.8" store="" storeType="OMEX"/>
  </we:alternateReferences>
  <we:properties>
    <we:property name="claude.fileId" value="&quot;e31970a2-0a94-4e04-aa95-d14668ad9101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30"/>
  <sheetViews>
    <sheetView showGridLines="0" tabSelected="1" zoomScaleNormal="100" workbookViewId="0">
      <selection activeCell="M12" sqref="M12"/>
    </sheetView>
  </sheetViews>
  <sheetFormatPr baseColWidth="10" defaultColWidth="8.88671875" defaultRowHeight="14.4" x14ac:dyDescent="0.3"/>
  <cols>
    <col min="1" max="1" width="1.6640625" customWidth="1"/>
    <col min="2" max="2" width="4.6640625" customWidth="1"/>
    <col min="3" max="3" width="12.109375" bestFit="1" customWidth="1"/>
    <col min="4" max="4" width="30.109375" bestFit="1" customWidth="1"/>
    <col min="5" max="5" width="8.44140625" customWidth="1"/>
    <col min="6" max="6" width="12.5546875" customWidth="1"/>
    <col min="7" max="7" width="7.5546875" customWidth="1"/>
    <col min="8" max="8" width="7.44140625" customWidth="1"/>
    <col min="9" max="9" width="7.88671875" customWidth="1"/>
    <col min="10" max="10" width="19.88671875" bestFit="1" customWidth="1"/>
    <col min="11" max="11" width="7.88671875" bestFit="1" customWidth="1"/>
    <col min="12" max="12" width="12.5546875" customWidth="1"/>
    <col min="13" max="13" width="2.88671875" customWidth="1"/>
    <col min="14" max="14" width="10.44140625" bestFit="1" customWidth="1"/>
    <col min="15" max="15" width="12.109375" bestFit="1" customWidth="1"/>
    <col min="16" max="16" width="26" bestFit="1" customWidth="1"/>
    <col min="17" max="18" width="15" bestFit="1" customWidth="1"/>
    <col min="19" max="19" width="16.6640625" customWidth="1"/>
    <col min="20" max="20" width="8.88671875" customWidth="1"/>
    <col min="21" max="21" width="15" bestFit="1" customWidth="1"/>
    <col min="22" max="22" width="13.33203125" customWidth="1"/>
    <col min="23" max="23" width="24.109375" customWidth="1"/>
    <col min="24" max="24" width="12.5546875" customWidth="1"/>
    <col min="25" max="25" width="16.6640625" customWidth="1"/>
  </cols>
  <sheetData>
    <row r="1" spans="2:24" ht="28.2" customHeight="1" x14ac:dyDescent="0.3">
      <c r="B1" s="14" t="s">
        <v>786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9"/>
      <c r="T1" s="19"/>
      <c r="U1" s="19"/>
      <c r="V1" s="19"/>
      <c r="W1" s="19"/>
      <c r="X1" s="15"/>
    </row>
    <row r="2" spans="2:24" ht="15" customHeight="1" x14ac:dyDescent="0.3"/>
    <row r="3" spans="2:24" ht="26.25" customHeight="1" x14ac:dyDescent="0.5">
      <c r="B3" s="9"/>
      <c r="C3" s="16">
        <f>COUNTA('DONNÉES BRUTES'!A$3:A$90)</f>
        <v>88</v>
      </c>
      <c r="D3" s="9"/>
      <c r="E3" s="9"/>
      <c r="F3" s="9"/>
      <c r="G3" s="9"/>
      <c r="H3" s="11" t="str">
        <f>ROUND(AVERAGE('DONNÉES BRUTES'!AB$3:AB$90),0)&amp;"/100"</f>
        <v>53/100</v>
      </c>
      <c r="I3" s="10"/>
      <c r="J3" s="9"/>
      <c r="K3" s="9"/>
      <c r="L3" s="12" t="str">
        <f>IFERROR(_xlfn.XLOOKUP(MAX('DONNÉES BRUTES'!AB$3:AB$90),'DONNÉES BRUTES'!AB$3:AB$90,'DONNÉES BRUTES'!A$3:A$90)&amp;" — "&amp;MAX('DONNÉES BRUTES'!AB$3:AB$90)&amp;"/100","—")</f>
        <v>ENI.MI — 79/100</v>
      </c>
      <c r="M3" s="9"/>
      <c r="N3" s="9"/>
      <c r="O3" s="9"/>
      <c r="P3" s="9"/>
      <c r="Q3" s="13" t="s">
        <v>84</v>
      </c>
      <c r="R3" s="9"/>
      <c r="S3" s="20"/>
      <c r="T3" s="20"/>
      <c r="V3" s="20"/>
      <c r="W3" s="20"/>
    </row>
    <row r="4" spans="2:24" ht="20.25" customHeight="1" x14ac:dyDescent="0.3">
      <c r="B4" s="10"/>
      <c r="C4" s="10" t="s">
        <v>85</v>
      </c>
      <c r="D4" s="10"/>
      <c r="E4" s="10"/>
      <c r="F4" s="10"/>
      <c r="G4" s="10"/>
      <c r="H4" s="10" t="s">
        <v>86</v>
      </c>
      <c r="I4" s="10"/>
      <c r="J4" s="10"/>
      <c r="K4" s="10"/>
      <c r="L4" s="10" t="s">
        <v>87</v>
      </c>
      <c r="M4" s="10"/>
      <c r="N4" s="10"/>
      <c r="O4" s="10"/>
      <c r="P4" s="10"/>
      <c r="Q4" s="10" t="s">
        <v>88</v>
      </c>
      <c r="R4" s="10"/>
      <c r="S4" s="21"/>
      <c r="T4" s="21"/>
    </row>
    <row r="5" spans="2:24" ht="9.9" customHeight="1" x14ac:dyDescent="0.3"/>
    <row r="6" spans="2:24" ht="22.2" customHeight="1" x14ac:dyDescent="0.3">
      <c r="B6" s="14" t="s">
        <v>89</v>
      </c>
      <c r="C6" s="14"/>
      <c r="D6" s="14"/>
      <c r="E6" s="14"/>
      <c r="F6" s="14"/>
      <c r="G6" s="14"/>
      <c r="H6" s="22" t="s">
        <v>5</v>
      </c>
      <c r="I6" s="22"/>
      <c r="J6" s="22"/>
      <c r="K6" s="22"/>
      <c r="L6" s="22"/>
      <c r="M6" s="14"/>
      <c r="N6" s="22" t="s">
        <v>6</v>
      </c>
      <c r="O6" s="22"/>
      <c r="P6" s="22"/>
      <c r="Q6" s="22"/>
      <c r="R6" s="22"/>
    </row>
    <row r="7" spans="2:24" ht="13.95" customHeight="1" x14ac:dyDescent="0.3">
      <c r="B7" s="23" t="s">
        <v>24</v>
      </c>
      <c r="C7" s="6" t="s">
        <v>0</v>
      </c>
      <c r="D7" s="6" t="s">
        <v>25</v>
      </c>
      <c r="E7" s="6" t="s">
        <v>26</v>
      </c>
      <c r="F7" s="6" t="s">
        <v>90</v>
      </c>
      <c r="G7" s="6"/>
      <c r="H7" s="23" t="s">
        <v>24</v>
      </c>
      <c r="I7" s="6" t="s">
        <v>0</v>
      </c>
      <c r="J7" s="6" t="s">
        <v>25</v>
      </c>
      <c r="K7" s="6" t="s">
        <v>26</v>
      </c>
      <c r="L7" s="6" t="s">
        <v>35</v>
      </c>
      <c r="M7" s="6"/>
      <c r="N7" s="23" t="s">
        <v>24</v>
      </c>
      <c r="O7" s="6" t="s">
        <v>0</v>
      </c>
      <c r="P7" s="6" t="s">
        <v>25</v>
      </c>
      <c r="Q7" s="6" t="s">
        <v>26</v>
      </c>
      <c r="R7" s="6" t="s">
        <v>91</v>
      </c>
    </row>
    <row r="8" spans="2:24" x14ac:dyDescent="0.3">
      <c r="B8">
        <v>1</v>
      </c>
      <c r="C8" t="str">
        <f>IFERROR(INDEX('DONNÉES BRUTES'!A$3:A$90,MATCH(LARGE('DONNÉES BRUTES'!Y$3:Y$90,1),'DONNÉES BRUTES'!Y$3:Y$90,0)),"—")</f>
        <v>EXE</v>
      </c>
      <c r="D8" t="str">
        <f>IFERROR(_xlfn.XLOOKUP(C8,'DONNÉES BRUTES'!A$3:A$90,'DONNÉES BRUTES'!B$3:B$90),"—")</f>
        <v>Expand Energy Corporation</v>
      </c>
      <c r="E8" t="str">
        <f>IFERROR(_xlfn.XLOOKUP(C8,'DONNÉES BRUTES'!A$3:A$90,'DONNÉES BRUTES'!Y$3:Y$90)&amp;"/100","—")</f>
        <v>100/100</v>
      </c>
      <c r="F8" s="127">
        <f>IFERROR(_xlfn.XLOOKUP(C8,'DONNÉES BRUTES'!A$3:A$90,'DONNÉES BRUTES'!P$3:P$90),"—")</f>
        <v>1.8880000000000001</v>
      </c>
      <c r="H8">
        <v>1</v>
      </c>
      <c r="I8" t="str">
        <f>IFERROR(INDEX('DONNÉES BRUTES'!A$3:A$90,MATCH(LARGE('DONNÉES BRUTES'!Z$3:Z$90,1),'DONNÉES BRUTES'!Z$3:Z$90,0)),"—")</f>
        <v>TPL</v>
      </c>
      <c r="J8" t="str">
        <f>IFERROR(_xlfn.XLOOKUP(I8,'DONNÉES BRUTES'!A$3:A$90,'DONNÉES BRUTES'!B$3:B$90),"—")</f>
        <v>Texas Pacific Land Corporation</v>
      </c>
      <c r="K8" t="str">
        <f>IFERROR(_xlfn.XLOOKUP(I8,'DONNÉES BRUTES'!A$3:A$90,'DONNÉES BRUTES'!Z$3:Z$90)&amp;"/100","—")</f>
        <v>91/100</v>
      </c>
      <c r="L8" s="127" t="str">
        <f>IFERROR(_xlfn.XLOOKUP(I8,'DONNÉES BRUTES'!A$3:A$90,'DONNÉES BRUTES'!U$3:U$90),"—")</f>
        <v>16.05</v>
      </c>
      <c r="N8">
        <v>1</v>
      </c>
      <c r="O8" t="str">
        <f>IFERROR(_xlfn.XLOOKUP(LARGE('DONNÉES BRUTES'!AA$3:AA$90,1),'DONNÉES BRUTES'!AA$3:AA$90,'DONNÉES BRUTES'!A$3:A$90),"—")</f>
        <v>APA</v>
      </c>
      <c r="P8" t="str">
        <f>IFERROR(_xlfn.XLOOKUP(O8,'DONNÉES BRUTES'!A$3:A$90,'DONNÉES BRUTES'!B$3:B$90),"—")</f>
        <v>APA Corporation</v>
      </c>
      <c r="Q8" t="str">
        <f>IFERROR(_xlfn.XLOOKUP(O8,'DONNÉES BRUTES'!A$3:A$90,'DONNÉES BRUTES'!AA$3:AA$90)&amp;"/100","—")</f>
        <v>100/100</v>
      </c>
      <c r="R8" s="127" t="str">
        <f>IFERROR(_xlfn.XLOOKUP(O8,'DONNÉES BRUTES'!A$3:A$90,'DONNÉES BRUTES'!W$3:W$90),"—")</f>
        <v>+129.6%</v>
      </c>
    </row>
    <row r="9" spans="2:24" ht="19.95" customHeight="1" x14ac:dyDescent="0.3">
      <c r="B9">
        <v>2</v>
      </c>
      <c r="C9" t="str" cm="1">
        <f t="array" ref="C9">IFERROR(INDEX('DONNÉES BRUTES'!A$3:A$90,MATCH(1,('DONNÉES BRUTES'!Y$3:Y$90=LARGE('DONNÉES BRUTES'!Y$3:Y$90,2))*(COUNTIF(C$8:C8,'DONNÉES BRUTES'!A$3:A$90)=0)*('DONNÉES BRUTES'!A$3:A$90&lt;&gt;""),0)),"—")</f>
        <v>EQT</v>
      </c>
      <c r="D9" t="str">
        <f>IFERROR(_xlfn.XLOOKUP(C9,'DONNÉES BRUTES'!A$3:A$90,'DONNÉES BRUTES'!B$3:B$90),"—")</f>
        <v>EQT Corporation</v>
      </c>
      <c r="E9" t="str">
        <f>IFERROR(_xlfn.XLOOKUP(C9,'DONNÉES BRUTES'!A$3:A$90,'DONNÉES BRUTES'!Y$3:Y$90)&amp;"/100","—")</f>
        <v>96/100</v>
      </c>
      <c r="F9" s="127">
        <f>IFERROR(_xlfn.XLOOKUP(C9,'DONNÉES BRUTES'!A$3:A$90,'DONNÉES BRUTES'!P$3:P$90),"—")</f>
        <v>0.6</v>
      </c>
      <c r="H9">
        <v>2</v>
      </c>
      <c r="I9" t="str" cm="1">
        <f t="array" ref="I9">IFERROR(INDEX('DONNÉES BRUTES'!A$3:A$90,MATCH(1,('DONNÉES BRUTES'!Z$3:Z$90=LARGE('DONNÉES BRUTES'!Z$3:Z$90,2))*(COUNTIF(I$8:I8,'DONNÉES BRUTES'!A$3:A$90)=0)*('DONNÉES BRUTES'!A$3:A$90&lt;&gt;""),0)),"—")</f>
        <v>AMAT</v>
      </c>
      <c r="J9" t="str">
        <f>IFERROR(_xlfn.XLOOKUP(I9,'DONNÉES BRUTES'!A$3:A$90,'DONNÉES BRUTES'!B$3:B$90),"—")</f>
        <v>Applied Materials, Inc.</v>
      </c>
      <c r="K9" t="str">
        <f>IFERROR(_xlfn.XLOOKUP(I9,'DONNÉES BRUTES'!A$3:A$90,'DONNÉES BRUTES'!Z$3:Z$90)&amp;"/100","—")</f>
        <v>91/100</v>
      </c>
      <c r="L9" s="127" t="str">
        <f>IFERROR(_xlfn.XLOOKUP(I9,'DONNÉES BRUTES'!A$3:A$90,'DONNÉES BRUTES'!U$3:U$90),"—")</f>
        <v>10.40</v>
      </c>
      <c r="N9">
        <v>2</v>
      </c>
      <c r="O9" t="str">
        <f>IFERROR(_xlfn.XLOOKUP(LARGE('DONNÉES BRUTES'!AA$3:AA$90,2),'DONNÉES BRUTES'!AA$3:AA$90,'DONNÉES BRUTES'!A$3:A$90),"—")</f>
        <v>APA</v>
      </c>
      <c r="P9" t="str">
        <f>IFERROR(_xlfn.XLOOKUP(O9,'DONNÉES BRUTES'!A$3:A$90,'DONNÉES BRUTES'!B$3:B$90),"—")</f>
        <v>APA Corporation</v>
      </c>
      <c r="Q9" t="str">
        <f>IFERROR(_xlfn.XLOOKUP(O9,'DONNÉES BRUTES'!A$3:A$90,'DONNÉES BRUTES'!AA$3:AA$90)&amp;"/100","—")</f>
        <v>100/100</v>
      </c>
      <c r="R9" s="127" t="str">
        <f>IFERROR(_xlfn.XLOOKUP(O9,'DONNÉES BRUTES'!A$3:A$90,'DONNÉES BRUTES'!W$3:W$90),"—")</f>
        <v>+129.6%</v>
      </c>
      <c r="S9" s="19"/>
      <c r="T9" s="19"/>
      <c r="U9" s="19"/>
      <c r="V9" s="19"/>
      <c r="W9" s="19"/>
    </row>
    <row r="10" spans="2:24" ht="15" customHeight="1" x14ac:dyDescent="0.3">
      <c r="B10">
        <v>3</v>
      </c>
      <c r="C10" t="str" cm="1">
        <f t="array" ref="C10">IFERROR(INDEX('DONNÉES BRUTES'!A$3:A$90,MATCH(1,('DONNÉES BRUTES'!Y$3:Y$90&gt;=LARGE('DONNÉES BRUTES'!Y$3:Y$90,3))*(COUNTIF(C$8:C9,'DONNÉES BRUTES'!A$3:A$90)=0)*('DONNÉES BRUTES'!A$3:A$90&lt;&gt;""),0)),"—")</f>
        <v>ENI.MI</v>
      </c>
      <c r="D10" t="str">
        <f>IFERROR(_xlfn.XLOOKUP(C10,'DONNÉES BRUTES'!A$3:A$90,'DONNÉES BRUTES'!B$3:B$90),"—")</f>
        <v>Eni S.p.A.</v>
      </c>
      <c r="E10" t="str">
        <f>IFERROR(_xlfn.XLOOKUP(C10,'DONNÉES BRUTES'!A$3:A$90,'DONNÉES BRUTES'!Y$3:Y$90)&amp;"/100","—")</f>
        <v>—/100</v>
      </c>
      <c r="F10" s="127" t="str">
        <f>IFERROR(_xlfn.XLOOKUP(C10,'DONNÉES BRUTES'!A$3:A$90,'DONNÉES BRUTES'!P$3:P$90),"—")</f>
        <v>—</v>
      </c>
      <c r="H10">
        <v>3</v>
      </c>
      <c r="I10" t="str" cm="1">
        <f t="array" ref="I10">IFERROR(INDEX('DONNÉES BRUTES'!A$3:A$90,MATCH(1,('DONNÉES BRUTES'!Z$3:Z$90&gt;=LARGE('DONNÉES BRUTES'!Z$3:Z$90,3))*(COUNTIF(I$8:I9,'DONNÉES BRUTES'!A$3:A$90)=0)*('DONNÉES BRUTES'!A$3:A$90&lt;&gt;""),0)),"—")</f>
        <v>FTNT</v>
      </c>
      <c r="J10" t="str">
        <f>IFERROR(_xlfn.XLOOKUP(I10,'DONNÉES BRUTES'!A$3:A$90,'DONNÉES BRUTES'!B$3:B$90),"—")</f>
        <v>Fortinet, Inc.</v>
      </c>
      <c r="K10" t="str">
        <f>IFERROR(_xlfn.XLOOKUP(I10,'DONNÉES BRUTES'!A$3:A$90,'DONNÉES BRUTES'!Z$3:Z$90)&amp;"/100","—")</f>
        <v>91/100</v>
      </c>
      <c r="L10" s="127" t="str">
        <f>IFERROR(_xlfn.XLOOKUP(I10,'DONNÉES BRUTES'!A$3:A$90,'DONNÉES BRUTES'!U$3:U$90),"—")</f>
        <v>2.02</v>
      </c>
      <c r="N10">
        <v>3</v>
      </c>
      <c r="O10" t="str">
        <f>IFERROR(_xlfn.XLOOKUP(LARGE('DONNÉES BRUTES'!AA$3:AA$90,3),'DONNÉES BRUTES'!AA$3:AA$90,'DONNÉES BRUTES'!A$3:A$90),"—")</f>
        <v>CIEN</v>
      </c>
      <c r="P10" t="str">
        <f>IFERROR(_xlfn.XLOOKUP(O10,'DONNÉES BRUTES'!A$3:A$90,'DONNÉES BRUTES'!B$3:B$90),"—")</f>
        <v>Ciena Corporation</v>
      </c>
      <c r="Q10" t="str">
        <f>IFERROR(_xlfn.XLOOKUP(O10,'DONNÉES BRUTES'!A$3:A$90,'DONNÉES BRUTES'!AA$3:AA$90)&amp;"/100","—")</f>
        <v>98/100</v>
      </c>
      <c r="R10" s="127" t="str">
        <f>IFERROR(_xlfn.XLOOKUP(O10,'DONNÉES BRUTES'!A$3:A$90,'DONNÉES BRUTES'!W$3:W$90),"—")</f>
        <v>+454.6%</v>
      </c>
    </row>
    <row r="11" spans="2:24" ht="13.95" customHeight="1" x14ac:dyDescent="0.3">
      <c r="B11">
        <v>4</v>
      </c>
      <c r="C11" t="str" cm="1">
        <f t="array" ref="C11">IFERROR(INDEX('DONNÉES BRUTES'!A$3:A$90,MATCH(1,('DONNÉES BRUTES'!Y$3:Y$90&gt;=LARGE('DONNÉES BRUTES'!Y$3:Y$90,4))*(COUNTIF(C$8:C10,'DONNÉES BRUTES'!A$3:A$90)=0)*('DONNÉES BRUTES'!A$3:A$90&lt;&gt;""),0)),"—")</f>
        <v>CTRA</v>
      </c>
      <c r="D11" t="str">
        <f>IFERROR(_xlfn.XLOOKUP(C11,'DONNÉES BRUTES'!A$3:A$90,'DONNÉES BRUTES'!B$3:B$90),"—")</f>
        <v>Coterra Energy Inc.</v>
      </c>
      <c r="E11" t="str">
        <f>IFERROR(_xlfn.XLOOKUP(C11,'DONNÉES BRUTES'!A$3:A$90,'DONNÉES BRUTES'!Y$3:Y$90)&amp;"/100","—")</f>
        <v>92/100</v>
      </c>
      <c r="F11" s="127">
        <f>IFERROR(_xlfn.XLOOKUP(C11,'DONNÉES BRUTES'!A$3:A$90,'DONNÉES BRUTES'!P$3:P$90),"—")</f>
        <v>0.40100000000000002</v>
      </c>
      <c r="H11">
        <v>4</v>
      </c>
      <c r="I11" t="str" cm="1">
        <f t="array" ref="I11">IFERROR(INDEX('DONNÉES BRUTES'!A$3:A$90,MATCH(1,('DONNÉES BRUTES'!Z$3:Z$90&gt;=LARGE('DONNÉES BRUTES'!Z$3:Z$90,4))*(COUNTIF(I$8:I10,'DONNÉES BRUTES'!A$3:A$90)=0)*('DONNÉES BRUTES'!A$3:A$90&lt;&gt;""),0)),"—")</f>
        <v>ADBE</v>
      </c>
      <c r="J11" t="str">
        <f>IFERROR(_xlfn.XLOOKUP(I11,'DONNÉES BRUTES'!A$3:A$90,'DONNÉES BRUTES'!B$3:B$90),"—")</f>
        <v>Adobe Inc.</v>
      </c>
      <c r="K11" t="str">
        <f>IFERROR(_xlfn.XLOOKUP(I11,'DONNÉES BRUTES'!A$3:A$90,'DONNÉES BRUTES'!Z$3:Z$90)&amp;"/100","—")</f>
        <v>91/100</v>
      </c>
      <c r="L11" s="127" t="str">
        <f>IFERROR(_xlfn.XLOOKUP(I11,'DONNÉES BRUTES'!A$3:A$90,'DONNÉES BRUTES'!U$3:U$90),"—")</f>
        <v>7.74</v>
      </c>
      <c r="N11">
        <v>4</v>
      </c>
      <c r="O11" t="str">
        <f>IFERROR(_xlfn.XLOOKUP(LARGE('DONNÉES BRUTES'!AA$3:AA$90,4),'DONNÉES BRUTES'!AA$3:AA$90,'DONNÉES BRUTES'!A$3:A$90),"—")</f>
        <v>HAL</v>
      </c>
      <c r="P11" t="str">
        <f>IFERROR(_xlfn.XLOOKUP(O11,'DONNÉES BRUTES'!A$3:A$90,'DONNÉES BRUTES'!B$3:B$90),"—")</f>
        <v>Halliburton Company</v>
      </c>
      <c r="Q11" t="str">
        <f>IFERROR(_xlfn.XLOOKUP(O11,'DONNÉES BRUTES'!A$3:A$90,'DONNÉES BRUTES'!AA$3:AA$90)&amp;"/100","—")</f>
        <v>96/100</v>
      </c>
      <c r="R11" s="127" t="str">
        <f>IFERROR(_xlfn.XLOOKUP(O11,'DONNÉES BRUTES'!A$3:A$90,'DONNÉES BRUTES'!W$3:W$90),"—")</f>
        <v>+99.5%</v>
      </c>
    </row>
    <row r="12" spans="2:24" ht="13.95" customHeight="1" x14ac:dyDescent="0.3">
      <c r="B12">
        <v>5</v>
      </c>
      <c r="C12" t="str" cm="1">
        <f t="array" ref="C12">IFERROR(INDEX('DONNÉES BRUTES'!A$3:A$90,MATCH(1,('DONNÉES BRUTES'!Y$3:Y$90&gt;=LARGE('DONNÉES BRUTES'!Y$3:Y$90,5))*(COUNTIF(C$8:C11,'DONNÉES BRUTES'!A$3:A$90)=0)*('DONNÉES BRUTES'!A$3:A$90&lt;&gt;""),0)),"—")</f>
        <v>OKE</v>
      </c>
      <c r="D12" t="str">
        <f>IFERROR(_xlfn.XLOOKUP(C12,'DONNÉES BRUTES'!A$3:A$90,'DONNÉES BRUTES'!B$3:B$90),"—")</f>
        <v>ONEOK, Inc.</v>
      </c>
      <c r="E12" t="str">
        <f>IFERROR(_xlfn.XLOOKUP(C12,'DONNÉES BRUTES'!A$3:A$90,'DONNÉES BRUTES'!Y$3:Y$90)&amp;"/100","—")</f>
        <v>88/100</v>
      </c>
      <c r="F12" s="127">
        <f>IFERROR(_xlfn.XLOOKUP(C12,'DONNÉES BRUTES'!A$3:A$90,'DONNÉES BRUTES'!P$3:P$90),"—")</f>
        <v>0.55000000000000004</v>
      </c>
      <c r="H12">
        <v>5</v>
      </c>
      <c r="I12" t="str" cm="1">
        <f t="array" ref="I12">IFERROR(INDEX('DONNÉES BRUTES'!A$3:A$90,MATCH(1,('DONNÉES BRUTES'!Z$3:Z$90&gt;=LARGE('DONNÉES BRUTES'!Z$3:Z$90,5))*(COUNTIF(I$8:I11,'DONNÉES BRUTES'!A$3:A$90)=0)*('DONNÉES BRUTES'!A$3:A$90&lt;&gt;""),0)),"—")</f>
        <v>CRM</v>
      </c>
      <c r="J12" t="str">
        <f>IFERROR(_xlfn.XLOOKUP(I12,'DONNÉES BRUTES'!A$3:A$90,'DONNÉES BRUTES'!B$3:B$90),"—")</f>
        <v>Salesforce, Inc.</v>
      </c>
      <c r="K12" t="str">
        <f>IFERROR(_xlfn.XLOOKUP(I12,'DONNÉES BRUTES'!A$3:A$90,'DONNÉES BRUTES'!Z$3:Z$90)&amp;"/100","—")</f>
        <v>88/100</v>
      </c>
      <c r="L12" s="127" t="str">
        <f>IFERROR(_xlfn.XLOOKUP(I12,'DONNÉES BRUTES'!A$3:A$90,'DONNÉES BRUTES'!U$3:U$90),"—")</f>
        <v>—</v>
      </c>
      <c r="N12">
        <v>5</v>
      </c>
      <c r="O12" t="str">
        <f>IFERROR(_xlfn.XLOOKUP(LARGE('DONNÉES BRUTES'!AA$3:AA$90,5),'DONNÉES BRUTES'!AA$3:AA$90,'DONNÉES BRUTES'!A$3:A$90),"—")</f>
        <v>VLO</v>
      </c>
      <c r="P12" t="str">
        <f>IFERROR(_xlfn.XLOOKUP(O12,'DONNÉES BRUTES'!A$3:A$90,'DONNÉES BRUTES'!B$3:B$90),"—")</f>
        <v>Valero Energy Corporation</v>
      </c>
      <c r="Q12" t="str">
        <f>IFERROR(_xlfn.XLOOKUP(O12,'DONNÉES BRUTES'!A$3:A$90,'DONNÉES BRUTES'!AA$3:AA$90)&amp;"/100","—")</f>
        <v>92/100</v>
      </c>
      <c r="R12" s="127" t="str">
        <f>IFERROR(_xlfn.XLOOKUP(O12,'DONNÉES BRUTES'!A$3:A$90,'DONNÉES BRUTES'!W$3:W$90),"—")</f>
        <v>+92.9%</v>
      </c>
    </row>
    <row r="13" spans="2:24" ht="13.95" customHeight="1" x14ac:dyDescent="0.3"/>
    <row r="14" spans="2:24" ht="13.95" customHeight="1" x14ac:dyDescent="0.3">
      <c r="B14" s="14" t="s">
        <v>92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2:24" ht="13.95" customHeight="1" x14ac:dyDescent="0.3">
      <c r="B15" s="23" t="s">
        <v>24</v>
      </c>
      <c r="C15" s="6" t="s">
        <v>0</v>
      </c>
      <c r="D15" s="6" t="s">
        <v>25</v>
      </c>
      <c r="E15" s="6" t="s">
        <v>26</v>
      </c>
      <c r="F15" s="6"/>
      <c r="G15" s="6" t="s">
        <v>776</v>
      </c>
      <c r="H15" s="6" t="s">
        <v>777</v>
      </c>
      <c r="I15" s="6" t="s">
        <v>778</v>
      </c>
      <c r="J15" s="6"/>
      <c r="K15" s="6" t="s">
        <v>33</v>
      </c>
      <c r="L15" s="6" t="s">
        <v>278</v>
      </c>
      <c r="M15" s="6"/>
      <c r="N15" s="6" t="s">
        <v>279</v>
      </c>
      <c r="O15" s="6" t="s">
        <v>29</v>
      </c>
      <c r="P15" s="6"/>
      <c r="Q15" s="6"/>
      <c r="R15" s="6"/>
    </row>
    <row r="16" spans="2:24" x14ac:dyDescent="0.3">
      <c r="B16">
        <v>1</v>
      </c>
      <c r="C16" t="str">
        <f>IFERROR(_xlfn.XLOOKUP(LARGE('DONNÉES BRUTES'!AB$3:AB$90,1),'DONNÉES BRUTES'!AB$3:AB$90,'DONNÉES BRUTES'!A$3:A$90),"—")</f>
        <v>ENI.MI</v>
      </c>
      <c r="D16" t="str">
        <f>IFERROR(_xlfn.XLOOKUP(C16,'DONNÉES BRUTES'!A$3:A$90,'DONNÉES BRUTES'!B$3:B$90),"—")</f>
        <v>Eni S.p.A.</v>
      </c>
      <c r="E16" t="str">
        <f>IFERROR(_xlfn.XLOOKUP(C16,'DONNÉES BRUTES'!A$3:A$90,'DONNÉES BRUTES'!AB$3:AB$90)&amp;"/100","—")</f>
        <v>79/100</v>
      </c>
      <c r="G16" s="127" t="str">
        <f>IFERROR(_xlfn.XLOOKUP(C16,'DONNÉES BRUTES'!A$3:A$90,'DONNÉES BRUTES'!G$3:G$90),"—")</f>
        <v>—</v>
      </c>
      <c r="H16" s="127" t="str">
        <f>IFERROR(_xlfn.XLOOKUP(C16,'DONNÉES BRUTES'!A$3:A$90,'DONNÉES BRUTES'!P$3:P$90),"—")</f>
        <v>—</v>
      </c>
      <c r="I16" s="127" t="str">
        <f>IFERROR(_xlfn.XLOOKUP(C16,'DONNÉES BRUTES'!A$3:A$90,'DONNÉES BRUTES'!H$3:H$90),"—")</f>
        <v>—</v>
      </c>
      <c r="K16" s="115" t="str">
        <f>IFERROR(_xlfn.XLOOKUP(C16,'DONNÉES BRUTES'!A$3:A$90,'DONNÉES BRUTES'!N$3:N$90),"—")</f>
        <v>—</v>
      </c>
      <c r="L16" s="115" t="str">
        <f>IFERROR(_xlfn.XLOOKUP(C16,'DONNÉES BRUTES'!A$3:A$90,'DONNÉES BRUTES'!O$3:O$90),"—")</f>
        <v>—</v>
      </c>
      <c r="N16" s="115" t="str">
        <f>IFERROR(_xlfn.XLOOKUP(C16,'DONNÉES BRUTES'!A$3:A$90,'DONNÉES BRUTES'!Q$3:Q$90),"—")</f>
        <v>—</v>
      </c>
      <c r="O16" s="127" t="str">
        <f>IFERROR(_xlfn.XLOOKUP(C16,'DONNÉES BRUTES'!A$3:A$90,'DONNÉES BRUTES'!I$3:I$90),"—")</f>
        <v>—</v>
      </c>
    </row>
    <row r="17" spans="2:23" ht="22.2" customHeight="1" x14ac:dyDescent="0.3">
      <c r="B17">
        <v>2</v>
      </c>
      <c r="C17" t="str" cm="1">
        <f t="array" ref="C17">IFERROR(INDEX('DONNÉES BRUTES'!A$3:A$90,MATCH(1,('DONNÉES BRUTES'!AB$3:AB$90=LARGE('DONNÉES BRUTES'!AB$3:AB$90,2))*(COUNTIF(C$16:C16,'DONNÉES BRUTES'!A$3:A$90)=0)*('DONNÉES BRUTES'!A$3:A$90&lt;&gt;""),0)),"—")</f>
        <v>APA</v>
      </c>
      <c r="D17" t="str">
        <f>IFERROR(_xlfn.XLOOKUP(C17,'DONNÉES BRUTES'!A$3:A$90,'DONNÉES BRUTES'!B$3:B$90),"—")</f>
        <v>APA Corporation</v>
      </c>
      <c r="E17" t="str">
        <f>IFERROR(_xlfn.XLOOKUP(C17,'DONNÉES BRUTES'!A$3:A$90,'DONNÉES BRUTES'!AB$3:AB$90)&amp;"/100","—")</f>
        <v>77/100</v>
      </c>
      <c r="G17" s="127" t="str">
        <f>IFERROR(_xlfn.XLOOKUP(C17,'DONNÉES BRUTES'!A$3:A$90,'DONNÉES BRUTES'!G$3:G$90),"—")</f>
        <v>$8.9</v>
      </c>
      <c r="H17" s="127">
        <f>IFERROR(_xlfn.XLOOKUP(C17,'DONNÉES BRUTES'!A$3:A$90,'DONNÉES BRUTES'!P$3:P$90),"—")</f>
        <v>-8.4000000000000005E-2</v>
      </c>
      <c r="I17" s="127" t="str">
        <f>IFERROR(_xlfn.XLOOKUP(C17,'DONNÉES BRUTES'!A$3:A$90,'DONNÉES BRUTES'!H$3:H$90),"—")</f>
        <v>$5.4</v>
      </c>
      <c r="K17" s="115">
        <f>IFERROR(_xlfn.XLOOKUP(C17,'DONNÉES BRUTES'!A$3:A$90,'DONNÉES BRUTES'!N$3:N$90),"—")</f>
        <v>0.60199999999999998</v>
      </c>
      <c r="L17" s="115">
        <f>IFERROR(_xlfn.XLOOKUP(C17,'DONNÉES BRUTES'!A$3:A$90,'DONNÉES BRUTES'!O$3:O$90),"—")</f>
        <v>0.161</v>
      </c>
      <c r="N17" s="115">
        <f>IFERROR(_xlfn.XLOOKUP(C17,'DONNÉES BRUTES'!A$3:A$90,'DONNÉES BRUTES'!Q$3:Q$90),"—")</f>
        <v>0.23499999999999999</v>
      </c>
      <c r="O17" s="127" t="str">
        <f>IFERROR(_xlfn.XLOOKUP(C17,'DONNÉES BRUTES'!A$3:A$90,'DONNÉES BRUTES'!I$3:I$90),"—")</f>
        <v>3.2x</v>
      </c>
      <c r="R17" s="19"/>
      <c r="S17" s="19"/>
      <c r="T17" s="19"/>
      <c r="U17" s="19"/>
      <c r="V17" s="19"/>
    </row>
    <row r="18" spans="2:23" ht="16.2" customHeight="1" x14ac:dyDescent="0.3">
      <c r="B18">
        <v>3</v>
      </c>
      <c r="C18" t="str" cm="1">
        <f t="array" ref="C18">IFERROR(INDEX('DONNÉES BRUTES'!A$3:A$90,MATCH(1,('DONNÉES BRUTES'!AB$3:AB$90&gt;=LARGE('DONNÉES BRUTES'!AB$3:AB$90,3))*(COUNTIF(C$16:C17,'DONNÉES BRUTES'!A$3:A$90)=0)*('DONNÉES BRUTES'!A$3:A$90&lt;&gt;""),0)),"—")</f>
        <v>TTE.PA</v>
      </c>
      <c r="D18" t="str">
        <f>IFERROR(_xlfn.XLOOKUP(C18,'DONNÉES BRUTES'!A$3:A$90,'DONNÉES BRUTES'!B$3:B$90),"—")</f>
        <v>TotalEnergies SE</v>
      </c>
      <c r="E18" t="str">
        <f>IFERROR(_xlfn.XLOOKUP(C18,'DONNÉES BRUTES'!A$3:A$90,'DONNÉES BRUTES'!AB$3:AB$90)&amp;"/100","—")</f>
        <v>77/100</v>
      </c>
      <c r="G18" s="127" t="str">
        <f>IFERROR(_xlfn.XLOOKUP(C18,'DONNÉES BRUTES'!A$3:A$90,'DONNÉES BRUTES'!G$3:G$90),"—")</f>
        <v>—</v>
      </c>
      <c r="H18" s="127" t="str">
        <f>IFERROR(_xlfn.XLOOKUP(C18,'DONNÉES BRUTES'!A$3:A$90,'DONNÉES BRUTES'!P$3:P$90),"—")</f>
        <v>—</v>
      </c>
      <c r="I18" s="127" t="str">
        <f>IFERROR(_xlfn.XLOOKUP(C18,'DONNÉES BRUTES'!A$3:A$90,'DONNÉES BRUTES'!H$3:H$90),"—")</f>
        <v>—</v>
      </c>
      <c r="K18" s="115" t="str">
        <f>IFERROR(_xlfn.XLOOKUP(C18,'DONNÉES BRUTES'!A$3:A$90,'DONNÉES BRUTES'!N$3:N$90),"—")</f>
        <v>—</v>
      </c>
      <c r="L18" s="115" t="str">
        <f>IFERROR(_xlfn.XLOOKUP(C18,'DONNÉES BRUTES'!A$3:A$90,'DONNÉES BRUTES'!O$3:O$90),"—")</f>
        <v>—</v>
      </c>
      <c r="N18" s="115" t="str">
        <f>IFERROR(_xlfn.XLOOKUP(C18,'DONNÉES BRUTES'!A$3:A$90,'DONNÉES BRUTES'!Q$3:Q$90),"—")</f>
        <v>—</v>
      </c>
      <c r="O18" s="127" t="str">
        <f>IFERROR(_xlfn.XLOOKUP(C18,'DONNÉES BRUTES'!A$3:A$90,'DONNÉES BRUTES'!I$3:I$90),"—")</f>
        <v>—</v>
      </c>
    </row>
    <row r="19" spans="2:23" ht="13.95" customHeight="1" x14ac:dyDescent="0.3">
      <c r="B19">
        <v>4</v>
      </c>
      <c r="C19" t="str" cm="1">
        <f t="array" ref="C19">IFERROR(INDEX('DONNÉES BRUTES'!A$3:A$90,MATCH(1,('DONNÉES BRUTES'!AB$3:AB$90&gt;=LARGE('DONNÉES BRUTES'!AB$3:AB$90,4))*(COUNTIF(C$16:C18,'DONNÉES BRUTES'!A$3:A$90)=0)*('DONNÉES BRUTES'!A$3:A$90&lt;&gt;""),0)),"—")</f>
        <v>AMAT</v>
      </c>
      <c r="D19" t="str">
        <f>IFERROR(_xlfn.XLOOKUP(C19,'DONNÉES BRUTES'!A$3:A$90,'DONNÉES BRUTES'!B$3:B$90),"—")</f>
        <v>Applied Materials, Inc.</v>
      </c>
      <c r="E19" t="str">
        <f>IFERROR(_xlfn.XLOOKUP(C19,'DONNÉES BRUTES'!A$3:A$90,'DONNÉES BRUTES'!AB$3:AB$90)&amp;"/100","—")</f>
        <v>77/100</v>
      </c>
      <c r="G19" s="127" t="str">
        <f>IFERROR(_xlfn.XLOOKUP(C19,'DONNÉES BRUTES'!A$3:A$90,'DONNÉES BRUTES'!G$3:G$90),"—")</f>
        <v>$28.4</v>
      </c>
      <c r="H19" s="127">
        <f>IFERROR(_xlfn.XLOOKUP(C19,'DONNÉES BRUTES'!A$3:A$90,'DONNÉES BRUTES'!P$3:P$90),"—")</f>
        <v>4.4000000000000004E-2</v>
      </c>
      <c r="I19" s="127" t="str">
        <f>IFERROR(_xlfn.XLOOKUP(C19,'DONNÉES BRUTES'!A$3:A$90,'DONNÉES BRUTES'!H$3:H$90),"—")</f>
        <v>$10.0</v>
      </c>
      <c r="K19" s="115">
        <f>IFERROR(_xlfn.XLOOKUP(C19,'DONNÉES BRUTES'!A$3:A$90,'DONNÉES BRUTES'!N$3:N$90),"—")</f>
        <v>0.35199999999999998</v>
      </c>
      <c r="L19" s="4">
        <f>IFERROR(_xlfn.XLOOKUP(C19,'DONNÉES BRUTES'!A$3:A$90,'DONNÉES BRUTES'!O$3:O$90),"—")</f>
        <v>0.247</v>
      </c>
      <c r="N19" s="4">
        <f>IFERROR(_xlfn.XLOOKUP(C19,'DONNÉES BRUTES'!A$3:A$90,'DONNÉES BRUTES'!Q$3:Q$90),"—")</f>
        <v>0.34300000000000003</v>
      </c>
      <c r="O19" s="127" t="str">
        <f>IFERROR(_xlfn.XLOOKUP(C19,'DONNÉES BRUTES'!A$3:A$90,'DONNÉES BRUTES'!I$3:I$90),"—")</f>
        <v>—</v>
      </c>
    </row>
    <row r="20" spans="2:23" ht="13.95" customHeight="1" x14ac:dyDescent="0.3">
      <c r="B20">
        <v>5</v>
      </c>
      <c r="C20" t="str" cm="1">
        <f t="array" ref="C20">IFERROR(INDEX('DONNÉES BRUTES'!A$3:A$90,MATCH(1,('DONNÉES BRUTES'!AB$3:AB$90&gt;=LARGE('DONNÉES BRUTES'!AB$3:AB$90,5))*(COUNTIF(C$16:C19,'DONNÉES BRUTES'!A$3:A$90)=0)*('DONNÉES BRUTES'!A$3:A$90&lt;&gt;""),0)),"—")</f>
        <v>MSI</v>
      </c>
      <c r="D20" t="str">
        <f>IFERROR(_xlfn.XLOOKUP(C20,'DONNÉES BRUTES'!A$3:A$90,'DONNÉES BRUTES'!B$3:B$90),"—")</f>
        <v>Motorola Solutions, Inc.</v>
      </c>
      <c r="E20" t="str">
        <f>IFERROR(_xlfn.XLOOKUP(C20,'DONNÉES BRUTES'!A$3:A$90,'DONNÉES BRUTES'!AB$3:AB$90)&amp;"/100","—")</f>
        <v>77/100</v>
      </c>
      <c r="G20" s="127" t="str">
        <f>IFERROR(_xlfn.XLOOKUP(C20,'DONNÉES BRUTES'!A$3:A$90,'DONNÉES BRUTES'!G$3:G$90),"—")</f>
        <v>$11.7</v>
      </c>
      <c r="H20" s="127">
        <f>IFERROR(_xlfn.XLOOKUP(C20,'DONNÉES BRUTES'!A$3:A$90,'DONNÉES BRUTES'!P$3:P$90),"—")</f>
        <v>0.08</v>
      </c>
      <c r="I20" s="127" t="str">
        <f>IFERROR(_xlfn.XLOOKUP(C20,'DONNÉES BRUTES'!A$3:A$90,'DONNÉES BRUTES'!H$3:H$90),"—")</f>
        <v>$3.6</v>
      </c>
      <c r="K20" s="115">
        <f>IFERROR(_xlfn.XLOOKUP(C20,'DONNÉES BRUTES'!A$3:A$90,'DONNÉES BRUTES'!N$3:N$90),"—")</f>
        <v>0.308</v>
      </c>
      <c r="L20" s="4">
        <f>IFERROR(_xlfn.XLOOKUP(C20,'DONNÉES BRUTES'!A$3:A$90,'DONNÉES BRUTES'!O$3:O$90),"—")</f>
        <v>0.184</v>
      </c>
      <c r="N20" s="4">
        <f>IFERROR(_xlfn.XLOOKUP(C20,'DONNÉES BRUTES'!A$3:A$90,'DONNÉES BRUTES'!Q$3:Q$90),"—")</f>
        <v>0.89400000000000002</v>
      </c>
      <c r="O20" s="127" t="str">
        <f>IFERROR(_xlfn.XLOOKUP(C20,'DONNÉES BRUTES'!A$3:A$90,'DONNÉES BRUTES'!I$3:I$90),"—")</f>
        <v>—</v>
      </c>
    </row>
    <row r="21" spans="2:23" ht="13.95" customHeight="1" x14ac:dyDescent="0.3">
      <c r="B21">
        <v>6</v>
      </c>
      <c r="C21" t="str" cm="1">
        <f t="array" ref="C21">IFERROR(INDEX('DONNÉES BRUTES'!A$3:A$90,MATCH(1,('DONNÉES BRUTES'!AB$3:AB$90&gt;=LARGE('DONNÉES BRUTES'!AB$3:AB$90,6))*(COUNTIF(C$16:C20,'DONNÉES BRUTES'!A$3:A$90)=0)*('DONNÉES BRUTES'!A$3:A$90&lt;&gt;""),0)),"—")</f>
        <v>SAP.DE</v>
      </c>
      <c r="D21" t="str">
        <f>IFERROR(_xlfn.XLOOKUP(C21,'DONNÉES BRUTES'!A$3:A$90,'DONNÉES BRUTES'!B$3:B$90),"—")</f>
        <v>SAP SE</v>
      </c>
      <c r="E21" t="str">
        <f>IFERROR(_xlfn.XLOOKUP(C21,'DONNÉES BRUTES'!A$3:A$90,'DONNÉES BRUTES'!AB$3:AB$90)&amp;"/100","—")</f>
        <v>74/100</v>
      </c>
      <c r="G21" s="127" t="str">
        <f>IFERROR(_xlfn.XLOOKUP(C21,'DONNÉES BRUTES'!A$3:A$90,'DONNÉES BRUTES'!G$3:G$90),"—")</f>
        <v>€36.8</v>
      </c>
      <c r="H21" s="127">
        <f>IFERROR(_xlfn.XLOOKUP(C21,'DONNÉES BRUTES'!A$3:A$90,'DONNÉES BRUTES'!P$3:P$90),"—")</f>
        <v>7.6999999999999999E-2</v>
      </c>
      <c r="I21" s="127" t="str">
        <f>IFERROR(_xlfn.XLOOKUP(C21,'DONNÉES BRUTES'!A$3:A$90,'DONNÉES BRUTES'!H$3:H$90),"—")</f>
        <v>€12.1</v>
      </c>
      <c r="K21" s="115">
        <f>IFERROR(_xlfn.XLOOKUP(C21,'DONNÉES BRUTES'!A$3:A$90,'DONNÉES BRUTES'!N$3:N$90),"—")</f>
        <v>0.32800000000000001</v>
      </c>
      <c r="L21" s="4">
        <f>IFERROR(_xlfn.XLOOKUP(C21,'DONNÉES BRUTES'!A$3:A$90,'DONNÉES BRUTES'!O$3:O$90),"—")</f>
        <v>0.19500000000000001</v>
      </c>
      <c r="N21" s="4">
        <f>IFERROR(_xlfn.XLOOKUP(C21,'DONNÉES BRUTES'!A$3:A$90,'DONNÉES BRUTES'!Q$3:Q$90),"—")</f>
        <v>0.161</v>
      </c>
      <c r="O21" s="127" t="str">
        <f>IFERROR(_xlfn.XLOOKUP(C21,'DONNÉES BRUTES'!A$3:A$90,'DONNÉES BRUTES'!I$3:I$90),"—")</f>
        <v>—</v>
      </c>
    </row>
    <row r="22" spans="2:23" ht="13.95" customHeight="1" x14ac:dyDescent="0.3">
      <c r="B22">
        <v>7</v>
      </c>
      <c r="C22" t="str" cm="1">
        <f t="array" ref="C22">IFERROR(INDEX('DONNÉES BRUTES'!A$3:A$90,MATCH(1,('DONNÉES BRUTES'!AB$3:AB$90&gt;=LARGE('DONNÉES BRUTES'!AB$3:AB$90,7))*(COUNTIF(C$16:C21,'DONNÉES BRUTES'!A$3:A$90)=0)*('DONNÉES BRUTES'!A$3:A$90&lt;&gt;""),0)),"—")</f>
        <v>CIEN</v>
      </c>
      <c r="D22" t="str">
        <f>IFERROR(_xlfn.XLOOKUP(C22,'DONNÉES BRUTES'!A$3:A$90,'DONNÉES BRUTES'!B$3:B$90),"—")</f>
        <v>Ciena Corporation</v>
      </c>
      <c r="E22" t="str">
        <f>IFERROR(_xlfn.XLOOKUP(C22,'DONNÉES BRUTES'!A$3:A$90,'DONNÉES BRUTES'!AB$3:AB$90)&amp;"/100","—")</f>
        <v>73/100</v>
      </c>
      <c r="G22" s="127" t="str">
        <f>IFERROR(_xlfn.XLOOKUP(C22,'DONNÉES BRUTES'!A$3:A$90,'DONNÉES BRUTES'!G$3:G$90),"—")</f>
        <v>$4.8</v>
      </c>
      <c r="H22" s="127">
        <f>IFERROR(_xlfn.XLOOKUP(C22,'DONNÉES BRUTES'!A$3:A$90,'DONNÉES BRUTES'!P$3:P$90),"—")</f>
        <v>0.188</v>
      </c>
      <c r="I22" s="127" t="str">
        <f>IFERROR(_xlfn.XLOOKUP(C22,'DONNÉES BRUTES'!A$3:A$90,'DONNÉES BRUTES'!H$3:H$90),"—")</f>
        <v>$0.4</v>
      </c>
      <c r="K22" s="115">
        <f>IFERROR(_xlfn.XLOOKUP(C22,'DONNÉES BRUTES'!A$3:A$90,'DONNÉES BRUTES'!N$3:N$90),"—")</f>
        <v>8.1000000000000003E-2</v>
      </c>
      <c r="L22" s="4">
        <f>IFERROR(_xlfn.XLOOKUP(C22,'DONNÉES BRUTES'!A$3:A$90,'DONNÉES BRUTES'!O$3:O$90),"—")</f>
        <v>2.6000000000000002E-2</v>
      </c>
      <c r="N22" s="4">
        <f>IFERROR(_xlfn.XLOOKUP(C22,'DONNÉES BRUTES'!A$3:A$90,'DONNÉES BRUTES'!Q$3:Q$90),"—")</f>
        <v>4.4999999999999998E-2</v>
      </c>
      <c r="O22" s="127" t="str">
        <f>IFERROR(_xlfn.XLOOKUP(C22,'DONNÉES BRUTES'!A$3:A$90,'DONNÉES BRUTES'!I$3:I$90),"—")</f>
        <v>—</v>
      </c>
    </row>
    <row r="23" spans="2:23" ht="13.95" customHeight="1" x14ac:dyDescent="0.3">
      <c r="B23">
        <v>8</v>
      </c>
      <c r="C23" t="str" cm="1">
        <f t="array" ref="C23">IFERROR(INDEX('DONNÉES BRUTES'!A$3:A$90,MATCH(1,('DONNÉES BRUTES'!AB$3:AB$90&gt;=LARGE('DONNÉES BRUTES'!AB$3:AB$90,8))*(COUNTIF(C$16:C22,'DONNÉES BRUTES'!A$3:A$90)=0)*('DONNÉES BRUTES'!A$3:A$90&lt;&gt;""),0)),"—")</f>
        <v>PSX</v>
      </c>
      <c r="D23" t="str">
        <f>IFERROR(_xlfn.XLOOKUP(C23,'DONNÉES BRUTES'!A$3:A$90,'DONNÉES BRUTES'!B$3:B$90),"—")</f>
        <v>Phillips 66</v>
      </c>
      <c r="E23" t="str">
        <f>IFERROR(_xlfn.XLOOKUP(C23,'DONNÉES BRUTES'!A$3:A$90,'DONNÉES BRUTES'!AB$3:AB$90)&amp;"/100","—")</f>
        <v>71/100</v>
      </c>
      <c r="G23" s="127" t="str">
        <f>IFERROR(_xlfn.XLOOKUP(C23,'DONNÉES BRUTES'!A$3:A$90,'DONNÉES BRUTES'!G$3:G$90),"—")</f>
        <v>$132.4</v>
      </c>
      <c r="H23" s="127">
        <f>IFERROR(_xlfn.XLOOKUP(C23,'DONNÉES BRUTES'!A$3:A$90,'DONNÉES BRUTES'!P$3:P$90),"—")</f>
        <v>-7.4999999999999997E-2</v>
      </c>
      <c r="I23" s="127" t="str">
        <f>IFERROR(_xlfn.XLOOKUP(C23,'DONNÉES BRUTES'!A$3:A$90,'DONNÉES BRUTES'!H$3:H$90),"—")</f>
        <v>$9.8</v>
      </c>
      <c r="K23" s="115">
        <f>IFERROR(_xlfn.XLOOKUP(C23,'DONNÉES BRUTES'!A$3:A$90,'DONNÉES BRUTES'!N$3:N$90),"—")</f>
        <v>7.3999999999999996E-2</v>
      </c>
      <c r="L23" s="4">
        <f>IFERROR(_xlfn.XLOOKUP(C23,'DONNÉES BRUTES'!A$3:A$90,'DONNÉES BRUTES'!O$3:O$90),"—")</f>
        <v>3.3000000000000002E-2</v>
      </c>
      <c r="N23" s="4">
        <f>IFERROR(_xlfn.XLOOKUP(C23,'DONNÉES BRUTES'!A$3:A$90,'DONNÉES BRUTES'!Q$3:Q$90),"—")</f>
        <v>0.151</v>
      </c>
      <c r="O23" s="127" t="str">
        <f>IFERROR(_xlfn.XLOOKUP(C23,'DONNÉES BRUTES'!A$3:A$90,'DONNÉES BRUTES'!I$3:I$90),"—")</f>
        <v>8.6x</v>
      </c>
    </row>
    <row r="24" spans="2:23" ht="13.95" customHeight="1" x14ac:dyDescent="0.3">
      <c r="B24">
        <v>9</v>
      </c>
      <c r="C24" t="str" cm="1">
        <f t="array" ref="C24">IFERROR(INDEX('DONNÉES BRUTES'!A$3:A$90,MATCH(1,('DONNÉES BRUTES'!AB$3:AB$90&gt;=LARGE('DONNÉES BRUTES'!AB$3:AB$90,9))*(COUNTIF(C$16:C23,'DONNÉES BRUTES'!A$3:A$90)=0)*('DONNÉES BRUTES'!A$3:A$90&lt;&gt;""),0)),"—")</f>
        <v>FTNT</v>
      </c>
      <c r="D24" t="str">
        <f>IFERROR(_xlfn.XLOOKUP(C24,'DONNÉES BRUTES'!A$3:A$90,'DONNÉES BRUTES'!B$3:B$90),"—")</f>
        <v>Fortinet, Inc.</v>
      </c>
      <c r="E24" t="str">
        <f>IFERROR(_xlfn.XLOOKUP(C24,'DONNÉES BRUTES'!A$3:A$90,'DONNÉES BRUTES'!AB$3:AB$90)&amp;"/100","—")</f>
        <v>70/100</v>
      </c>
      <c r="G24" s="127" t="str">
        <f>IFERROR(_xlfn.XLOOKUP(C24,'DONNÉES BRUTES'!A$3:A$90,'DONNÉES BRUTES'!G$3:G$90),"—")</f>
        <v>$6.8</v>
      </c>
      <c r="H24" s="127">
        <f>IFERROR(_xlfn.XLOOKUP(C24,'DONNÉES BRUTES'!A$3:A$90,'DONNÉES BRUTES'!P$3:P$90),"—")</f>
        <v>0.14199999999999999</v>
      </c>
      <c r="I24" s="127" t="str">
        <f>IFERROR(_xlfn.XLOOKUP(C24,'DONNÉES BRUTES'!A$3:A$90,'DONNÉES BRUTES'!H$3:H$90),"—")</f>
        <v>$2.5</v>
      </c>
      <c r="K24" s="115">
        <f>IFERROR(_xlfn.XLOOKUP(C24,'DONNÉES BRUTES'!A$3:A$90,'DONNÉES BRUTES'!N$3:N$90),"—")</f>
        <v>0.36099999999999999</v>
      </c>
      <c r="L24" s="4">
        <f>IFERROR(_xlfn.XLOOKUP(C24,'DONNÉES BRUTES'!A$3:A$90,'DONNÉES BRUTES'!O$3:O$90),"—")</f>
        <v>0.27300000000000002</v>
      </c>
      <c r="N24" s="4">
        <f>IFERROR(_xlfn.XLOOKUP(C24,'DONNÉES BRUTES'!A$3:A$90,'DONNÉES BRUTES'!Q$3:Q$90),"—")</f>
        <v>1.498</v>
      </c>
      <c r="O24" s="127" t="str">
        <f>IFERROR(_xlfn.XLOOKUP(C24,'DONNÉES BRUTES'!A$3:A$90,'DONNÉES BRUTES'!I$3:I$90),"—")</f>
        <v>—</v>
      </c>
    </row>
    <row r="25" spans="2:23" ht="13.95" customHeight="1" x14ac:dyDescent="0.3">
      <c r="B25">
        <v>10</v>
      </c>
      <c r="C25" t="str" cm="1">
        <f t="array" ref="C25">IFERROR(INDEX('DONNÉES BRUTES'!A$3:A$90,MATCH(1,('DONNÉES BRUTES'!AB$3:AB$90&gt;=LARGE('DONNÉES BRUTES'!AB$3:AB$90,10))*(COUNTIF(C$16:C24,'DONNÉES BRUTES'!A$3:A$90)=0)*('DONNÉES BRUTES'!A$3:A$90&lt;&gt;""),0)),"—")</f>
        <v>XYZ</v>
      </c>
      <c r="D25" t="str">
        <f>IFERROR(_xlfn.XLOOKUP(C25,'DONNÉES BRUTES'!A$3:A$90,'DONNÉES BRUTES'!B$3:B$90),"—")</f>
        <v>Block, Inc.</v>
      </c>
      <c r="E25" t="str">
        <f>IFERROR(_xlfn.XLOOKUP(C25,'DONNÉES BRUTES'!A$3:A$90,'DONNÉES BRUTES'!AB$3:AB$90)&amp;"/100","—")</f>
        <v>70/100</v>
      </c>
      <c r="G25" s="127" t="str">
        <f>IFERROR(_xlfn.XLOOKUP(C25,'DONNÉES BRUTES'!A$3:A$90,'DONNÉES BRUTES'!G$3:G$90),"—")</f>
        <v>$24.2</v>
      </c>
      <c r="H25" s="127">
        <f>IFERROR(_xlfn.XLOOKUP(C25,'DONNÉES BRUTES'!A$3:A$90,'DONNÉES BRUTES'!P$3:P$90),"—")</f>
        <v>3.0000000000000001E-3</v>
      </c>
      <c r="I25" s="127" t="str">
        <f>IFERROR(_xlfn.XLOOKUP(C25,'DONNÉES BRUTES'!A$3:A$90,'DONNÉES BRUTES'!H$3:H$90),"—")</f>
        <v>$3.4</v>
      </c>
      <c r="K25" s="115">
        <f>IFERROR(_xlfn.XLOOKUP(C25,'DONNÉES BRUTES'!A$3:A$90,'DONNÉES BRUTES'!N$3:N$90),"—")</f>
        <v>0.14099999999999999</v>
      </c>
      <c r="L25" s="4">
        <f>IFERROR(_xlfn.XLOOKUP(C25,'DONNÉES BRUTES'!A$3:A$90,'DONNÉES BRUTES'!O$3:O$90),"—")</f>
        <v>5.4000000000000006E-2</v>
      </c>
      <c r="N25" s="4">
        <f>IFERROR(_xlfn.XLOOKUP(C25,'DONNÉES BRUTES'!A$3:A$90,'DONNÉES BRUTES'!Q$3:Q$90),"—")</f>
        <v>5.8999999999999997E-2</v>
      </c>
      <c r="O25" s="127" t="str">
        <f>IFERROR(_xlfn.XLOOKUP(C25,'DONNÉES BRUTES'!A$3:A$90,'DONNÉES BRUTES'!I$3:I$90),"—")</f>
        <v>—</v>
      </c>
    </row>
    <row r="26" spans="2:23" ht="13.95" customHeight="1" x14ac:dyDescent="0.3"/>
    <row r="27" spans="2:23" ht="13.95" customHeight="1" x14ac:dyDescent="0.3">
      <c r="B27" s="7" t="s">
        <v>779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2:23" ht="13.95" customHeight="1" x14ac:dyDescent="0.3"/>
    <row r="30" spans="2:23" x14ac:dyDescent="0.3">
      <c r="S30" s="7"/>
      <c r="T30" s="7"/>
      <c r="U30" s="7"/>
      <c r="V30" s="7"/>
      <c r="W30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D45"/>
  <sheetViews>
    <sheetView showGridLines="0" zoomScaleNormal="100" workbookViewId="0">
      <selection activeCell="N26" sqref="N26"/>
    </sheetView>
  </sheetViews>
  <sheetFormatPr baseColWidth="10" defaultColWidth="8.88671875" defaultRowHeight="14.4" x14ac:dyDescent="0.3"/>
  <cols>
    <col min="1" max="1" width="1.6640625" customWidth="1"/>
    <col min="2" max="2" width="3.44140625" bestFit="1" customWidth="1"/>
    <col min="3" max="3" width="13.33203125" customWidth="1"/>
    <col min="4" max="4" width="27" bestFit="1" customWidth="1"/>
    <col min="5" max="5" width="1.33203125" customWidth="1"/>
    <col min="6" max="6" width="10.88671875" customWidth="1"/>
    <col min="7" max="7" width="16.33203125" customWidth="1"/>
    <col min="8" max="8" width="13" customWidth="1"/>
    <col min="9" max="9" width="13.6640625" customWidth="1"/>
    <col min="10" max="11" width="18.5546875" customWidth="1"/>
    <col min="12" max="12" width="14.88671875" customWidth="1"/>
    <col min="13" max="13" width="15.5546875" customWidth="1"/>
    <col min="14" max="14" width="14.88671875" customWidth="1"/>
    <col min="16" max="20" width="0.5546875" customWidth="1"/>
    <col min="21" max="26" width="8.88671875" customWidth="1"/>
  </cols>
  <sheetData>
    <row r="1" spans="2:30" ht="28.2" customHeight="1" x14ac:dyDescent="0.3">
      <c r="B1" s="14" t="s">
        <v>787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89"/>
      <c r="P1" s="89" t="s">
        <v>0</v>
      </c>
      <c r="Q1" s="89" t="s">
        <v>26</v>
      </c>
      <c r="R1" s="89"/>
      <c r="S1" s="89" t="s">
        <v>0</v>
      </c>
      <c r="T1" s="90" t="s">
        <v>94</v>
      </c>
      <c r="U1" s="88"/>
      <c r="V1" s="88" t="s">
        <v>0</v>
      </c>
      <c r="W1" s="88" t="s">
        <v>35</v>
      </c>
      <c r="X1" s="88"/>
      <c r="Y1" s="88" t="s">
        <v>2</v>
      </c>
      <c r="Z1" s="88" t="s">
        <v>3</v>
      </c>
      <c r="AA1" s="57"/>
      <c r="AB1" s="57"/>
      <c r="AC1" s="57"/>
      <c r="AD1" s="57"/>
    </row>
    <row r="2" spans="2:30" ht="15" customHeight="1" x14ac:dyDescent="0.3">
      <c r="B2" s="7" t="s">
        <v>780</v>
      </c>
      <c r="O2" s="88"/>
      <c r="P2" s="88" t="s">
        <v>95</v>
      </c>
      <c r="Q2" s="88">
        <v>88</v>
      </c>
      <c r="R2" s="88"/>
      <c r="S2" s="88" t="s">
        <v>95</v>
      </c>
      <c r="T2" s="88">
        <v>66.900000000000006</v>
      </c>
      <c r="U2" s="88"/>
      <c r="V2" s="88" t="s">
        <v>95</v>
      </c>
      <c r="W2" s="88">
        <v>13.22</v>
      </c>
      <c r="X2" s="88"/>
      <c r="Y2" s="88" t="s">
        <v>10</v>
      </c>
      <c r="Z2" s="88">
        <v>8</v>
      </c>
      <c r="AA2" s="57"/>
      <c r="AB2" s="57"/>
      <c r="AC2" s="57"/>
      <c r="AD2" s="57"/>
    </row>
    <row r="3" spans="2:30" ht="18" customHeight="1" x14ac:dyDescent="0.45">
      <c r="B3" s="24"/>
      <c r="C3" s="24">
        <f>COUNTA('DONNÉES BRUTES'!A$3:A$90)</f>
        <v>88</v>
      </c>
      <c r="D3" s="24"/>
      <c r="E3" s="24"/>
      <c r="F3" s="24"/>
      <c r="G3" s="24"/>
      <c r="H3" s="12" t="str">
        <f>IFERROR(_xlfn.XLOOKUP(LARGE('DONNÉES BRUTES'!AB$3:AB$90,1),'DONNÉES BRUTES'!AB$3:AB$90,'DONNÉES BRUTES'!A$3:A$90),"—")</f>
        <v>ENI.MI</v>
      </c>
      <c r="I3" s="24"/>
      <c r="J3" s="24"/>
      <c r="K3" s="24"/>
      <c r="L3" s="24"/>
      <c r="M3" s="24" t="str">
        <f>IFERROR(ROUND(AVERAGE('DONNÉES BRUTES'!AB$3:AB$90),0)&amp;"/100","—")</f>
        <v>53/100</v>
      </c>
      <c r="N3" s="24"/>
      <c r="O3" s="88"/>
      <c r="P3" s="88" t="s">
        <v>96</v>
      </c>
      <c r="Q3" s="88">
        <v>84</v>
      </c>
      <c r="R3" s="88"/>
      <c r="S3" s="88" t="s">
        <v>96</v>
      </c>
      <c r="T3" s="88">
        <v>43.9</v>
      </c>
      <c r="U3" s="88"/>
      <c r="V3" s="88" t="s">
        <v>96</v>
      </c>
      <c r="W3" s="88">
        <v>5.64</v>
      </c>
      <c r="X3" s="88"/>
      <c r="Y3" s="88" t="s">
        <v>21</v>
      </c>
      <c r="Z3" s="88">
        <v>29</v>
      </c>
      <c r="AA3" s="57"/>
      <c r="AB3" s="57"/>
      <c r="AC3" s="57"/>
      <c r="AD3" s="57"/>
    </row>
    <row r="4" spans="2:30" ht="13.95" customHeight="1" x14ac:dyDescent="0.45">
      <c r="B4" s="10"/>
      <c r="C4" s="10" t="s">
        <v>97</v>
      </c>
      <c r="D4" s="10"/>
      <c r="E4" s="10"/>
      <c r="F4" s="10"/>
      <c r="G4" s="10"/>
      <c r="H4" s="10" t="s">
        <v>98</v>
      </c>
      <c r="I4" s="24"/>
      <c r="J4" s="10"/>
      <c r="K4" s="10"/>
      <c r="L4" s="10"/>
      <c r="M4" s="10" t="s">
        <v>99</v>
      </c>
      <c r="N4" s="10"/>
      <c r="O4" s="88"/>
      <c r="P4" s="88" t="s">
        <v>100</v>
      </c>
      <c r="Q4" s="88">
        <v>83</v>
      </c>
      <c r="R4" s="88"/>
      <c r="S4" s="88" t="s">
        <v>100</v>
      </c>
      <c r="T4" s="88">
        <v>43.6</v>
      </c>
      <c r="U4" s="88"/>
      <c r="V4" s="88" t="s">
        <v>100</v>
      </c>
      <c r="W4" s="88">
        <v>8.4600000000000009</v>
      </c>
      <c r="X4" s="88"/>
      <c r="Y4" s="88" t="s">
        <v>55</v>
      </c>
      <c r="Z4" s="88">
        <v>51</v>
      </c>
      <c r="AA4" s="57"/>
      <c r="AB4" s="57"/>
      <c r="AC4" s="57"/>
      <c r="AD4" s="57"/>
    </row>
    <row r="5" spans="2:30" ht="13.95" customHeight="1" x14ac:dyDescent="0.3">
      <c r="B5" s="14" t="s">
        <v>781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89"/>
      <c r="P5" s="89" t="s">
        <v>101</v>
      </c>
      <c r="Q5" s="89">
        <v>81</v>
      </c>
      <c r="R5" s="89"/>
      <c r="S5" s="89" t="s">
        <v>101</v>
      </c>
      <c r="T5" s="88">
        <v>54.3</v>
      </c>
      <c r="U5" s="88"/>
      <c r="V5" s="88" t="s">
        <v>101</v>
      </c>
      <c r="W5" s="88">
        <v>2.66</v>
      </c>
      <c r="X5" s="88"/>
      <c r="Y5" s="88"/>
      <c r="Z5" s="88"/>
      <c r="AA5" s="57"/>
      <c r="AB5" s="57"/>
      <c r="AC5" s="57"/>
      <c r="AD5" s="57"/>
    </row>
    <row r="6" spans="2:30" ht="13.95" customHeight="1" x14ac:dyDescent="0.3">
      <c r="B6" s="23" t="s">
        <v>24</v>
      </c>
      <c r="C6" s="6" t="s">
        <v>0</v>
      </c>
      <c r="D6" s="6" t="s">
        <v>25</v>
      </c>
      <c r="E6" s="6"/>
      <c r="F6" s="6" t="s">
        <v>26</v>
      </c>
      <c r="G6" s="6" t="s">
        <v>29</v>
      </c>
      <c r="H6" s="6" t="s">
        <v>102</v>
      </c>
      <c r="I6" s="6" t="s">
        <v>31</v>
      </c>
      <c r="J6" s="6" t="s">
        <v>32</v>
      </c>
      <c r="K6" s="6" t="s">
        <v>33</v>
      </c>
      <c r="L6" s="6" t="s">
        <v>35</v>
      </c>
      <c r="M6" s="6" t="s">
        <v>103</v>
      </c>
      <c r="N6" s="6" t="s">
        <v>2</v>
      </c>
      <c r="O6" s="88"/>
      <c r="P6" s="88" t="s">
        <v>104</v>
      </c>
      <c r="Q6" s="88">
        <v>78</v>
      </c>
      <c r="R6" s="88"/>
      <c r="S6" s="88" t="s">
        <v>104</v>
      </c>
      <c r="T6" s="88">
        <v>49.4</v>
      </c>
      <c r="U6" s="88"/>
      <c r="V6" s="88" t="s">
        <v>104</v>
      </c>
      <c r="W6" s="88">
        <v>6.1</v>
      </c>
      <c r="X6" s="88"/>
      <c r="Y6" s="88"/>
      <c r="Z6" s="88"/>
      <c r="AA6" s="57"/>
      <c r="AB6" s="57"/>
      <c r="AC6" s="57"/>
      <c r="AD6" s="57"/>
    </row>
    <row r="7" spans="2:30" ht="13.95" customHeight="1" x14ac:dyDescent="0.3">
      <c r="B7" s="99">
        <v>1</v>
      </c>
      <c r="C7" s="99" t="s">
        <v>9</v>
      </c>
      <c r="D7" s="100" t="s">
        <v>12</v>
      </c>
      <c r="E7" s="101"/>
      <c r="F7" s="99" t="s">
        <v>105</v>
      </c>
      <c r="G7" s="135" t="s">
        <v>106</v>
      </c>
      <c r="H7" s="135" t="s">
        <v>107</v>
      </c>
      <c r="I7" s="135" t="s">
        <v>108</v>
      </c>
      <c r="J7" s="136" t="s">
        <v>109</v>
      </c>
      <c r="K7" s="136" t="s">
        <v>110</v>
      </c>
      <c r="L7" s="135" t="s">
        <v>111</v>
      </c>
      <c r="M7" s="136" t="s">
        <v>112</v>
      </c>
      <c r="N7" s="99" t="s">
        <v>10</v>
      </c>
      <c r="O7" s="88"/>
      <c r="P7" s="88" t="s">
        <v>113</v>
      </c>
      <c r="Q7" s="88">
        <v>78</v>
      </c>
      <c r="R7" s="88"/>
      <c r="S7" s="88" t="s">
        <v>113</v>
      </c>
      <c r="T7" s="88">
        <v>28</v>
      </c>
      <c r="U7" s="88"/>
      <c r="V7" s="88" t="s">
        <v>113</v>
      </c>
      <c r="W7" s="88">
        <v>11.63</v>
      </c>
      <c r="X7" s="88"/>
      <c r="Y7" s="88"/>
      <c r="Z7" s="88"/>
      <c r="AA7" s="57"/>
      <c r="AB7" s="57"/>
      <c r="AC7" s="57"/>
      <c r="AD7" s="57"/>
    </row>
    <row r="8" spans="2:30" ht="13.95" customHeight="1" x14ac:dyDescent="0.3">
      <c r="B8" s="102">
        <v>2</v>
      </c>
      <c r="C8" s="102" t="s">
        <v>13</v>
      </c>
      <c r="D8" s="103" t="s">
        <v>41</v>
      </c>
      <c r="E8" s="104"/>
      <c r="F8" s="102" t="s">
        <v>114</v>
      </c>
      <c r="G8" s="137" t="s">
        <v>115</v>
      </c>
      <c r="H8" s="137" t="s">
        <v>116</v>
      </c>
      <c r="I8" s="137" t="s">
        <v>117</v>
      </c>
      <c r="J8" s="138" t="s">
        <v>118</v>
      </c>
      <c r="K8" s="138" t="s">
        <v>119</v>
      </c>
      <c r="L8" s="137" t="s">
        <v>120</v>
      </c>
      <c r="M8" s="138" t="s">
        <v>121</v>
      </c>
      <c r="N8" s="102" t="s">
        <v>10</v>
      </c>
      <c r="O8" s="88"/>
      <c r="P8" s="88" t="s">
        <v>122</v>
      </c>
      <c r="Q8" s="88">
        <v>77</v>
      </c>
      <c r="R8" s="88"/>
      <c r="S8" s="88" t="s">
        <v>122</v>
      </c>
      <c r="T8" s="88">
        <v>35.4</v>
      </c>
      <c r="U8" s="88"/>
      <c r="V8" s="88" t="s">
        <v>122</v>
      </c>
      <c r="W8" s="88">
        <v>9.6999999999999993</v>
      </c>
      <c r="X8" s="88"/>
      <c r="Y8" s="88"/>
      <c r="Z8" s="88"/>
      <c r="AA8" s="57"/>
      <c r="AB8" s="57"/>
      <c r="AC8" s="57"/>
      <c r="AD8" s="57"/>
    </row>
    <row r="9" spans="2:30" ht="13.95" customHeight="1" x14ac:dyDescent="0.3">
      <c r="B9" s="99">
        <v>3</v>
      </c>
      <c r="C9" s="99" t="s">
        <v>14</v>
      </c>
      <c r="D9" s="100" t="s">
        <v>43</v>
      </c>
      <c r="E9" s="101"/>
      <c r="F9" s="99" t="s">
        <v>123</v>
      </c>
      <c r="G9" s="135" t="s">
        <v>124</v>
      </c>
      <c r="H9" s="135" t="s">
        <v>125</v>
      </c>
      <c r="I9" s="135" t="s">
        <v>126</v>
      </c>
      <c r="J9" s="136" t="s">
        <v>127</v>
      </c>
      <c r="K9" s="136" t="s">
        <v>128</v>
      </c>
      <c r="L9" s="135" t="s">
        <v>129</v>
      </c>
      <c r="M9" s="136" t="s">
        <v>130</v>
      </c>
      <c r="N9" s="99" t="s">
        <v>10</v>
      </c>
      <c r="O9" s="88"/>
      <c r="P9" s="88" t="s">
        <v>131</v>
      </c>
      <c r="Q9" s="88">
        <v>77</v>
      </c>
      <c r="R9" s="88"/>
      <c r="S9" s="88" t="s">
        <v>131</v>
      </c>
      <c r="T9" s="88">
        <v>20.399999999999999</v>
      </c>
      <c r="U9" s="88"/>
      <c r="V9" s="88" t="s">
        <v>131</v>
      </c>
      <c r="W9" s="88">
        <v>1.76</v>
      </c>
      <c r="X9" s="88"/>
      <c r="Y9" s="88"/>
      <c r="Z9" s="88"/>
      <c r="AA9" s="57"/>
      <c r="AB9" s="57"/>
      <c r="AC9" s="57"/>
      <c r="AD9" s="57"/>
    </row>
    <row r="10" spans="2:30" ht="13.95" customHeight="1" x14ac:dyDescent="0.3">
      <c r="B10" s="102">
        <v>4</v>
      </c>
      <c r="C10" s="102" t="s">
        <v>11</v>
      </c>
      <c r="D10" s="103" t="s">
        <v>39</v>
      </c>
      <c r="E10" s="104"/>
      <c r="F10" s="102" t="s">
        <v>132</v>
      </c>
      <c r="G10" s="137" t="s">
        <v>133</v>
      </c>
      <c r="H10" s="137" t="s">
        <v>134</v>
      </c>
      <c r="I10" s="137" t="s">
        <v>135</v>
      </c>
      <c r="J10" s="138" t="s">
        <v>136</v>
      </c>
      <c r="K10" s="138" t="s">
        <v>137</v>
      </c>
      <c r="L10" s="137" t="s">
        <v>138</v>
      </c>
      <c r="M10" s="138" t="s">
        <v>139</v>
      </c>
      <c r="N10" s="102" t="s">
        <v>10</v>
      </c>
      <c r="O10" s="88"/>
      <c r="P10" s="88" t="s">
        <v>140</v>
      </c>
      <c r="Q10" s="88">
        <v>74</v>
      </c>
      <c r="R10" s="88"/>
      <c r="S10" s="88" t="s">
        <v>140</v>
      </c>
      <c r="T10" s="88">
        <v>41.3</v>
      </c>
      <c r="U10" s="88"/>
      <c r="V10" s="88" t="s">
        <v>140</v>
      </c>
      <c r="W10" s="88">
        <v>3.62</v>
      </c>
      <c r="X10" s="88"/>
      <c r="Y10" s="88"/>
      <c r="Z10" s="88"/>
      <c r="AA10" s="57"/>
      <c r="AB10" s="57"/>
      <c r="AC10" s="57"/>
      <c r="AD10" s="57"/>
    </row>
    <row r="11" spans="2:30" ht="13.95" customHeight="1" x14ac:dyDescent="0.3">
      <c r="B11" s="99">
        <v>5</v>
      </c>
      <c r="C11" s="99" t="s">
        <v>22</v>
      </c>
      <c r="D11" s="100" t="s">
        <v>49</v>
      </c>
      <c r="E11" s="101"/>
      <c r="F11" s="99" t="s">
        <v>141</v>
      </c>
      <c r="G11" s="135" t="s">
        <v>142</v>
      </c>
      <c r="H11" s="135" t="s">
        <v>143</v>
      </c>
      <c r="I11" s="135" t="s">
        <v>144</v>
      </c>
      <c r="J11" s="136" t="s">
        <v>121</v>
      </c>
      <c r="K11" s="136" t="s">
        <v>145</v>
      </c>
      <c r="L11" s="135" t="s">
        <v>146</v>
      </c>
      <c r="M11" s="136" t="s">
        <v>147</v>
      </c>
      <c r="N11" s="99" t="s">
        <v>21</v>
      </c>
      <c r="O11" s="88"/>
      <c r="P11" s="88" t="s">
        <v>148</v>
      </c>
      <c r="Q11" s="88">
        <v>73</v>
      </c>
      <c r="R11" s="88"/>
      <c r="S11" s="88" t="s">
        <v>148</v>
      </c>
      <c r="T11" s="88">
        <v>21</v>
      </c>
      <c r="U11" s="88"/>
      <c r="V11" s="88" t="s">
        <v>148</v>
      </c>
      <c r="W11" s="88">
        <v>6.9</v>
      </c>
      <c r="X11" s="88"/>
      <c r="Y11" s="88"/>
      <c r="Z11" s="88"/>
      <c r="AA11" s="57"/>
      <c r="AB11" s="57"/>
      <c r="AC11" s="57"/>
      <c r="AD11" s="57"/>
    </row>
    <row r="12" spans="2:30" ht="13.95" customHeight="1" x14ac:dyDescent="0.3">
      <c r="B12" s="102">
        <v>6</v>
      </c>
      <c r="C12" s="102" t="s">
        <v>37</v>
      </c>
      <c r="D12" s="103" t="s">
        <v>56</v>
      </c>
      <c r="E12" s="104"/>
      <c r="F12" s="102" t="s">
        <v>149</v>
      </c>
      <c r="G12" s="137" t="s">
        <v>150</v>
      </c>
      <c r="H12" s="137" t="s">
        <v>151</v>
      </c>
      <c r="I12" s="137" t="s">
        <v>152</v>
      </c>
      <c r="J12" s="138" t="s">
        <v>153</v>
      </c>
      <c r="K12" s="138" t="s">
        <v>154</v>
      </c>
      <c r="L12" s="137" t="s">
        <v>155</v>
      </c>
      <c r="M12" s="138" t="s">
        <v>156</v>
      </c>
      <c r="N12" s="102" t="s">
        <v>21</v>
      </c>
      <c r="O12" s="88"/>
      <c r="P12" s="88" t="s">
        <v>157</v>
      </c>
      <c r="Q12" s="88">
        <v>72</v>
      </c>
      <c r="R12" s="88"/>
      <c r="S12" s="88" t="s">
        <v>157</v>
      </c>
      <c r="T12" s="88">
        <v>38.4</v>
      </c>
      <c r="U12" s="88"/>
      <c r="V12" s="88" t="s">
        <v>158</v>
      </c>
      <c r="W12" s="88">
        <v>4.1500000000000004</v>
      </c>
      <c r="X12" s="88"/>
      <c r="Y12" s="88"/>
      <c r="Z12" s="88"/>
      <c r="AA12" s="57"/>
      <c r="AB12" s="57"/>
      <c r="AC12" s="57"/>
      <c r="AD12" s="57"/>
    </row>
    <row r="13" spans="2:30" ht="13.95" customHeight="1" x14ac:dyDescent="0.3">
      <c r="B13" s="99">
        <v>7</v>
      </c>
      <c r="C13" s="99" t="s">
        <v>52</v>
      </c>
      <c r="D13" s="100" t="s">
        <v>74</v>
      </c>
      <c r="E13" s="101"/>
      <c r="F13" s="99" t="s">
        <v>159</v>
      </c>
      <c r="G13" s="135" t="s">
        <v>160</v>
      </c>
      <c r="H13" s="135" t="s">
        <v>161</v>
      </c>
      <c r="I13" s="135" t="s">
        <v>162</v>
      </c>
      <c r="J13" s="136" t="s">
        <v>163</v>
      </c>
      <c r="K13" s="136" t="s">
        <v>164</v>
      </c>
      <c r="L13" s="135" t="s">
        <v>165</v>
      </c>
      <c r="M13" s="136" t="s">
        <v>166</v>
      </c>
      <c r="N13" s="99" t="s">
        <v>21</v>
      </c>
      <c r="O13" s="88"/>
      <c r="P13" s="88" t="s">
        <v>167</v>
      </c>
      <c r="Q13" s="88">
        <v>71</v>
      </c>
      <c r="R13" s="88"/>
      <c r="S13" s="88" t="s">
        <v>167</v>
      </c>
      <c r="T13" s="88">
        <v>45.6</v>
      </c>
      <c r="U13" s="88"/>
      <c r="V13" s="88" t="s">
        <v>167</v>
      </c>
      <c r="W13" s="88">
        <v>4.17</v>
      </c>
      <c r="X13" s="88"/>
      <c r="Y13" s="88"/>
      <c r="Z13" s="88"/>
      <c r="AA13" s="57"/>
      <c r="AB13" s="57"/>
      <c r="AC13" s="57"/>
      <c r="AD13" s="57"/>
    </row>
    <row r="14" spans="2:30" ht="13.95" customHeight="1" x14ac:dyDescent="0.3">
      <c r="B14" s="102">
        <v>8</v>
      </c>
      <c r="C14" s="102" t="s">
        <v>23</v>
      </c>
      <c r="D14" s="103" t="s">
        <v>51</v>
      </c>
      <c r="E14" s="104"/>
      <c r="F14" s="102" t="s">
        <v>168</v>
      </c>
      <c r="G14" s="137" t="s">
        <v>169</v>
      </c>
      <c r="H14" s="137" t="s">
        <v>170</v>
      </c>
      <c r="I14" s="137" t="s">
        <v>171</v>
      </c>
      <c r="J14" s="138" t="s">
        <v>172</v>
      </c>
      <c r="K14" s="138" t="s">
        <v>173</v>
      </c>
      <c r="L14" s="137" t="s">
        <v>174</v>
      </c>
      <c r="M14" s="138" t="s">
        <v>175</v>
      </c>
      <c r="N14" s="102" t="s">
        <v>21</v>
      </c>
      <c r="O14" s="88"/>
      <c r="P14" s="88" t="s">
        <v>176</v>
      </c>
      <c r="Q14" s="88">
        <v>68</v>
      </c>
      <c r="R14" s="88"/>
      <c r="S14" s="88" t="s">
        <v>176</v>
      </c>
      <c r="T14" s="88">
        <v>23.9</v>
      </c>
      <c r="U14" s="88"/>
      <c r="V14" s="88" t="s">
        <v>176</v>
      </c>
      <c r="W14" s="88">
        <v>3.62</v>
      </c>
      <c r="X14" s="88"/>
      <c r="Y14" s="88"/>
      <c r="Z14" s="88"/>
      <c r="AA14" s="57"/>
      <c r="AB14" s="57"/>
      <c r="AC14" s="57"/>
      <c r="AD14" s="57"/>
    </row>
    <row r="15" spans="2:30" ht="13.95" customHeight="1" x14ac:dyDescent="0.3">
      <c r="B15" s="99">
        <v>9</v>
      </c>
      <c r="C15" s="99" t="s">
        <v>38</v>
      </c>
      <c r="D15" s="100" t="s">
        <v>58</v>
      </c>
      <c r="E15" s="101"/>
      <c r="F15" s="99" t="s">
        <v>177</v>
      </c>
      <c r="G15" s="135" t="s">
        <v>178</v>
      </c>
      <c r="H15" s="135" t="s">
        <v>179</v>
      </c>
      <c r="I15" s="135" t="s">
        <v>180</v>
      </c>
      <c r="J15" s="136" t="s">
        <v>181</v>
      </c>
      <c r="K15" s="136" t="s">
        <v>182</v>
      </c>
      <c r="L15" s="135" t="s">
        <v>183</v>
      </c>
      <c r="M15" s="136" t="s">
        <v>184</v>
      </c>
      <c r="N15" s="99" t="s">
        <v>21</v>
      </c>
      <c r="O15" s="88"/>
      <c r="P15" s="88" t="s">
        <v>185</v>
      </c>
      <c r="Q15" s="88">
        <v>67</v>
      </c>
      <c r="R15" s="88"/>
      <c r="S15" s="88" t="s">
        <v>185</v>
      </c>
      <c r="T15" s="88">
        <v>27.2</v>
      </c>
      <c r="U15" s="88"/>
      <c r="V15" s="88" t="s">
        <v>185</v>
      </c>
      <c r="W15" s="88">
        <v>3.25</v>
      </c>
      <c r="X15" s="88"/>
      <c r="Y15" s="88"/>
      <c r="Z15" s="88"/>
      <c r="AA15" s="57"/>
      <c r="AB15" s="57"/>
      <c r="AC15" s="57"/>
      <c r="AD15" s="57"/>
    </row>
    <row r="16" spans="2:30" ht="13.95" customHeight="1" x14ac:dyDescent="0.3">
      <c r="B16" s="102">
        <v>10</v>
      </c>
      <c r="C16" s="102" t="s">
        <v>20</v>
      </c>
      <c r="D16" s="103" t="s">
        <v>47</v>
      </c>
      <c r="E16" s="104"/>
      <c r="F16" s="102" t="s">
        <v>186</v>
      </c>
      <c r="G16" s="137" t="s">
        <v>187</v>
      </c>
      <c r="H16" s="137" t="s">
        <v>188</v>
      </c>
      <c r="I16" s="137" t="s">
        <v>189</v>
      </c>
      <c r="J16" s="138" t="s">
        <v>190</v>
      </c>
      <c r="K16" s="138" t="s">
        <v>191</v>
      </c>
      <c r="L16" s="137" t="s">
        <v>192</v>
      </c>
      <c r="M16" s="138" t="s">
        <v>193</v>
      </c>
      <c r="N16" s="102" t="s">
        <v>21</v>
      </c>
      <c r="O16" s="88"/>
      <c r="P16" s="88" t="s">
        <v>194</v>
      </c>
      <c r="Q16" s="88">
        <v>67</v>
      </c>
      <c r="R16" s="88"/>
      <c r="S16" s="88" t="s">
        <v>194</v>
      </c>
      <c r="T16" s="88">
        <v>27.1</v>
      </c>
      <c r="U16" s="88"/>
      <c r="V16" s="88" t="s">
        <v>194</v>
      </c>
      <c r="W16" s="88">
        <v>5.33</v>
      </c>
      <c r="X16" s="88"/>
      <c r="Y16" s="88"/>
      <c r="Z16" s="88"/>
      <c r="AA16" s="57"/>
      <c r="AB16" s="57"/>
      <c r="AC16" s="57"/>
      <c r="AD16" s="57"/>
    </row>
    <row r="17" spans="2:30" ht="13.95" customHeight="1" x14ac:dyDescent="0.3">
      <c r="B17" s="99">
        <v>11</v>
      </c>
      <c r="C17" s="99" t="s">
        <v>54</v>
      </c>
      <c r="D17" s="100" t="s">
        <v>75</v>
      </c>
      <c r="E17" s="101"/>
      <c r="F17" s="99" t="s">
        <v>195</v>
      </c>
      <c r="G17" s="135" t="s">
        <v>196</v>
      </c>
      <c r="H17" s="135" t="s">
        <v>197</v>
      </c>
      <c r="I17" s="135" t="s">
        <v>198</v>
      </c>
      <c r="J17" s="136" t="s">
        <v>199</v>
      </c>
      <c r="K17" s="136" t="s">
        <v>200</v>
      </c>
      <c r="L17" s="135" t="s">
        <v>201</v>
      </c>
      <c r="M17" s="136" t="s">
        <v>202</v>
      </c>
      <c r="N17" s="99" t="s">
        <v>55</v>
      </c>
      <c r="O17" s="88"/>
      <c r="P17" s="88" t="s">
        <v>203</v>
      </c>
      <c r="Q17" s="88">
        <v>66</v>
      </c>
      <c r="R17" s="88"/>
      <c r="S17" s="88" t="s">
        <v>203</v>
      </c>
      <c r="T17" s="88">
        <v>29.8</v>
      </c>
      <c r="U17" s="88"/>
      <c r="V17" s="88" t="s">
        <v>203</v>
      </c>
      <c r="W17" s="88">
        <v>5.05</v>
      </c>
      <c r="X17" s="88"/>
      <c r="Y17" s="88"/>
      <c r="Z17" s="88"/>
      <c r="AA17" s="57"/>
      <c r="AB17" s="57"/>
      <c r="AC17" s="57"/>
      <c r="AD17" s="57"/>
    </row>
    <row r="18" spans="2:30" ht="13.95" customHeight="1" x14ac:dyDescent="0.3">
      <c r="B18" s="102">
        <v>12</v>
      </c>
      <c r="C18" s="102" t="s">
        <v>46</v>
      </c>
      <c r="D18" s="103" t="s">
        <v>68</v>
      </c>
      <c r="E18" s="104"/>
      <c r="F18" s="102" t="s">
        <v>204</v>
      </c>
      <c r="G18" s="137" t="s">
        <v>205</v>
      </c>
      <c r="H18" s="137" t="s">
        <v>206</v>
      </c>
      <c r="I18" s="137" t="s">
        <v>207</v>
      </c>
      <c r="J18" s="138" t="s">
        <v>208</v>
      </c>
      <c r="K18" s="138" t="s">
        <v>209</v>
      </c>
      <c r="L18" s="137" t="s">
        <v>210</v>
      </c>
      <c r="M18" s="138" t="s">
        <v>211</v>
      </c>
      <c r="N18" s="102" t="s">
        <v>21</v>
      </c>
      <c r="O18" s="88"/>
      <c r="P18" s="88" t="s">
        <v>212</v>
      </c>
      <c r="Q18" s="88">
        <v>66</v>
      </c>
      <c r="R18" s="88"/>
      <c r="S18" s="88" t="s">
        <v>212</v>
      </c>
      <c r="T18" s="88">
        <v>35.4</v>
      </c>
      <c r="U18" s="88"/>
      <c r="V18" s="88" t="s">
        <v>212</v>
      </c>
      <c r="W18" s="88">
        <v>6.55</v>
      </c>
      <c r="X18" s="88"/>
      <c r="Y18" s="88"/>
      <c r="Z18" s="88"/>
      <c r="AA18" s="57"/>
      <c r="AB18" s="57"/>
      <c r="AC18" s="57"/>
      <c r="AD18" s="57"/>
    </row>
    <row r="19" spans="2:30" ht="13.95" customHeight="1" x14ac:dyDescent="0.3">
      <c r="B19" s="99">
        <v>13</v>
      </c>
      <c r="C19" s="99" t="s">
        <v>57</v>
      </c>
      <c r="D19" s="100" t="s">
        <v>76</v>
      </c>
      <c r="E19" s="101"/>
      <c r="F19" s="99" t="s">
        <v>213</v>
      </c>
      <c r="G19" s="135" t="s">
        <v>214</v>
      </c>
      <c r="H19" s="135" t="s">
        <v>215</v>
      </c>
      <c r="I19" s="135" t="s">
        <v>216</v>
      </c>
      <c r="J19" s="136" t="s">
        <v>217</v>
      </c>
      <c r="K19" s="136" t="s">
        <v>218</v>
      </c>
      <c r="L19" s="135" t="s">
        <v>219</v>
      </c>
      <c r="M19" s="136" t="s">
        <v>220</v>
      </c>
      <c r="N19" s="99" t="s">
        <v>55</v>
      </c>
      <c r="O19" s="88"/>
      <c r="P19" s="88" t="s">
        <v>221</v>
      </c>
      <c r="Q19" s="88">
        <v>66</v>
      </c>
      <c r="R19" s="88"/>
      <c r="S19" s="88" t="s">
        <v>221</v>
      </c>
      <c r="T19" s="88">
        <v>35.4</v>
      </c>
      <c r="U19" s="88"/>
      <c r="V19" s="88" t="s">
        <v>221</v>
      </c>
      <c r="W19" s="88">
        <v>2.76</v>
      </c>
      <c r="X19" s="88"/>
      <c r="Y19" s="88"/>
      <c r="Z19" s="88"/>
      <c r="AA19" s="57"/>
      <c r="AB19" s="57"/>
      <c r="AC19" s="57"/>
      <c r="AD19" s="57"/>
    </row>
    <row r="20" spans="2:30" ht="13.95" customHeight="1" x14ac:dyDescent="0.3">
      <c r="B20" s="102">
        <v>14</v>
      </c>
      <c r="C20" s="102" t="s">
        <v>61</v>
      </c>
      <c r="D20" s="103" t="s">
        <v>78</v>
      </c>
      <c r="E20" s="104"/>
      <c r="F20" s="102" t="s">
        <v>222</v>
      </c>
      <c r="G20" s="137" t="s">
        <v>223</v>
      </c>
      <c r="H20" s="137" t="s">
        <v>224</v>
      </c>
      <c r="I20" s="137" t="s">
        <v>225</v>
      </c>
      <c r="J20" s="138" t="s">
        <v>226</v>
      </c>
      <c r="K20" s="138" t="s">
        <v>227</v>
      </c>
      <c r="L20" s="137" t="s">
        <v>228</v>
      </c>
      <c r="M20" s="138" t="s">
        <v>229</v>
      </c>
      <c r="N20" s="102" t="s">
        <v>55</v>
      </c>
      <c r="O20" s="88"/>
      <c r="P20" s="88" t="s">
        <v>230</v>
      </c>
      <c r="Q20" s="88">
        <v>66</v>
      </c>
      <c r="R20" s="88"/>
      <c r="S20" s="88" t="s">
        <v>230</v>
      </c>
      <c r="T20" s="88">
        <v>24.7</v>
      </c>
      <c r="U20" s="88"/>
      <c r="V20" s="88" t="s">
        <v>230</v>
      </c>
      <c r="W20" s="88">
        <v>5.0599999999999996</v>
      </c>
      <c r="X20" s="88"/>
      <c r="Y20" s="88"/>
      <c r="Z20" s="88"/>
      <c r="AA20" s="57"/>
      <c r="AB20" s="57"/>
      <c r="AC20" s="57"/>
      <c r="AD20" s="57"/>
    </row>
    <row r="21" spans="2:30" ht="13.95" customHeight="1" x14ac:dyDescent="0.3">
      <c r="B21" s="99">
        <v>15</v>
      </c>
      <c r="C21" s="99" t="s">
        <v>45</v>
      </c>
      <c r="D21" s="100" t="s">
        <v>66</v>
      </c>
      <c r="E21" s="101"/>
      <c r="F21" s="99" t="s">
        <v>231</v>
      </c>
      <c r="G21" s="135" t="s">
        <v>232</v>
      </c>
      <c r="H21" s="135" t="s">
        <v>125</v>
      </c>
      <c r="I21" s="135" t="s">
        <v>233</v>
      </c>
      <c r="J21" s="136" t="s">
        <v>234</v>
      </c>
      <c r="K21" s="136" t="s">
        <v>235</v>
      </c>
      <c r="L21" s="135" t="s">
        <v>236</v>
      </c>
      <c r="M21" s="136" t="s">
        <v>147</v>
      </c>
      <c r="N21" s="99" t="s">
        <v>21</v>
      </c>
      <c r="O21" s="88"/>
      <c r="P21" s="88" t="s">
        <v>237</v>
      </c>
      <c r="Q21" s="88">
        <v>65</v>
      </c>
      <c r="R21" s="88"/>
      <c r="S21" s="88" t="s">
        <v>237</v>
      </c>
      <c r="T21" s="88">
        <v>27.6</v>
      </c>
      <c r="U21" s="88"/>
      <c r="V21" s="88" t="s">
        <v>237</v>
      </c>
      <c r="W21" s="88">
        <v>0.48</v>
      </c>
      <c r="X21" s="88"/>
      <c r="Y21" s="88"/>
      <c r="Z21" s="88"/>
      <c r="AA21" s="57"/>
      <c r="AB21" s="57"/>
      <c r="AC21" s="57"/>
      <c r="AD21" s="57"/>
    </row>
    <row r="22" spans="2:30" ht="13.95" customHeight="1" x14ac:dyDescent="0.3">
      <c r="B22" s="102">
        <v>16</v>
      </c>
      <c r="C22" s="102" t="s">
        <v>67</v>
      </c>
      <c r="D22" s="103" t="s">
        <v>81</v>
      </c>
      <c r="E22" s="104"/>
      <c r="F22" s="102" t="s">
        <v>238</v>
      </c>
      <c r="G22" s="137" t="s">
        <v>239</v>
      </c>
      <c r="H22" s="137" t="s">
        <v>240</v>
      </c>
      <c r="I22" s="137" t="s">
        <v>241</v>
      </c>
      <c r="J22" s="138" t="s">
        <v>242</v>
      </c>
      <c r="K22" s="138" t="s">
        <v>243</v>
      </c>
      <c r="L22" s="137" t="s">
        <v>244</v>
      </c>
      <c r="M22" s="138" t="s">
        <v>245</v>
      </c>
      <c r="N22" s="102" t="s">
        <v>55</v>
      </c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57"/>
      <c r="AB22" s="57"/>
      <c r="AC22" s="57"/>
      <c r="AD22" s="57"/>
    </row>
    <row r="23" spans="2:30" ht="13.95" customHeight="1" x14ac:dyDescent="0.3">
      <c r="B23" s="99">
        <v>17</v>
      </c>
      <c r="C23" s="99" t="s">
        <v>63</v>
      </c>
      <c r="D23" s="100" t="s">
        <v>79</v>
      </c>
      <c r="E23" s="101"/>
      <c r="F23" s="99" t="s">
        <v>246</v>
      </c>
      <c r="G23" s="135" t="s">
        <v>247</v>
      </c>
      <c r="H23" s="135" t="s">
        <v>143</v>
      </c>
      <c r="I23" s="135" t="s">
        <v>248</v>
      </c>
      <c r="J23" s="136" t="s">
        <v>245</v>
      </c>
      <c r="K23" s="136" t="s">
        <v>249</v>
      </c>
      <c r="L23" s="135" t="s">
        <v>250</v>
      </c>
      <c r="M23" s="136" t="s">
        <v>130</v>
      </c>
      <c r="N23" s="99" t="s">
        <v>55</v>
      </c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57"/>
      <c r="AB23" s="57"/>
      <c r="AC23" s="57"/>
      <c r="AD23" s="57"/>
    </row>
    <row r="24" spans="2:30" ht="13.95" customHeight="1" x14ac:dyDescent="0.3">
      <c r="B24" s="102">
        <v>18</v>
      </c>
      <c r="C24" s="102" t="s">
        <v>48</v>
      </c>
      <c r="D24" s="103" t="s">
        <v>70</v>
      </c>
      <c r="E24" s="104"/>
      <c r="F24" s="102" t="s">
        <v>251</v>
      </c>
      <c r="G24" s="137" t="s">
        <v>252</v>
      </c>
      <c r="H24" s="137" t="s">
        <v>253</v>
      </c>
      <c r="I24" s="137" t="s">
        <v>233</v>
      </c>
      <c r="J24" s="138" t="s">
        <v>254</v>
      </c>
      <c r="K24" s="138" t="s">
        <v>255</v>
      </c>
      <c r="L24" s="137" t="s">
        <v>256</v>
      </c>
      <c r="M24" s="138" t="s">
        <v>257</v>
      </c>
      <c r="N24" s="102" t="s">
        <v>21</v>
      </c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57"/>
      <c r="AB24" s="57"/>
      <c r="AC24" s="57"/>
      <c r="AD24" s="57"/>
    </row>
    <row r="25" spans="2:30" ht="13.95" customHeight="1" x14ac:dyDescent="0.3">
      <c r="B25" s="99">
        <v>19</v>
      </c>
      <c r="C25" s="99" t="s">
        <v>36</v>
      </c>
      <c r="D25" s="100" t="s">
        <v>53</v>
      </c>
      <c r="E25" s="101"/>
      <c r="F25" s="99" t="s">
        <v>258</v>
      </c>
      <c r="G25" s="135" t="s">
        <v>259</v>
      </c>
      <c r="H25" s="135" t="s">
        <v>260</v>
      </c>
      <c r="I25" s="135" t="s">
        <v>261</v>
      </c>
      <c r="J25" s="136" t="s">
        <v>262</v>
      </c>
      <c r="K25" s="136" t="s">
        <v>263</v>
      </c>
      <c r="L25" s="135" t="s">
        <v>264</v>
      </c>
      <c r="M25" s="136" t="s">
        <v>265</v>
      </c>
      <c r="N25" s="99" t="s">
        <v>21</v>
      </c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57"/>
      <c r="AB25" s="57"/>
      <c r="AC25" s="57"/>
      <c r="AD25" s="57"/>
    </row>
    <row r="26" spans="2:30" ht="13.95" customHeight="1" x14ac:dyDescent="0.3">
      <c r="B26" s="105">
        <v>20</v>
      </c>
      <c r="C26" s="105" t="s">
        <v>42</v>
      </c>
      <c r="D26" s="106" t="s">
        <v>62</v>
      </c>
      <c r="E26" s="107"/>
      <c r="F26" s="105" t="s">
        <v>266</v>
      </c>
      <c r="G26" s="139" t="s">
        <v>108</v>
      </c>
      <c r="H26" s="139" t="s">
        <v>267</v>
      </c>
      <c r="I26" s="139" t="s">
        <v>268</v>
      </c>
      <c r="J26" s="140" t="s">
        <v>269</v>
      </c>
      <c r="K26" s="140" t="s">
        <v>270</v>
      </c>
      <c r="L26" s="139" t="s">
        <v>271</v>
      </c>
      <c r="M26" s="140" t="s">
        <v>272</v>
      </c>
      <c r="N26" s="105" t="s">
        <v>21</v>
      </c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57"/>
      <c r="AB26" s="57"/>
      <c r="AC26" s="57"/>
      <c r="AD26" s="57"/>
    </row>
    <row r="27" spans="2:30" ht="13.95" customHeight="1" x14ac:dyDescent="0.3"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57"/>
      <c r="AB27" s="57"/>
      <c r="AC27" s="57"/>
      <c r="AD27" s="57"/>
    </row>
    <row r="28" spans="2:30" ht="13.95" customHeight="1" x14ac:dyDescent="0.3">
      <c r="B28" s="7" t="s">
        <v>785</v>
      </c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57"/>
      <c r="AB28" s="57"/>
      <c r="AC28" s="57"/>
      <c r="AD28" s="57"/>
    </row>
    <row r="29" spans="2:30" ht="13.95" customHeight="1" x14ac:dyDescent="0.3"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</row>
    <row r="30" spans="2:30" ht="13.95" customHeight="1" x14ac:dyDescent="0.3"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</row>
    <row r="31" spans="2:30" ht="13.95" customHeight="1" x14ac:dyDescent="0.3"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</row>
    <row r="32" spans="2:30" ht="13.95" customHeight="1" x14ac:dyDescent="0.3"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</row>
    <row r="33" spans="15:30" ht="13.95" customHeight="1" x14ac:dyDescent="0.3"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</row>
    <row r="34" spans="15:30" ht="13.95" customHeight="1" x14ac:dyDescent="0.3"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</row>
    <row r="35" spans="15:30" ht="13.95" customHeight="1" x14ac:dyDescent="0.3"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</row>
    <row r="36" spans="15:30" ht="13.95" customHeight="1" x14ac:dyDescent="0.3"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</row>
    <row r="37" spans="15:30" ht="13.95" customHeight="1" x14ac:dyDescent="0.3"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</row>
    <row r="38" spans="15:30" ht="13.95" customHeight="1" x14ac:dyDescent="0.3"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</row>
    <row r="39" spans="15:30" ht="13.95" customHeight="1" x14ac:dyDescent="0.3"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</row>
    <row r="40" spans="15:30" ht="13.95" customHeight="1" x14ac:dyDescent="0.3"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</row>
    <row r="41" spans="15:30" ht="13.95" customHeight="1" x14ac:dyDescent="0.3"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</row>
    <row r="42" spans="15:30" ht="13.95" customHeight="1" x14ac:dyDescent="0.3"/>
    <row r="43" spans="15:30" ht="13.95" customHeight="1" x14ac:dyDescent="0.3"/>
    <row r="45" spans="15:30" ht="16.2" customHeight="1" x14ac:dyDescent="0.3"/>
  </sheetData>
  <conditionalFormatting sqref="O1:Z28">
    <cfRule type="expression" dxfId="10" priority="1">
      <formula>VRAI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A45"/>
  <sheetViews>
    <sheetView showGridLines="0" zoomScaleNormal="100" workbookViewId="0">
      <selection activeCell="J26" sqref="G7:J26"/>
    </sheetView>
  </sheetViews>
  <sheetFormatPr baseColWidth="10" defaultColWidth="8.88671875" defaultRowHeight="14.4" x14ac:dyDescent="0.3"/>
  <cols>
    <col min="1" max="1" width="1.6640625" customWidth="1"/>
    <col min="2" max="2" width="3" bestFit="1" customWidth="1"/>
    <col min="3" max="3" width="13.33203125" customWidth="1"/>
    <col min="4" max="4" width="24.109375" customWidth="1"/>
    <col min="5" max="5" width="7.6640625" customWidth="1"/>
    <col min="6" max="6" width="12.5546875" customWidth="1"/>
    <col min="7" max="7" width="14.33203125" customWidth="1"/>
    <col min="8" max="8" width="13.88671875" customWidth="1"/>
    <col min="9" max="9" width="12.88671875" customWidth="1"/>
    <col min="10" max="10" width="13.109375" customWidth="1"/>
    <col min="11" max="11" width="9.33203125" bestFit="1" customWidth="1"/>
    <col min="12" max="12" width="10.44140625" bestFit="1" customWidth="1"/>
    <col min="13" max="13" width="14.109375" bestFit="1" customWidth="1"/>
    <col min="14" max="18" width="0.5546875" style="57" customWidth="1"/>
    <col min="19" max="24" width="0" style="57" hidden="1"/>
    <col min="25" max="25" width="8.88671875" style="57" customWidth="1"/>
  </cols>
  <sheetData>
    <row r="1" spans="2:27" ht="28.2" customHeight="1" x14ac:dyDescent="0.3">
      <c r="B1" s="14" t="s">
        <v>788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89" t="s">
        <v>0</v>
      </c>
      <c r="O1" s="89" t="s">
        <v>26</v>
      </c>
      <c r="P1" s="89"/>
      <c r="Q1" s="89" t="s">
        <v>0</v>
      </c>
      <c r="R1" s="89" t="s">
        <v>273</v>
      </c>
      <c r="S1" s="89"/>
      <c r="T1" s="90" t="s">
        <v>0</v>
      </c>
      <c r="U1" s="88" t="s">
        <v>7</v>
      </c>
      <c r="V1" s="88"/>
      <c r="W1" s="88" t="s">
        <v>274</v>
      </c>
      <c r="X1" s="88" t="s">
        <v>1</v>
      </c>
      <c r="Y1" s="88"/>
      <c r="Z1" s="88" t="s">
        <v>2</v>
      </c>
      <c r="AA1" s="88" t="s">
        <v>3</v>
      </c>
    </row>
    <row r="2" spans="2:27" ht="15" customHeight="1" x14ac:dyDescent="0.3">
      <c r="B2" s="7" t="s">
        <v>780</v>
      </c>
      <c r="N2" s="88" t="s">
        <v>185</v>
      </c>
      <c r="O2" s="88">
        <v>100</v>
      </c>
      <c r="P2" s="88"/>
      <c r="Q2" s="88" t="s">
        <v>185</v>
      </c>
      <c r="R2" s="88">
        <v>-0.5</v>
      </c>
      <c r="S2" s="88"/>
      <c r="T2" s="88" t="s">
        <v>185</v>
      </c>
      <c r="U2" s="88">
        <v>27.2</v>
      </c>
      <c r="V2" s="88"/>
      <c r="W2" s="88">
        <v>100</v>
      </c>
      <c r="X2" s="88">
        <v>67</v>
      </c>
      <c r="Y2" s="88"/>
      <c r="Z2" s="88" t="s">
        <v>10</v>
      </c>
      <c r="AA2" s="88">
        <v>8</v>
      </c>
    </row>
    <row r="3" spans="2:27" ht="18" customHeight="1" x14ac:dyDescent="0.45">
      <c r="B3" s="24"/>
      <c r="C3" s="24">
        <f>COUNTA('DONNÉES BRUTES'!A$3:A$90)</f>
        <v>88</v>
      </c>
      <c r="D3" s="24"/>
      <c r="E3" s="24"/>
      <c r="F3" s="24"/>
      <c r="G3" s="12" t="str">
        <f>IFERROR(_xlfn.XLOOKUP(LARGE('DONNÉES BRUTES'!Y$3:Y$90,1),'DONNÉES BRUTES'!Y$3:Y$90,'DONNÉES BRUTES'!A$3:A$90),"—")</f>
        <v>EXE</v>
      </c>
      <c r="H3" s="24"/>
      <c r="I3" s="24"/>
      <c r="J3" s="24"/>
      <c r="K3" s="24"/>
      <c r="L3" s="24" t="str">
        <f>IFERROR(ROUND(AVERAGE('DONNÉES BRUTES'!Y$3:Y$90),0)&amp;"/100","—")</f>
        <v>41/100</v>
      </c>
      <c r="M3" s="24"/>
      <c r="N3" s="88" t="s">
        <v>131</v>
      </c>
      <c r="O3" s="88">
        <v>99</v>
      </c>
      <c r="P3" s="88"/>
      <c r="Q3" s="88" t="s">
        <v>131</v>
      </c>
      <c r="R3" s="88">
        <v>50.7</v>
      </c>
      <c r="S3" s="88"/>
      <c r="T3" s="88" t="s">
        <v>131</v>
      </c>
      <c r="U3" s="88">
        <v>20.399999999999999</v>
      </c>
      <c r="V3" s="88"/>
      <c r="W3" s="88">
        <v>99</v>
      </c>
      <c r="X3" s="88">
        <v>77</v>
      </c>
      <c r="Y3" s="88"/>
      <c r="Z3" s="88" t="s">
        <v>21</v>
      </c>
      <c r="AA3" s="88">
        <v>29</v>
      </c>
    </row>
    <row r="4" spans="2:27" ht="13.95" customHeight="1" x14ac:dyDescent="0.3">
      <c r="B4" s="10"/>
      <c r="C4" s="10" t="s">
        <v>97</v>
      </c>
      <c r="D4" s="10"/>
      <c r="E4" s="10"/>
      <c r="F4" s="10"/>
      <c r="G4" s="10" t="s">
        <v>275</v>
      </c>
      <c r="H4" s="10"/>
      <c r="I4" s="10"/>
      <c r="J4" s="10"/>
      <c r="K4" s="10"/>
      <c r="L4" s="10" t="s">
        <v>276</v>
      </c>
      <c r="M4" s="10"/>
      <c r="N4" s="88" t="s">
        <v>104</v>
      </c>
      <c r="O4" s="88">
        <v>98</v>
      </c>
      <c r="P4" s="88"/>
      <c r="Q4" s="88" t="s">
        <v>104</v>
      </c>
      <c r="R4" s="88">
        <v>48.9</v>
      </c>
      <c r="S4" s="88"/>
      <c r="T4" s="88" t="s">
        <v>104</v>
      </c>
      <c r="U4" s="88">
        <v>49.4</v>
      </c>
      <c r="V4" s="88"/>
      <c r="W4" s="88">
        <v>98</v>
      </c>
      <c r="X4" s="88">
        <v>78</v>
      </c>
      <c r="Y4" s="88"/>
      <c r="Z4" s="88" t="s">
        <v>55</v>
      </c>
      <c r="AA4" s="88">
        <v>51</v>
      </c>
    </row>
    <row r="5" spans="2:27" ht="13.95" customHeight="1" x14ac:dyDescent="0.3">
      <c r="B5" s="14" t="s">
        <v>782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89" t="s">
        <v>277</v>
      </c>
      <c r="O5" s="89">
        <v>97</v>
      </c>
      <c r="P5" s="89"/>
      <c r="Q5" s="89" t="s">
        <v>277</v>
      </c>
      <c r="R5" s="89">
        <v>38.9</v>
      </c>
      <c r="S5" s="89"/>
      <c r="T5" s="88" t="s">
        <v>277</v>
      </c>
      <c r="U5" s="88">
        <v>22.9</v>
      </c>
      <c r="V5" s="88"/>
      <c r="W5" s="88">
        <v>97</v>
      </c>
      <c r="X5" s="88">
        <v>73</v>
      </c>
      <c r="Y5" s="88"/>
      <c r="Z5" s="88"/>
      <c r="AA5" s="88"/>
    </row>
    <row r="6" spans="2:27" ht="13.95" customHeight="1" x14ac:dyDescent="0.3">
      <c r="B6" s="23" t="s">
        <v>24</v>
      </c>
      <c r="C6" s="6" t="s">
        <v>0</v>
      </c>
      <c r="D6" s="6" t="s">
        <v>25</v>
      </c>
      <c r="E6" s="6"/>
      <c r="F6" s="6" t="s">
        <v>26</v>
      </c>
      <c r="G6" s="6" t="s">
        <v>90</v>
      </c>
      <c r="H6" s="6" t="s">
        <v>33</v>
      </c>
      <c r="I6" s="6" t="s">
        <v>278</v>
      </c>
      <c r="J6" s="6" t="s">
        <v>279</v>
      </c>
      <c r="K6" s="6" t="s">
        <v>1</v>
      </c>
      <c r="L6" s="6" t="s">
        <v>93</v>
      </c>
      <c r="M6" s="6" t="s">
        <v>2</v>
      </c>
      <c r="N6" s="88" t="s">
        <v>95</v>
      </c>
      <c r="O6" s="88">
        <v>95</v>
      </c>
      <c r="P6" s="88"/>
      <c r="Q6" s="88" t="s">
        <v>95</v>
      </c>
      <c r="R6" s="88">
        <v>65.5</v>
      </c>
      <c r="S6" s="88"/>
      <c r="T6" s="88" t="s">
        <v>95</v>
      </c>
      <c r="U6" s="88">
        <v>66.900000000000006</v>
      </c>
      <c r="V6" s="88"/>
      <c r="W6" s="88">
        <v>95</v>
      </c>
      <c r="X6" s="88">
        <v>88</v>
      </c>
      <c r="Y6" s="88"/>
      <c r="Z6" s="88"/>
      <c r="AA6" s="88"/>
    </row>
    <row r="7" spans="2:27" ht="13.95" customHeight="1" x14ac:dyDescent="0.3">
      <c r="B7" s="99">
        <v>1</v>
      </c>
      <c r="C7" s="99" t="str">
        <f>IFERROR(_xlfn.XLOOKUP(LARGE('DONNÉES BRUTES'!Y$3:Y$90,1),'DONNÉES BRUTES'!Y$3:Y$90,'DONNÉES BRUTES'!A$3:A$90),"—")</f>
        <v>EXE</v>
      </c>
      <c r="D7" s="100" t="str">
        <f>IFERROR(_xlfn.XLOOKUP(C7,'DONNÉES BRUTES'!A$3:A$90,'DONNÉES BRUTES'!B$3:B$90),"—")</f>
        <v>Expand Energy Corporation</v>
      </c>
      <c r="E7" s="101"/>
      <c r="F7" s="99" t="str">
        <f>IFERROR(_xlfn.XLOOKUP(C7,'DONNÉES BRUTES'!A$3:A$90,'DONNÉES BRUTES'!Y$3:Y$90)&amp;"/100","—")</f>
        <v>100/100</v>
      </c>
      <c r="G7" s="135">
        <f>IFERROR(_xlfn.XLOOKUP(C7,'DONNÉES BRUTES'!A$3:A$90,'DONNÉES BRUTES'!P$3:P$90),"—")</f>
        <v>1.8880000000000001</v>
      </c>
      <c r="H7" s="136">
        <f>IFERROR(_xlfn.XLOOKUP(C7,'DONNÉES BRUTES'!A$3:A$90,'DONNÉES BRUTES'!N$3:N$90),"—")</f>
        <v>0.45100000000000001</v>
      </c>
      <c r="I7" s="136">
        <f>IFERROR(_xlfn.XLOOKUP(C7,'DONNÉES BRUTES'!A$3:A$90,'DONNÉES BRUTES'!O$3:O$90),"—")</f>
        <v>0.14899999999999999</v>
      </c>
      <c r="J7" s="136">
        <f>IFERROR(_xlfn.XLOOKUP(C7,'DONNÉES BRUTES'!A$3:A$90,'DONNÉES BRUTES'!Q$3:Q$90),"—")</f>
        <v>9.8000000000000004E-2</v>
      </c>
      <c r="K7" s="99">
        <f>IFERROR(_xlfn.XLOOKUP(C7,'DONNÉES BRUTES'!A$3:A$90,'DONNÉES BRUTES'!AB$3:AB$90),"—")</f>
        <v>63</v>
      </c>
      <c r="L7" s="99" t="str">
        <f>IFERROR(_xlfn.XLOOKUP(C7,'DONNÉES BRUTES'!A$3:A$90,'DONNÉES BRUTES'!AC$3:AC$90),"—")</f>
        <v>2026-04-28</v>
      </c>
      <c r="M7" s="99" t="str">
        <f>IFERROR(_xlfn.XLOOKUP(C7,'DONNÉES BRUTES'!A$3:A$90,'DONNÉES BRUTES'!AD$3:AD$90),"—")</f>
        <v>Surpondérer</v>
      </c>
      <c r="N7" s="88" t="s">
        <v>203</v>
      </c>
      <c r="O7" s="88">
        <v>94</v>
      </c>
      <c r="P7" s="88"/>
      <c r="Q7" s="88" t="s">
        <v>203</v>
      </c>
      <c r="R7" s="88">
        <v>51.7</v>
      </c>
      <c r="S7" s="88"/>
      <c r="T7" s="88" t="s">
        <v>203</v>
      </c>
      <c r="U7" s="88">
        <v>29.8</v>
      </c>
      <c r="V7" s="88"/>
      <c r="W7" s="88">
        <v>94</v>
      </c>
      <c r="X7" s="88">
        <v>66</v>
      </c>
      <c r="Y7" s="88"/>
      <c r="Z7" s="88"/>
      <c r="AA7" s="88"/>
    </row>
    <row r="8" spans="2:27" ht="13.95" customHeight="1" x14ac:dyDescent="0.3">
      <c r="B8" s="102">
        <v>2</v>
      </c>
      <c r="C8" s="102" t="str">
        <f>IFERROR(_xlfn.XLOOKUP(LARGE('DONNÉES BRUTES'!Y$3:Y$90,2),'DONNÉES BRUTES'!Y$3:Y$90,'DONNÉES BRUTES'!A$3:A$90),"—")</f>
        <v>EQT</v>
      </c>
      <c r="D8" s="103" t="str">
        <f>IFERROR(_xlfn.XLOOKUP(C8,'DONNÉES BRUTES'!A$3:A$90,'DONNÉES BRUTES'!B$3:B$90),"—")</f>
        <v>EQT Corporation</v>
      </c>
      <c r="E8" s="104"/>
      <c r="F8" s="102" t="str">
        <f>IFERROR(_xlfn.XLOOKUP(C8,'DONNÉES BRUTES'!A$3:A$90,'DONNÉES BRUTES'!Y$3:Y$90)&amp;"/100","—")</f>
        <v>96/100</v>
      </c>
      <c r="G8" s="137">
        <f>IFERROR(_xlfn.XLOOKUP(C8,'DONNÉES BRUTES'!A$3:A$90,'DONNÉES BRUTES'!P$3:P$90),"—")</f>
        <v>0.6</v>
      </c>
      <c r="H8" s="138">
        <f>IFERROR(_xlfn.XLOOKUP(C8,'DONNÉES BRUTES'!A$3:A$90,'DONNÉES BRUTES'!N$3:N$90),"—")</f>
        <v>0.72</v>
      </c>
      <c r="I8" s="138">
        <f>IFERROR(_xlfn.XLOOKUP(C8,'DONNÉES BRUTES'!A$3:A$90,'DONNÉES BRUTES'!O$3:O$90),"—")</f>
        <v>0.24399999999999999</v>
      </c>
      <c r="J8" s="138">
        <f>IFERROR(_xlfn.XLOOKUP(C8,'DONNÉES BRUTES'!A$3:A$90,'DONNÉES BRUTES'!Q$3:Q$90),"—")</f>
        <v>8.5999999999999993E-2</v>
      </c>
      <c r="K8" s="102">
        <f>IFERROR(_xlfn.XLOOKUP(C8,'DONNÉES BRUTES'!A$3:A$90,'DONNÉES BRUTES'!AB$3:AB$90),"—")</f>
        <v>60</v>
      </c>
      <c r="L8" s="102" t="str">
        <f>IFERROR(_xlfn.XLOOKUP(C8,'DONNÉES BRUTES'!A$3:A$90,'DONNÉES BRUTES'!AC$3:AC$90),"—")</f>
        <v>2026-04-21</v>
      </c>
      <c r="M8" s="102" t="str">
        <f>IFERROR(_xlfn.XLOOKUP(C8,'DONNÉES BRUTES'!A$3:A$90,'DONNÉES BRUTES'!AD$3:AD$90),"—")</f>
        <v>Neutre</v>
      </c>
      <c r="N8" s="88" t="s">
        <v>280</v>
      </c>
      <c r="O8" s="88">
        <v>93</v>
      </c>
      <c r="P8" s="88"/>
      <c r="Q8" s="88" t="s">
        <v>280</v>
      </c>
      <c r="R8" s="88">
        <v>7.7</v>
      </c>
      <c r="S8" s="88"/>
      <c r="T8" s="88" t="s">
        <v>280</v>
      </c>
      <c r="U8" s="88">
        <v>32.799999999999997</v>
      </c>
      <c r="V8" s="88"/>
      <c r="W8" s="88">
        <v>93</v>
      </c>
      <c r="X8" s="88">
        <v>59</v>
      </c>
      <c r="Y8" s="88"/>
      <c r="Z8" s="88"/>
      <c r="AA8" s="88"/>
    </row>
    <row r="9" spans="2:27" ht="13.95" customHeight="1" x14ac:dyDescent="0.3">
      <c r="B9" s="99">
        <v>3</v>
      </c>
      <c r="C9" s="99" t="str">
        <f>IFERROR(_xlfn.XLOOKUP(LARGE('DONNÉES BRUTES'!Y$3:Y$90,3),'DONNÉES BRUTES'!Y$3:Y$90,'DONNÉES BRUTES'!A$3:A$90),"—")</f>
        <v>SAP.DE</v>
      </c>
      <c r="D9" s="100" t="str">
        <f>IFERROR(_xlfn.XLOOKUP(C9,'DONNÉES BRUTES'!A$3:A$90,'DONNÉES BRUTES'!B$3:B$90),"—")</f>
        <v>SAP SE</v>
      </c>
      <c r="E9" s="101"/>
      <c r="F9" s="99" t="str">
        <f>IFERROR(_xlfn.XLOOKUP(C9,'DONNÉES BRUTES'!A$3:A$90,'DONNÉES BRUTES'!Y$3:Y$90)&amp;"/100","—")</f>
        <v>93/100</v>
      </c>
      <c r="G9" s="135">
        <f>IFERROR(_xlfn.XLOOKUP(C9,'DONNÉES BRUTES'!A$3:A$90,'DONNÉES BRUTES'!P$3:P$90),"—")</f>
        <v>7.6999999999999999E-2</v>
      </c>
      <c r="H9" s="136">
        <f>IFERROR(_xlfn.XLOOKUP(C9,'DONNÉES BRUTES'!A$3:A$90,'DONNÉES BRUTES'!N$3:N$90),"—")</f>
        <v>0.32800000000000001</v>
      </c>
      <c r="I9" s="136">
        <f>IFERROR(_xlfn.XLOOKUP(C9,'DONNÉES BRUTES'!A$3:A$90,'DONNÉES BRUTES'!O$3:O$90),"—")</f>
        <v>0.19500000000000001</v>
      </c>
      <c r="J9" s="136">
        <f>IFERROR(_xlfn.XLOOKUP(C9,'DONNÉES BRUTES'!A$3:A$90,'DONNÉES BRUTES'!Q$3:Q$90),"—")</f>
        <v>0.161</v>
      </c>
      <c r="K9" s="99">
        <f>IFERROR(_xlfn.XLOOKUP(C9,'DONNÉES BRUTES'!A$3:A$90,'DONNÉES BRUTES'!AB$3:AB$90),"—")</f>
        <v>74</v>
      </c>
      <c r="L9" s="99" t="str">
        <f>IFERROR(_xlfn.XLOOKUP(C9,'DONNÉES BRUTES'!A$3:A$90,'DONNÉES BRUTES'!AC$3:AC$90),"—")</f>
        <v>2026-04-23</v>
      </c>
      <c r="M9" s="99" t="str">
        <f>IFERROR(_xlfn.XLOOKUP(C9,'DONNÉES BRUTES'!A$3:A$90,'DONNÉES BRUTES'!AD$3:AD$90),"—")</f>
        <v>Neutre</v>
      </c>
      <c r="N9" s="88" t="s">
        <v>148</v>
      </c>
      <c r="O9" s="88">
        <v>92</v>
      </c>
      <c r="P9" s="88"/>
      <c r="Q9" s="88" t="s">
        <v>148</v>
      </c>
      <c r="R9" s="88">
        <v>34.299999999999997</v>
      </c>
      <c r="S9" s="88"/>
      <c r="T9" s="88" t="s">
        <v>148</v>
      </c>
      <c r="U9" s="88">
        <v>21</v>
      </c>
      <c r="V9" s="88"/>
      <c r="W9" s="88">
        <v>92</v>
      </c>
      <c r="X9" s="88">
        <v>73</v>
      </c>
      <c r="Y9" s="88"/>
      <c r="Z9" s="88"/>
      <c r="AA9" s="88"/>
    </row>
    <row r="10" spans="2:27" ht="13.95" customHeight="1" x14ac:dyDescent="0.3">
      <c r="B10" s="102">
        <v>4</v>
      </c>
      <c r="C10" s="102" t="str">
        <f>IFERROR(_xlfn.XLOOKUP(LARGE('DONNÉES BRUTES'!Y$3:Y$90,4),'DONNÉES BRUTES'!Y$3:Y$90,'DONNÉES BRUTES'!A$3:A$90),"—")</f>
        <v>CTRA</v>
      </c>
      <c r="D10" s="103" t="str">
        <f>IFERROR(_xlfn.XLOOKUP(C10,'DONNÉES BRUTES'!A$3:A$90,'DONNÉES BRUTES'!B$3:B$90),"—")</f>
        <v>Coterra Energy Inc.</v>
      </c>
      <c r="E10" s="104"/>
      <c r="F10" s="102" t="str">
        <f>IFERROR(_xlfn.XLOOKUP(C10,'DONNÉES BRUTES'!A$3:A$90,'DONNÉES BRUTES'!Y$3:Y$90)&amp;"/100","—")</f>
        <v>92/100</v>
      </c>
      <c r="G10" s="137">
        <f>IFERROR(_xlfn.XLOOKUP(C10,'DONNÉES BRUTES'!A$3:A$90,'DONNÉES BRUTES'!P$3:P$90),"—")</f>
        <v>0.40100000000000002</v>
      </c>
      <c r="H10" s="138">
        <f>IFERROR(_xlfn.XLOOKUP(C10,'DONNÉES BRUTES'!A$3:A$90,'DONNÉES BRUTES'!N$3:N$90),"—")</f>
        <v>0.63500000000000001</v>
      </c>
      <c r="I10" s="138">
        <f>IFERROR(_xlfn.XLOOKUP(C10,'DONNÉES BRUTES'!A$3:A$90,'DONNÉES BRUTES'!O$3:O$90),"—")</f>
        <v>0.22500000000000001</v>
      </c>
      <c r="J10" s="138">
        <f>IFERROR(_xlfn.XLOOKUP(C10,'DONNÉES BRUTES'!A$3:A$90,'DONNÉES BRUTES'!Q$3:Q$90),"—")</f>
        <v>0.11600000000000001</v>
      </c>
      <c r="K10" s="102">
        <f>IFERROR(_xlfn.XLOOKUP(C10,'DONNÉES BRUTES'!A$3:A$90,'DONNÉES BRUTES'!AB$3:AB$90),"—")</f>
        <v>69</v>
      </c>
      <c r="L10" s="102" t="str">
        <f>IFERROR(_xlfn.XLOOKUP(C10,'DONNÉES BRUTES'!A$3:A$90,'DONNÉES BRUTES'!AC$3:AC$90),"—")</f>
        <v>2026-05-04</v>
      </c>
      <c r="M10" s="102" t="str">
        <f>IFERROR(_xlfn.XLOOKUP(C10,'DONNÉES BRUTES'!A$3:A$90,'DONNÉES BRUTES'!AD$3:AD$90),"—")</f>
        <v>Surpondérer</v>
      </c>
      <c r="N10" s="88" t="s">
        <v>140</v>
      </c>
      <c r="O10" s="88">
        <v>91</v>
      </c>
      <c r="P10" s="88"/>
      <c r="Q10" s="88" t="s">
        <v>140</v>
      </c>
      <c r="R10" s="88">
        <v>19.2</v>
      </c>
      <c r="S10" s="88"/>
      <c r="T10" s="88" t="s">
        <v>140</v>
      </c>
      <c r="U10" s="88">
        <v>41.3</v>
      </c>
      <c r="V10" s="88"/>
      <c r="W10" s="88">
        <v>91</v>
      </c>
      <c r="X10" s="88">
        <v>74</v>
      </c>
      <c r="Y10" s="88"/>
      <c r="Z10" s="88"/>
      <c r="AA10" s="88"/>
    </row>
    <row r="11" spans="2:27" ht="13.95" customHeight="1" x14ac:dyDescent="0.3">
      <c r="B11" s="99">
        <v>5</v>
      </c>
      <c r="C11" s="99" t="str">
        <f>IFERROR(_xlfn.XLOOKUP(LARGE('DONNÉES BRUTES'!Y$3:Y$90,5),'DONNÉES BRUTES'!Y$3:Y$90,'DONNÉES BRUTES'!A$3:A$90),"—")</f>
        <v>OKE</v>
      </c>
      <c r="D11" s="100" t="str">
        <f>IFERROR(_xlfn.XLOOKUP(C11,'DONNÉES BRUTES'!A$3:A$90,'DONNÉES BRUTES'!B$3:B$90),"—")</f>
        <v>ONEOK, Inc.</v>
      </c>
      <c r="E11" s="101"/>
      <c r="F11" s="99" t="str">
        <f>IFERROR(_xlfn.XLOOKUP(C11,'DONNÉES BRUTES'!A$3:A$90,'DONNÉES BRUTES'!Y$3:Y$90)&amp;"/100","—")</f>
        <v>88/100</v>
      </c>
      <c r="G11" s="135">
        <f>IFERROR(_xlfn.XLOOKUP(C11,'DONNÉES BRUTES'!A$3:A$90,'DONNÉES BRUTES'!P$3:P$90),"—")</f>
        <v>0.55000000000000004</v>
      </c>
      <c r="H11" s="136">
        <f>IFERROR(_xlfn.XLOOKUP(C11,'DONNÉES BRUTES'!A$3:A$90,'DONNÉES BRUTES'!N$3:N$90),"—")</f>
        <v>0.23200000000000001</v>
      </c>
      <c r="I11" s="136">
        <f>IFERROR(_xlfn.XLOOKUP(C11,'DONNÉES BRUTES'!A$3:A$90,'DONNÉES BRUTES'!O$3:O$90),"—")</f>
        <v>0.10099999999999999</v>
      </c>
      <c r="J11" s="136">
        <f>IFERROR(_xlfn.XLOOKUP(C11,'DONNÉES BRUTES'!A$3:A$90,'DONNÉES BRUTES'!Q$3:Q$90),"—")</f>
        <v>0.151</v>
      </c>
      <c r="K11" s="99">
        <f>IFERROR(_xlfn.XLOOKUP(C11,'DONNÉES BRUTES'!A$3:A$90,'DONNÉES BRUTES'!AB$3:AB$90),"—")</f>
        <v>60</v>
      </c>
      <c r="L11" s="99" t="str">
        <f>IFERROR(_xlfn.XLOOKUP(C11,'DONNÉES BRUTES'!A$3:A$90,'DONNÉES BRUTES'!AC$3:AC$90),"—")</f>
        <v>2026-04-28</v>
      </c>
      <c r="M11" s="99" t="str">
        <f>IFERROR(_xlfn.XLOOKUP(C11,'DONNÉES BRUTES'!A$3:A$90,'DONNÉES BRUTES'!AD$3:AD$90),"—")</f>
        <v>Neutre</v>
      </c>
      <c r="N11" s="88" t="s">
        <v>101</v>
      </c>
      <c r="O11" s="88">
        <v>90</v>
      </c>
      <c r="P11" s="88"/>
      <c r="Q11" s="88" t="s">
        <v>101</v>
      </c>
      <c r="R11" s="88">
        <v>23.9</v>
      </c>
      <c r="S11" s="88"/>
      <c r="T11" s="88" t="s">
        <v>101</v>
      </c>
      <c r="U11" s="88">
        <v>54.3</v>
      </c>
      <c r="V11" s="88"/>
      <c r="W11" s="88">
        <v>90</v>
      </c>
      <c r="X11" s="88">
        <v>81</v>
      </c>
      <c r="Y11" s="88"/>
      <c r="Z11" s="88"/>
      <c r="AA11" s="88"/>
    </row>
    <row r="12" spans="2:27" ht="13.95" customHeight="1" x14ac:dyDescent="0.3">
      <c r="B12" s="102">
        <v>6</v>
      </c>
      <c r="C12" s="102" t="str">
        <f>IFERROR(_xlfn.XLOOKUP(LARGE('DONNÉES BRUTES'!Y$3:Y$90,6),'DONNÉES BRUTES'!Y$3:Y$90,'DONNÉES BRUTES'!A$3:A$90),"—")</f>
        <v>XYZ</v>
      </c>
      <c r="D12" s="103" t="str">
        <f>IFERROR(_xlfn.XLOOKUP(C12,'DONNÉES BRUTES'!A$3:A$90,'DONNÉES BRUTES'!B$3:B$90),"—")</f>
        <v>Block, Inc.</v>
      </c>
      <c r="E12" s="104"/>
      <c r="F12" s="102" t="str">
        <f>IFERROR(_xlfn.XLOOKUP(C12,'DONNÉES BRUTES'!A$3:A$90,'DONNÉES BRUTES'!Y$3:Y$90)&amp;"/100","—")</f>
        <v>87/100</v>
      </c>
      <c r="G12" s="137">
        <f>IFERROR(_xlfn.XLOOKUP(C12,'DONNÉES BRUTES'!A$3:A$90,'DONNÉES BRUTES'!P$3:P$90),"—")</f>
        <v>3.0000000000000001E-3</v>
      </c>
      <c r="H12" s="138">
        <f>IFERROR(_xlfn.XLOOKUP(C12,'DONNÉES BRUTES'!A$3:A$90,'DONNÉES BRUTES'!N$3:N$90),"—")</f>
        <v>0.14099999999999999</v>
      </c>
      <c r="I12" s="138">
        <f>IFERROR(_xlfn.XLOOKUP(C12,'DONNÉES BRUTES'!A$3:A$90,'DONNÉES BRUTES'!O$3:O$90),"—")</f>
        <v>5.4000000000000006E-2</v>
      </c>
      <c r="J12" s="138">
        <f>IFERROR(_xlfn.XLOOKUP(C12,'DONNÉES BRUTES'!A$3:A$90,'DONNÉES BRUTES'!Q$3:Q$90),"—")</f>
        <v>5.8999999999999997E-2</v>
      </c>
      <c r="K12" s="102">
        <f>IFERROR(_xlfn.XLOOKUP(C12,'DONNÉES BRUTES'!A$3:A$90,'DONNÉES BRUTES'!AB$3:AB$90),"—")</f>
        <v>70</v>
      </c>
      <c r="L12" s="102" t="str">
        <f>IFERROR(_xlfn.XLOOKUP(C12,'DONNÉES BRUTES'!A$3:A$90,'DONNÉES BRUTES'!AC$3:AC$90),"—")</f>
        <v>2026-04-30</v>
      </c>
      <c r="M12" s="102" t="str">
        <f>IFERROR(_xlfn.XLOOKUP(C12,'DONNÉES BRUTES'!A$3:A$90,'DONNÉES BRUTES'!AD$3:AD$90),"—")</f>
        <v>Sous-pondérer</v>
      </c>
      <c r="N12" s="88" t="s">
        <v>176</v>
      </c>
      <c r="O12" s="88">
        <v>88</v>
      </c>
      <c r="P12" s="88"/>
      <c r="Q12" s="88" t="s">
        <v>176</v>
      </c>
      <c r="R12" s="88">
        <v>19.100000000000001</v>
      </c>
      <c r="S12" s="88"/>
      <c r="T12" s="88" t="s">
        <v>176</v>
      </c>
      <c r="U12" s="88">
        <v>23.9</v>
      </c>
      <c r="V12" s="88"/>
      <c r="W12" s="88">
        <v>88</v>
      </c>
      <c r="X12" s="88">
        <v>68</v>
      </c>
      <c r="Y12" s="88"/>
      <c r="Z12" s="88"/>
      <c r="AA12" s="88"/>
    </row>
    <row r="13" spans="2:27" ht="13.95" customHeight="1" x14ac:dyDescent="0.3">
      <c r="B13" s="99">
        <v>7</v>
      </c>
      <c r="C13" s="99" t="str">
        <f>IFERROR(_xlfn.XLOOKUP(LARGE('DONNÉES BRUTES'!Y$3:Y$90,7),'DONNÉES BRUTES'!Y$3:Y$90,'DONNÉES BRUTES'!A$3:A$90),"—")</f>
        <v>PSX</v>
      </c>
      <c r="D13" s="100" t="str">
        <f>IFERROR(_xlfn.XLOOKUP(C13,'DONNÉES BRUTES'!A$3:A$90,'DONNÉES BRUTES'!B$3:B$90),"—")</f>
        <v>Phillips 66</v>
      </c>
      <c r="E13" s="101"/>
      <c r="F13" s="99" t="str">
        <f>IFERROR(_xlfn.XLOOKUP(C13,'DONNÉES BRUTES'!A$3:A$90,'DONNÉES BRUTES'!Y$3:Y$90)&amp;"/100","—")</f>
        <v>83/100</v>
      </c>
      <c r="G13" s="135">
        <f>IFERROR(_xlfn.XLOOKUP(C13,'DONNÉES BRUTES'!A$3:A$90,'DONNÉES BRUTES'!P$3:P$90),"—")</f>
        <v>-7.4999999999999997E-2</v>
      </c>
      <c r="H13" s="136">
        <f>IFERROR(_xlfn.XLOOKUP(C13,'DONNÉES BRUTES'!A$3:A$90,'DONNÉES BRUTES'!N$3:N$90),"—")</f>
        <v>7.3999999999999996E-2</v>
      </c>
      <c r="I13" s="136">
        <f>IFERROR(_xlfn.XLOOKUP(C13,'DONNÉES BRUTES'!A$3:A$90,'DONNÉES BRUTES'!O$3:O$90),"—")</f>
        <v>3.3000000000000002E-2</v>
      </c>
      <c r="J13" s="136">
        <f>IFERROR(_xlfn.XLOOKUP(C13,'DONNÉES BRUTES'!A$3:A$90,'DONNÉES BRUTES'!Q$3:Q$90),"—")</f>
        <v>0.151</v>
      </c>
      <c r="K13" s="99">
        <f>IFERROR(_xlfn.XLOOKUP(C13,'DONNÉES BRUTES'!A$3:A$90,'DONNÉES BRUTES'!AB$3:AB$90),"—")</f>
        <v>71</v>
      </c>
      <c r="L13" s="99" t="str">
        <f>IFERROR(_xlfn.XLOOKUP(C13,'DONNÉES BRUTES'!A$3:A$90,'DONNÉES BRUTES'!AC$3:AC$90),"—")</f>
        <v>2026-04-24</v>
      </c>
      <c r="M13" s="99" t="str">
        <f>IFERROR(_xlfn.XLOOKUP(C13,'DONNÉES BRUTES'!A$3:A$90,'DONNÉES BRUTES'!AD$3:AD$90),"—")</f>
        <v>Neutre</v>
      </c>
      <c r="N13" s="88" t="s">
        <v>281</v>
      </c>
      <c r="O13" s="88">
        <v>87</v>
      </c>
      <c r="P13" s="88"/>
      <c r="Q13" s="88" t="s">
        <v>281</v>
      </c>
      <c r="R13" s="88">
        <v>0.3</v>
      </c>
      <c r="S13" s="88"/>
      <c r="T13" s="88" t="s">
        <v>281</v>
      </c>
      <c r="U13" s="88">
        <v>14.1</v>
      </c>
      <c r="V13" s="88"/>
      <c r="W13" s="88">
        <v>87</v>
      </c>
      <c r="X13" s="88">
        <v>53</v>
      </c>
      <c r="Y13" s="88"/>
      <c r="Z13" s="88"/>
      <c r="AA13" s="88"/>
    </row>
    <row r="14" spans="2:27" ht="13.95" customHeight="1" x14ac:dyDescent="0.3">
      <c r="B14" s="102">
        <v>8</v>
      </c>
      <c r="C14" s="102" t="str">
        <f>IFERROR(_xlfn.XLOOKUP(LARGE('DONNÉES BRUTES'!Y$3:Y$90,8),'DONNÉES BRUTES'!Y$3:Y$90,'DONNÉES BRUTES'!A$3:A$90),"—")</f>
        <v>SMCI</v>
      </c>
      <c r="D14" s="103" t="str">
        <f>IFERROR(_xlfn.XLOOKUP(C14,'DONNÉES BRUTES'!A$3:A$90,'DONNÉES BRUTES'!B$3:B$90),"—")</f>
        <v>Super Micro Computer, Inc.</v>
      </c>
      <c r="E14" s="104"/>
      <c r="F14" s="102" t="str">
        <f>IFERROR(_xlfn.XLOOKUP(C14,'DONNÉES BRUTES'!A$3:A$90,'DONNÉES BRUTES'!Y$3:Y$90)&amp;"/100","—")</f>
        <v>81/100</v>
      </c>
      <c r="G14" s="137">
        <f>IFERROR(_xlfn.XLOOKUP(C14,'DONNÉES BRUTES'!A$3:A$90,'DONNÉES BRUTES'!P$3:P$90),"—")</f>
        <v>0.46600000000000003</v>
      </c>
      <c r="H14" s="138">
        <f>IFERROR(_xlfn.XLOOKUP(C14,'DONNÉES BRUTES'!A$3:A$90,'DONNÉES BRUTES'!N$3:N$90),"—")</f>
        <v>6.0999999999999999E-2</v>
      </c>
      <c r="I14" s="138" t="str">
        <f>IFERROR(_xlfn.XLOOKUP(C14,'DONNÉES BRUTES'!A$3:A$90,'DONNÉES BRUTES'!O$3:O$90),"—")</f>
        <v>—</v>
      </c>
      <c r="J14" s="138" t="str">
        <f>IFERROR(_xlfn.XLOOKUP(C14,'DONNÉES BRUTES'!A$3:A$90,'DONNÉES BRUTES'!Q$3:Q$90),"—")</f>
        <v>—</v>
      </c>
      <c r="K14" s="102">
        <f>IFERROR(_xlfn.XLOOKUP(C14,'DONNÉES BRUTES'!A$3:A$90,'DONNÉES BRUTES'!AB$3:AB$90),"—")</f>
        <v>58</v>
      </c>
      <c r="L14" s="102" t="str">
        <f>IFERROR(_xlfn.XLOOKUP(C14,'DONNÉES BRUTES'!A$3:A$90,'DONNÉES BRUTES'!AC$3:AC$90),"—")</f>
        <v>—</v>
      </c>
      <c r="M14" s="102" t="str">
        <f>IFERROR(_xlfn.XLOOKUP(C14,'DONNÉES BRUTES'!A$3:A$90,'DONNÉES BRUTES'!AD$3:AD$90),"—")</f>
        <v>Sous-pondérer</v>
      </c>
      <c r="N14" s="88" t="s">
        <v>113</v>
      </c>
      <c r="O14" s="88">
        <v>86</v>
      </c>
      <c r="P14" s="88"/>
      <c r="Q14" s="88" t="s">
        <v>113</v>
      </c>
      <c r="R14" s="88">
        <v>26.4</v>
      </c>
      <c r="S14" s="88"/>
      <c r="T14" s="88" t="s">
        <v>113</v>
      </c>
      <c r="U14" s="88">
        <v>28</v>
      </c>
      <c r="V14" s="88"/>
      <c r="W14" s="88">
        <v>86</v>
      </c>
      <c r="X14" s="88">
        <v>78</v>
      </c>
      <c r="Y14" s="88"/>
      <c r="Z14" s="88"/>
      <c r="AA14" s="88"/>
    </row>
    <row r="15" spans="2:27" ht="13.95" customHeight="1" x14ac:dyDescent="0.3">
      <c r="B15" s="99">
        <v>9</v>
      </c>
      <c r="C15" s="99" t="str">
        <f>IFERROR(_xlfn.XLOOKUP(LARGE('DONNÉES BRUTES'!Y$3:Y$90,9),'DONNÉES BRUTES'!Y$3:Y$90,'DONNÉES BRUTES'!A$3:A$90),"—")</f>
        <v>NOW</v>
      </c>
      <c r="D15" s="100" t="str">
        <f>IFERROR(_xlfn.XLOOKUP(C15,'DONNÉES BRUTES'!A$3:A$90,'DONNÉES BRUTES'!B$3:B$90),"—")</f>
        <v>ServiceNow, Inc.</v>
      </c>
      <c r="E15" s="101"/>
      <c r="F15" s="99" t="str">
        <f>IFERROR(_xlfn.XLOOKUP(C15,'DONNÉES BRUTES'!A$3:A$90,'DONNÉES BRUTES'!Y$3:Y$90)&amp;"/100","—")</f>
        <v>80/100</v>
      </c>
      <c r="G15" s="135">
        <f>IFERROR(_xlfn.XLOOKUP(C15,'DONNÉES BRUTES'!A$3:A$90,'DONNÉES BRUTES'!P$3:P$90),"—")</f>
        <v>0.20899999999999999</v>
      </c>
      <c r="H15" s="136">
        <f>IFERROR(_xlfn.XLOOKUP(C15,'DONNÉES BRUTES'!A$3:A$90,'DONNÉES BRUTES'!N$3:N$90),"—")</f>
        <v>0.22800000000000001</v>
      </c>
      <c r="I15" s="136">
        <f>IFERROR(_xlfn.XLOOKUP(C15,'DONNÉES BRUTES'!A$3:A$90,'DONNÉES BRUTES'!O$3:O$90),"—")</f>
        <v>0.13200000000000001</v>
      </c>
      <c r="J15" s="136">
        <f>IFERROR(_xlfn.XLOOKUP(C15,'DONNÉES BRUTES'!A$3:A$90,'DONNÉES BRUTES'!Q$3:Q$90),"—")</f>
        <v>0.13500000000000001</v>
      </c>
      <c r="K15" s="99">
        <f>IFERROR(_xlfn.XLOOKUP(C15,'DONNÉES BRUTES'!A$3:A$90,'DONNÉES BRUTES'!AB$3:AB$90),"—")</f>
        <v>66</v>
      </c>
      <c r="L15" s="99" t="str">
        <f>IFERROR(_xlfn.XLOOKUP(C15,'DONNÉES BRUTES'!A$3:A$90,'DONNÉES BRUTES'!AC$3:AC$90),"—")</f>
        <v>2026-04-22</v>
      </c>
      <c r="M15" s="99" t="str">
        <f>IFERROR(_xlfn.XLOOKUP(C15,'DONNÉES BRUTES'!A$3:A$90,'DONNÉES BRUTES'!AD$3:AD$90),"—")</f>
        <v>Sous-pondérer</v>
      </c>
      <c r="N15" s="88" t="s">
        <v>96</v>
      </c>
      <c r="O15" s="88">
        <v>85</v>
      </c>
      <c r="P15" s="88"/>
      <c r="Q15" s="88" t="s">
        <v>96</v>
      </c>
      <c r="R15" s="88">
        <v>23.9</v>
      </c>
      <c r="S15" s="88"/>
      <c r="T15" s="88" t="s">
        <v>96</v>
      </c>
      <c r="U15" s="88">
        <v>43.9</v>
      </c>
      <c r="V15" s="88"/>
      <c r="W15" s="88">
        <v>85</v>
      </c>
      <c r="X15" s="88">
        <v>84</v>
      </c>
      <c r="Y15" s="88"/>
      <c r="Z15" s="88"/>
      <c r="AA15" s="88"/>
    </row>
    <row r="16" spans="2:27" ht="13.95" customHeight="1" x14ac:dyDescent="0.3">
      <c r="B16" s="102">
        <v>10</v>
      </c>
      <c r="C16" s="102" t="str">
        <f>IFERROR(_xlfn.XLOOKUP(LARGE('DONNÉES BRUTES'!Y$3:Y$90,10),'DONNÉES BRUTES'!Y$3:Y$90,'DONNÉES BRUTES'!A$3:A$90),"—")</f>
        <v>TPL</v>
      </c>
      <c r="D16" s="103" t="str">
        <f>IFERROR(_xlfn.XLOOKUP(C16,'DONNÉES BRUTES'!A$3:A$90,'DONNÉES BRUTES'!B$3:B$90),"—")</f>
        <v>Texas Pacific Land Corporation</v>
      </c>
      <c r="E16" s="104"/>
      <c r="F16" s="102" t="str">
        <f>IFERROR(_xlfn.XLOOKUP(C16,'DONNÉES BRUTES'!A$3:A$90,'DONNÉES BRUTES'!Y$3:Y$90)&amp;"/100","—")</f>
        <v>79/100</v>
      </c>
      <c r="G16" s="137">
        <f>IFERROR(_xlfn.XLOOKUP(C16,'DONNÉES BRUTES'!A$3:A$90,'DONNÉES BRUTES'!P$3:P$90),"—")</f>
        <v>0.13100000000000001</v>
      </c>
      <c r="H16" s="138">
        <f>IFERROR(_xlfn.XLOOKUP(C16,'DONNÉES BRUTES'!A$3:A$90,'DONNÉES BRUTES'!N$3:N$90),"—")</f>
        <v>0.84399999999999997</v>
      </c>
      <c r="I16" s="138">
        <f>IFERROR(_xlfn.XLOOKUP(C16,'DONNÉES BRUTES'!A$3:A$90,'DONNÉES BRUTES'!O$3:O$90),"—")</f>
        <v>0.60299999999999998</v>
      </c>
      <c r="J16" s="138">
        <f>IFERROR(_xlfn.XLOOKUP(C16,'DONNÉES BRUTES'!A$3:A$90,'DONNÉES BRUTES'!Q$3:Q$90),"—")</f>
        <v>0.33</v>
      </c>
      <c r="K16" s="102">
        <f>IFERROR(_xlfn.XLOOKUP(C16,'DONNÉES BRUTES'!A$3:A$90,'DONNÉES BRUTES'!AB$3:AB$90),"—")</f>
        <v>59</v>
      </c>
      <c r="L16" s="102" t="str">
        <f>IFERROR(_xlfn.XLOOKUP(C16,'DONNÉES BRUTES'!A$3:A$90,'DONNÉES BRUTES'!AC$3:AC$90),"—")</f>
        <v>2026-05-06</v>
      </c>
      <c r="M16" s="102" t="str">
        <f>IFERROR(_xlfn.XLOOKUP(C16,'DONNÉES BRUTES'!A$3:A$90,'DONNÉES BRUTES'!AD$3:AD$90),"—")</f>
        <v>Neutre</v>
      </c>
      <c r="N16" s="88" t="s">
        <v>100</v>
      </c>
      <c r="O16" s="88">
        <v>84</v>
      </c>
      <c r="P16" s="88"/>
      <c r="Q16" s="88" t="s">
        <v>100</v>
      </c>
      <c r="R16" s="88">
        <v>28.6</v>
      </c>
      <c r="S16" s="88"/>
      <c r="T16" s="88" t="s">
        <v>100</v>
      </c>
      <c r="U16" s="88">
        <v>43.6</v>
      </c>
      <c r="V16" s="88"/>
      <c r="W16" s="88">
        <v>84</v>
      </c>
      <c r="X16" s="88">
        <v>83</v>
      </c>
      <c r="Y16" s="88"/>
      <c r="Z16" s="88"/>
      <c r="AA16" s="88"/>
    </row>
    <row r="17" spans="2:27" ht="13.95" customHeight="1" x14ac:dyDescent="0.3">
      <c r="B17" s="99">
        <v>11</v>
      </c>
      <c r="C17" s="99" t="str">
        <f>IFERROR(_xlfn.XLOOKUP(LARGE('DONNÉES BRUTES'!Y$3:Y$90,11),'DONNÉES BRUTES'!Y$3:Y$90,'DONNÉES BRUTES'!A$3:A$90),"—")</f>
        <v>WDAY</v>
      </c>
      <c r="D17" s="100" t="str">
        <f>IFERROR(_xlfn.XLOOKUP(C17,'DONNÉES BRUTES'!A$3:A$90,'DONNÉES BRUTES'!B$3:B$90),"—")</f>
        <v>Workday, Inc.</v>
      </c>
      <c r="E17" s="101"/>
      <c r="F17" s="99" t="str">
        <f>IFERROR(_xlfn.XLOOKUP(C17,'DONNÉES BRUTES'!A$3:A$90,'DONNÉES BRUTES'!Y$3:Y$90)&amp;"/100","—")</f>
        <v>77/100</v>
      </c>
      <c r="G17" s="135">
        <f>IFERROR(_xlfn.XLOOKUP(C17,'DONNÉES BRUTES'!A$3:A$90,'DONNÉES BRUTES'!P$3:P$90),"—")</f>
        <v>0.13100000000000001</v>
      </c>
      <c r="H17" s="136">
        <f>IFERROR(_xlfn.XLOOKUP(C17,'DONNÉES BRUTES'!A$3:A$90,'DONNÉES BRUTES'!N$3:N$90),"—")</f>
        <v>0.154</v>
      </c>
      <c r="I17" s="136" t="str">
        <f>IFERROR(_xlfn.XLOOKUP(C17,'DONNÉES BRUTES'!A$3:A$90,'DONNÉES BRUTES'!O$3:O$90),"—")</f>
        <v>—</v>
      </c>
      <c r="J17" s="136" t="str">
        <f>IFERROR(_xlfn.XLOOKUP(C17,'DONNÉES BRUTES'!A$3:A$90,'DONNÉES BRUTES'!Q$3:Q$90),"—")</f>
        <v>—</v>
      </c>
      <c r="K17" s="99">
        <f>IFERROR(_xlfn.XLOOKUP(C17,'DONNÉES BRUTES'!A$3:A$90,'DONNÉES BRUTES'!AB$3:AB$90),"—")</f>
        <v>63</v>
      </c>
      <c r="L17" s="99" t="str">
        <f>IFERROR(_xlfn.XLOOKUP(C17,'DONNÉES BRUTES'!A$3:A$90,'DONNÉES BRUTES'!AC$3:AC$90),"—")</f>
        <v>—</v>
      </c>
      <c r="M17" s="99" t="str">
        <f>IFERROR(_xlfn.XLOOKUP(C17,'DONNÉES BRUTES'!A$3:A$90,'DONNÉES BRUTES'!AD$3:AD$90),"—")</f>
        <v>Sous-pondérer</v>
      </c>
      <c r="N17" s="88" t="s">
        <v>122</v>
      </c>
      <c r="O17" s="88">
        <v>83</v>
      </c>
      <c r="P17" s="88"/>
      <c r="Q17" s="88" t="s">
        <v>122</v>
      </c>
      <c r="R17" s="88">
        <v>23.7</v>
      </c>
      <c r="S17" s="88"/>
      <c r="T17" s="88" t="s">
        <v>122</v>
      </c>
      <c r="U17" s="88">
        <v>35.4</v>
      </c>
      <c r="V17" s="88"/>
      <c r="W17" s="88">
        <v>83</v>
      </c>
      <c r="X17" s="88">
        <v>77</v>
      </c>
      <c r="Y17" s="88"/>
      <c r="Z17" s="88"/>
      <c r="AA17" s="88"/>
    </row>
    <row r="18" spans="2:27" ht="13.95" customHeight="1" x14ac:dyDescent="0.3">
      <c r="B18" s="102">
        <v>12</v>
      </c>
      <c r="C18" s="102" t="str">
        <f>IFERROR(_xlfn.XLOOKUP(LARGE('DONNÉES BRUTES'!Y$3:Y$90,12),'DONNÉES BRUTES'!Y$3:Y$90,'DONNÉES BRUTES'!A$3:A$90),"—")</f>
        <v>UBER</v>
      </c>
      <c r="D18" s="103" t="str">
        <f>IFERROR(_xlfn.XLOOKUP(C18,'DONNÉES BRUTES'!A$3:A$90,'DONNÉES BRUTES'!B$3:B$90),"—")</f>
        <v>Uber Technologies, Inc.</v>
      </c>
      <c r="E18" s="104"/>
      <c r="F18" s="102" t="str">
        <f>IFERROR(_xlfn.XLOOKUP(C18,'DONNÉES BRUTES'!A$3:A$90,'DONNÉES BRUTES'!Y$3:Y$90)&amp;"/100","—")</f>
        <v>76/100</v>
      </c>
      <c r="G18" s="137">
        <f>IFERROR(_xlfn.XLOOKUP(C18,'DONNÉES BRUTES'!A$3:A$90,'DONNÉES BRUTES'!P$3:P$90),"—")</f>
        <v>0.183</v>
      </c>
      <c r="H18" s="138">
        <f>IFERROR(_xlfn.XLOOKUP(C18,'DONNÉES BRUTES'!A$3:A$90,'DONNÉES BRUTES'!N$3:N$90),"—")</f>
        <v>0.13400000000000001</v>
      </c>
      <c r="I18" s="138" t="str">
        <f>IFERROR(_xlfn.XLOOKUP(C18,'DONNÉES BRUTES'!A$3:A$90,'DONNÉES BRUTES'!O$3:O$90),"—")</f>
        <v>—</v>
      </c>
      <c r="J18" s="138" t="str">
        <f>IFERROR(_xlfn.XLOOKUP(C18,'DONNÉES BRUTES'!A$3:A$90,'DONNÉES BRUTES'!Q$3:Q$90),"—")</f>
        <v>—</v>
      </c>
      <c r="K18" s="102">
        <f>IFERROR(_xlfn.XLOOKUP(C18,'DONNÉES BRUTES'!A$3:A$90,'DONNÉES BRUTES'!AB$3:AB$90),"—")</f>
        <v>63</v>
      </c>
      <c r="L18" s="102" t="str">
        <f>IFERROR(_xlfn.XLOOKUP(C18,'DONNÉES BRUTES'!A$3:A$90,'DONNÉES BRUTES'!AC$3:AC$90),"—")</f>
        <v>—</v>
      </c>
      <c r="M18" s="102" t="str">
        <f>IFERROR(_xlfn.XLOOKUP(C18,'DONNÉES BRUTES'!A$3:A$90,'DONNÉES BRUTES'!AD$3:AD$90),"—")</f>
        <v>Sous-pondérer</v>
      </c>
      <c r="N18" s="88" t="s">
        <v>282</v>
      </c>
      <c r="O18" s="88">
        <v>81</v>
      </c>
      <c r="P18" s="88"/>
      <c r="Q18" s="88" t="s">
        <v>282</v>
      </c>
      <c r="R18" s="88">
        <v>46.6</v>
      </c>
      <c r="S18" s="88"/>
      <c r="T18" s="88" t="s">
        <v>282</v>
      </c>
      <c r="U18" s="88">
        <v>6.1</v>
      </c>
      <c r="V18" s="88"/>
      <c r="W18" s="88">
        <v>81</v>
      </c>
      <c r="X18" s="88">
        <v>32</v>
      </c>
      <c r="Y18" s="88"/>
      <c r="Z18" s="88"/>
      <c r="AA18" s="88"/>
    </row>
    <row r="19" spans="2:27" ht="13.95" customHeight="1" x14ac:dyDescent="0.3">
      <c r="B19" s="99">
        <v>13</v>
      </c>
      <c r="C19" s="99" t="str">
        <f>IFERROR(_xlfn.XLOOKUP(LARGE('DONNÉES BRUTES'!Y$3:Y$90,13),'DONNÉES BRUTES'!Y$3:Y$90,'DONNÉES BRUTES'!A$3:A$90),"—")</f>
        <v>FANG</v>
      </c>
      <c r="D19" s="100" t="str">
        <f>IFERROR(_xlfn.XLOOKUP(C19,'DONNÉES BRUTES'!A$3:A$90,'DONNÉES BRUTES'!B$3:B$90),"—")</f>
        <v>Diamondback Energy, Inc.</v>
      </c>
      <c r="E19" s="101"/>
      <c r="F19" s="99" t="str">
        <f>IFERROR(_xlfn.XLOOKUP(C19,'DONNÉES BRUTES'!A$3:A$90,'DONNÉES BRUTES'!Y$3:Y$90)&amp;"/100","—")</f>
        <v>75/100</v>
      </c>
      <c r="G19" s="135">
        <f>IFERROR(_xlfn.XLOOKUP(C19,'DONNÉES BRUTES'!A$3:A$90,'DONNÉES BRUTES'!P$3:P$90),"—")</f>
        <v>0.35399999999999998</v>
      </c>
      <c r="H19" s="136">
        <f>IFERROR(_xlfn.XLOOKUP(C19,'DONNÉES BRUTES'!A$3:A$90,'DONNÉES BRUTES'!N$3:N$90),"—")</f>
        <v>0.48099999999999998</v>
      </c>
      <c r="I19" s="136">
        <f>IFERROR(_xlfn.XLOOKUP(C19,'DONNÉES BRUTES'!A$3:A$90,'DONNÉES BRUTES'!O$3:O$90),"—")</f>
        <v>0.111</v>
      </c>
      <c r="J19" s="136">
        <f>IFERROR(_xlfn.XLOOKUP(C19,'DONNÉES BRUTES'!A$3:A$90,'DONNÉES BRUTES'!Q$3:Q$90),"—")</f>
        <v>4.4999999999999998E-2</v>
      </c>
      <c r="K19" s="99">
        <f>IFERROR(_xlfn.XLOOKUP(C19,'DONNÉES BRUTES'!A$3:A$90,'DONNÉES BRUTES'!AB$3:AB$90),"—")</f>
        <v>57</v>
      </c>
      <c r="L19" s="99" t="str">
        <f>IFERROR(_xlfn.XLOOKUP(C19,'DONNÉES BRUTES'!A$3:A$90,'DONNÉES BRUTES'!AC$3:AC$90),"—")</f>
        <v>2026-05-04</v>
      </c>
      <c r="M19" s="99" t="str">
        <f>IFERROR(_xlfn.XLOOKUP(C19,'DONNÉES BRUTES'!A$3:A$90,'DONNÉES BRUTES'!AD$3:AD$90),"—")</f>
        <v>Neutre</v>
      </c>
      <c r="N19" s="88" t="s">
        <v>283</v>
      </c>
      <c r="O19" s="88">
        <v>80</v>
      </c>
      <c r="P19" s="88"/>
      <c r="Q19" s="88" t="s">
        <v>283</v>
      </c>
      <c r="R19" s="88">
        <v>20.9</v>
      </c>
      <c r="S19" s="88"/>
      <c r="T19" s="88" t="s">
        <v>283</v>
      </c>
      <c r="U19" s="88">
        <v>22.8</v>
      </c>
      <c r="V19" s="88"/>
      <c r="W19" s="88">
        <v>80</v>
      </c>
      <c r="X19" s="88">
        <v>53</v>
      </c>
      <c r="Y19" s="88"/>
      <c r="Z19" s="88"/>
      <c r="AA19" s="88"/>
    </row>
    <row r="20" spans="2:27" ht="13.95" customHeight="1" x14ac:dyDescent="0.3">
      <c r="B20" s="102">
        <v>14</v>
      </c>
      <c r="C20" s="102" t="str">
        <f>IFERROR(_xlfn.XLOOKUP(LARGE('DONNÉES BRUTES'!Y$3:Y$90,14),'DONNÉES BRUTES'!Y$3:Y$90,'DONNÉES BRUTES'!A$3:A$90),"—")</f>
        <v>MSI</v>
      </c>
      <c r="D20" s="103" t="str">
        <f>IFERROR(_xlfn.XLOOKUP(C20,'DONNÉES BRUTES'!A$3:A$90,'DONNÉES BRUTES'!B$3:B$90),"—")</f>
        <v>Motorola Solutions, Inc.</v>
      </c>
      <c r="E20" s="104"/>
      <c r="F20" s="102" t="str">
        <f>IFERROR(_xlfn.XLOOKUP(C20,'DONNÉES BRUTES'!A$3:A$90,'DONNÉES BRUTES'!Y$3:Y$90)&amp;"/100","—")</f>
        <v>74/100</v>
      </c>
      <c r="G20" s="137">
        <f>IFERROR(_xlfn.XLOOKUP(C20,'DONNÉES BRUTES'!A$3:A$90,'DONNÉES BRUTES'!P$3:P$90),"—")</f>
        <v>0.08</v>
      </c>
      <c r="H20" s="138">
        <f>IFERROR(_xlfn.XLOOKUP(C20,'DONNÉES BRUTES'!A$3:A$90,'DONNÉES BRUTES'!N$3:N$90),"—")</f>
        <v>0.308</v>
      </c>
      <c r="I20" s="138">
        <f>IFERROR(_xlfn.XLOOKUP(C20,'DONNÉES BRUTES'!A$3:A$90,'DONNÉES BRUTES'!O$3:O$90),"—")</f>
        <v>0.184</v>
      </c>
      <c r="J20" s="138">
        <f>IFERROR(_xlfn.XLOOKUP(C20,'DONNÉES BRUTES'!A$3:A$90,'DONNÉES BRUTES'!Q$3:Q$90),"—")</f>
        <v>0.89400000000000002</v>
      </c>
      <c r="K20" s="102">
        <f>IFERROR(_xlfn.XLOOKUP(C20,'DONNÉES BRUTES'!A$3:A$90,'DONNÉES BRUTES'!AB$3:AB$90),"—")</f>
        <v>77</v>
      </c>
      <c r="L20" s="102" t="str">
        <f>IFERROR(_xlfn.XLOOKUP(C20,'DONNÉES BRUTES'!A$3:A$90,'DONNÉES BRUTES'!AC$3:AC$90),"—")</f>
        <v>2026-04-30</v>
      </c>
      <c r="M20" s="102" t="str">
        <f>IFERROR(_xlfn.XLOOKUP(C20,'DONNÉES BRUTES'!A$3:A$90,'DONNÉES BRUTES'!AD$3:AD$90),"—")</f>
        <v>Neutre</v>
      </c>
      <c r="N20" s="88" t="s">
        <v>221</v>
      </c>
      <c r="O20" s="88">
        <v>79</v>
      </c>
      <c r="P20" s="88"/>
      <c r="Q20" s="88" t="s">
        <v>221</v>
      </c>
      <c r="R20" s="88">
        <v>15.1</v>
      </c>
      <c r="S20" s="88"/>
      <c r="T20" s="88" t="s">
        <v>221</v>
      </c>
      <c r="U20" s="88">
        <v>35.4</v>
      </c>
      <c r="V20" s="88"/>
      <c r="W20" s="88">
        <v>79</v>
      </c>
      <c r="X20" s="88">
        <v>66</v>
      </c>
      <c r="Y20" s="88"/>
      <c r="Z20" s="88"/>
      <c r="AA20" s="88"/>
    </row>
    <row r="21" spans="2:27" ht="13.95" customHeight="1" x14ac:dyDescent="0.3">
      <c r="B21" s="99">
        <v>15</v>
      </c>
      <c r="C21" s="99" t="str">
        <f>IFERROR(_xlfn.XLOOKUP(LARGE('DONNÉES BRUTES'!Y$3:Y$90,15),'DONNÉES BRUTES'!Y$3:Y$90,'DONNÉES BRUTES'!A$3:A$90),"—")</f>
        <v>INTU</v>
      </c>
      <c r="D21" s="100" t="str">
        <f>IFERROR(_xlfn.XLOOKUP(C21,'DONNÉES BRUTES'!A$3:A$90,'DONNÉES BRUTES'!B$3:B$90),"—")</f>
        <v>Intuit Inc.</v>
      </c>
      <c r="E21" s="101"/>
      <c r="F21" s="99" t="str">
        <f>IFERROR(_xlfn.XLOOKUP(C21,'DONNÉES BRUTES'!A$3:A$90,'DONNÉES BRUTES'!Y$3:Y$90)&amp;"/100","—")</f>
        <v>72/100</v>
      </c>
      <c r="G21" s="135">
        <f>IFERROR(_xlfn.XLOOKUP(C21,'DONNÉES BRUTES'!A$3:A$90,'DONNÉES BRUTES'!P$3:P$90),"—")</f>
        <v>0.156</v>
      </c>
      <c r="H21" s="136">
        <f>IFERROR(_xlfn.XLOOKUP(C21,'DONNÉES BRUTES'!A$3:A$90,'DONNÉES BRUTES'!N$3:N$90),"—")</f>
        <v>0.313</v>
      </c>
      <c r="I21" s="136">
        <f>IFERROR(_xlfn.XLOOKUP(C21,'DONNÉES BRUTES'!A$3:A$90,'DONNÉES BRUTES'!O$3:O$90),"—")</f>
        <v>0.20499999999999999</v>
      </c>
      <c r="J21" s="136">
        <f>IFERROR(_xlfn.XLOOKUP(C21,'DONNÉES BRUTES'!A$3:A$90,'DONNÉES BRUTES'!Q$3:Q$90),"—")</f>
        <v>0.19600000000000001</v>
      </c>
      <c r="K21" s="99">
        <f>IFERROR(_xlfn.XLOOKUP(C21,'DONNÉES BRUTES'!A$3:A$90,'DONNÉES BRUTES'!AB$3:AB$90),"—")</f>
        <v>67</v>
      </c>
      <c r="L21" s="99" t="str">
        <f>IFERROR(_xlfn.XLOOKUP(C21,'DONNÉES BRUTES'!A$3:A$90,'DONNÉES BRUTES'!AC$3:AC$90),"—")</f>
        <v>2026-05-21</v>
      </c>
      <c r="M21" s="99" t="str">
        <f>IFERROR(_xlfn.XLOOKUP(C21,'DONNÉES BRUTES'!A$3:A$90,'DONNÉES BRUTES'!AD$3:AD$90),"—")</f>
        <v>Neutre</v>
      </c>
      <c r="N21" s="88" t="s">
        <v>284</v>
      </c>
      <c r="O21" s="88">
        <v>78</v>
      </c>
      <c r="P21" s="88"/>
      <c r="Q21" s="88" t="s">
        <v>284</v>
      </c>
      <c r="R21" s="88">
        <v>7.6</v>
      </c>
      <c r="S21" s="88"/>
      <c r="T21" s="88" t="s">
        <v>284</v>
      </c>
      <c r="U21" s="88">
        <v>25.6</v>
      </c>
      <c r="V21" s="88"/>
      <c r="W21" s="88">
        <v>78</v>
      </c>
      <c r="X21" s="88">
        <v>60</v>
      </c>
      <c r="Y21" s="88"/>
      <c r="Z21" s="88"/>
      <c r="AA21" s="88"/>
    </row>
    <row r="22" spans="2:27" ht="13.95" customHeight="1" x14ac:dyDescent="0.3">
      <c r="B22" s="102">
        <v>16</v>
      </c>
      <c r="C22" s="102" t="str">
        <f>IFERROR(_xlfn.XLOOKUP(LARGE('DONNÉES BRUTES'!Y$3:Y$90,16),'DONNÉES BRUTES'!Y$3:Y$90,'DONNÉES BRUTES'!A$3:A$90),"—")</f>
        <v>WMB</v>
      </c>
      <c r="D22" s="103" t="str">
        <f>IFERROR(_xlfn.XLOOKUP(C22,'DONNÉES BRUTES'!A$3:A$90,'DONNÉES BRUTES'!B$3:B$90),"—")</f>
        <v>The Williams Companies, Inc.</v>
      </c>
      <c r="E22" s="104"/>
      <c r="F22" s="102" t="str">
        <f>IFERROR(_xlfn.XLOOKUP(C22,'DONNÉES BRUTES'!A$3:A$90,'DONNÉES BRUTES'!Y$3:Y$90)&amp;"/100","—")</f>
        <v>71/100</v>
      </c>
      <c r="G22" s="137">
        <f>IFERROR(_xlfn.XLOOKUP(C22,'DONNÉES BRUTES'!A$3:A$90,'DONNÉES BRUTES'!P$3:P$90),"—")</f>
        <v>0.13800000000000001</v>
      </c>
      <c r="H22" s="138">
        <f>IFERROR(_xlfn.XLOOKUP(C22,'DONNÉES BRUTES'!A$3:A$90,'DONNÉES BRUTES'!N$3:N$90),"—")</f>
        <v>0.62</v>
      </c>
      <c r="I22" s="138">
        <f>IFERROR(_xlfn.XLOOKUP(C22,'DONNÉES BRUTES'!A$3:A$90,'DONNÉES BRUTES'!O$3:O$90),"—")</f>
        <v>0.21899999999999997</v>
      </c>
      <c r="J22" s="138">
        <f>IFERROR(_xlfn.XLOOKUP(C22,'DONNÉES BRUTES'!A$3:A$90,'DONNÉES BRUTES'!Q$3:Q$90),"—")</f>
        <v>0.20499999999999999</v>
      </c>
      <c r="K22" s="102">
        <f>IFERROR(_xlfn.XLOOKUP(C22,'DONNÉES BRUTES'!A$3:A$90,'DONNÉES BRUTES'!AB$3:AB$90),"—")</f>
        <v>53</v>
      </c>
      <c r="L22" s="102" t="str">
        <f>IFERROR(_xlfn.XLOOKUP(C22,'DONNÉES BRUTES'!A$3:A$90,'DONNÉES BRUTES'!AC$3:AC$90),"—")</f>
        <v>2026-05-04</v>
      </c>
      <c r="M22" s="102" t="str">
        <f>IFERROR(_xlfn.XLOOKUP(C22,'DONNÉES BRUTES'!A$3:A$90,'DONNÉES BRUTES'!AD$3:AD$90),"—")</f>
        <v>Neutre</v>
      </c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</row>
    <row r="23" spans="2:27" ht="13.95" customHeight="1" x14ac:dyDescent="0.3">
      <c r="B23" s="99">
        <v>17</v>
      </c>
      <c r="C23" s="99" t="str">
        <f>IFERROR(_xlfn.XLOOKUP(LARGE('DONNÉES BRUTES'!Y$3:Y$90,17),'DONNÉES BRUTES'!Y$3:Y$90,'DONNÉES BRUTES'!A$3:A$90),"—")</f>
        <v>FSLR</v>
      </c>
      <c r="D23" s="100" t="str">
        <f>IFERROR(_xlfn.XLOOKUP(C23,'DONNÉES BRUTES'!A$3:A$90,'DONNÉES BRUTES'!B$3:B$90),"—")</f>
        <v>First Solar, Inc.</v>
      </c>
      <c r="E23" s="101"/>
      <c r="F23" s="99" t="str">
        <f>IFERROR(_xlfn.XLOOKUP(C23,'DONNÉES BRUTES'!A$3:A$90,'DONNÉES BRUTES'!Y$3:Y$90)&amp;"/100","—")</f>
        <v>69/100</v>
      </c>
      <c r="G23" s="136">
        <f>IFERROR(_xlfn.XLOOKUP(C23,'DONNÉES BRUTES'!A$3:A$90,'DONNÉES BRUTES'!P$3:P$90),"—")</f>
        <v>0.24100000000000002</v>
      </c>
      <c r="H23" s="136">
        <f>IFERROR(_xlfn.XLOOKUP(C23,'DONNÉES BRUTES'!A$3:A$90,'DONNÉES BRUTES'!N$3:N$90),"—")</f>
        <v>0.41299999999999998</v>
      </c>
      <c r="I23" s="136">
        <f>IFERROR(_xlfn.XLOOKUP(D23,'DONNÉES BRUTES'!B$3:B$90,'DONNÉES BRUTES'!O$3:O$90),"—")</f>
        <v>0.29299999999999998</v>
      </c>
      <c r="J23" s="136" t="str">
        <f>IFERROR(_xlfn.XLOOKUP(E23,'DONNÉES BRUTES'!C$3:C$90,'DONNÉES BRUTES'!P$3:P$90),"—")</f>
        <v>—</v>
      </c>
      <c r="K23" s="99">
        <f>IFERROR(_xlfn.XLOOKUP(C23,'DONNÉES BRUTES'!A$3:A$90,'DONNÉES BRUTES'!AB$3:AB$90),"—")</f>
        <v>63</v>
      </c>
      <c r="L23" s="99" t="str">
        <f>IFERROR(_xlfn.XLOOKUP(C23,'DONNÉES BRUTES'!A$3:A$90,'DONNÉES BRUTES'!AC$3:AC$90),"—")</f>
        <v>2026-04-28</v>
      </c>
      <c r="M23" s="99" t="str">
        <f>IFERROR(_xlfn.XLOOKUP(C23,'DONNÉES BRUTES'!A$3:A$90,'DONNÉES BRUTES'!AD$3:AD$90),"—")</f>
        <v>Neutre</v>
      </c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</row>
    <row r="24" spans="2:27" ht="13.95" customHeight="1" x14ac:dyDescent="0.3">
      <c r="B24" s="102">
        <v>18</v>
      </c>
      <c r="C24" s="102" t="str">
        <f>IFERROR(_xlfn.XLOOKUP(LARGE('DONNÉES BRUTES'!Y$3:Y$90,18),'DONNÉES BRUTES'!Y$3:Y$90,'DONNÉES BRUTES'!A$3:A$90),"—")</f>
        <v>TRGP</v>
      </c>
      <c r="D24" s="103" t="str">
        <f>IFERROR(_xlfn.XLOOKUP(C24,'DONNÉES BRUTES'!A$3:A$90,'DONNÉES BRUTES'!B$3:B$90),"—")</f>
        <v>Targa Resources Corp.</v>
      </c>
      <c r="E24" s="104"/>
      <c r="F24" s="102" t="str">
        <f>IFERROR(_xlfn.XLOOKUP(C24,'DONNÉES BRUTES'!A$3:A$90,'DONNÉES BRUTES'!Y$3:Y$90)&amp;"/100","—")</f>
        <v>67/100</v>
      </c>
      <c r="G24" s="137">
        <f>IFERROR(_xlfn.XLOOKUP(C24,'DONNÉES BRUTES'!A$3:A$90,'DONNÉES BRUTES'!P$3:P$90),"—")</f>
        <v>3.9E-2</v>
      </c>
      <c r="H24" s="138">
        <f>IFERROR(_xlfn.XLOOKUP(C24,'DONNÉES BRUTES'!A$3:A$90,'DONNÉES BRUTES'!N$3:N$90),"—")</f>
        <v>0.28499999999999998</v>
      </c>
      <c r="I24" s="138">
        <f>IFERROR(_xlfn.XLOOKUP(C24,'DONNÉES BRUTES'!A$3:A$90,'DONNÉES BRUTES'!O$3:O$90),"—")</f>
        <v>0.113</v>
      </c>
      <c r="J24" s="138">
        <f>IFERROR(_xlfn.XLOOKUP(C24,'DONNÉES BRUTES'!A$3:A$90,'DONNÉES BRUTES'!Q$3:Q$90),"—")</f>
        <v>0.627</v>
      </c>
      <c r="K24" s="102">
        <f>IFERROR(_xlfn.XLOOKUP(C24,'DONNÉES BRUTES'!A$3:A$90,'DONNÉES BRUTES'!AB$3:AB$90),"—")</f>
        <v>61</v>
      </c>
      <c r="L24" s="102" t="str">
        <f>IFERROR(_xlfn.XLOOKUP(C24,'DONNÉES BRUTES'!A$3:A$90,'DONNÉES BRUTES'!AC$3:AC$90),"—")</f>
        <v>2026-04-30</v>
      </c>
      <c r="M24" s="102" t="str">
        <f>IFERROR(_xlfn.XLOOKUP(C24,'DONNÉES BRUTES'!A$3:A$90,'DONNÉES BRUTES'!AD$3:AD$90),"—")</f>
        <v>Neutre</v>
      </c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</row>
    <row r="25" spans="2:27" ht="13.95" customHeight="1" x14ac:dyDescent="0.3">
      <c r="B25" s="99">
        <v>19</v>
      </c>
      <c r="C25" s="99" t="str">
        <f>IFERROR(_xlfn.XLOOKUP(LARGE('DONNÉES BRUTES'!Y$3:Y$90,19),'DONNÉES BRUTES'!Y$3:Y$90,'DONNÉES BRUTES'!A$3:A$90),"—")</f>
        <v>ADBE</v>
      </c>
      <c r="D25" s="100" t="str">
        <f>IFERROR(_xlfn.XLOOKUP(C25,'DONNÉES BRUTES'!A$3:A$90,'DONNÉES BRUTES'!B$3:B$90),"—")</f>
        <v>Adobe Inc.</v>
      </c>
      <c r="E25" s="101"/>
      <c r="F25" s="99" t="str">
        <f>IFERROR(_xlfn.XLOOKUP(C25,'DONNÉES BRUTES'!A$3:A$90,'DONNÉES BRUTES'!Y$3:Y$90)&amp;"/100","—")</f>
        <v>65/100</v>
      </c>
      <c r="G25" s="135">
        <f>IFERROR(_xlfn.XLOOKUP(C25,'DONNÉES BRUTES'!A$3:A$90,'DONNÉES BRUTES'!P$3:P$90),"—")</f>
        <v>0.105</v>
      </c>
      <c r="H25" s="136">
        <f>IFERROR(_xlfn.XLOOKUP(C25,'DONNÉES BRUTES'!A$3:A$90,'DONNÉES BRUTES'!N$3:N$90),"—")</f>
        <v>0.41299999999999998</v>
      </c>
      <c r="I25" s="136">
        <f>IFERROR(_xlfn.XLOOKUP(C25,'DONNÉES BRUTES'!A$3:A$90,'DONNÉES BRUTES'!O$3:O$90),"—")</f>
        <v>0.3</v>
      </c>
      <c r="J25" s="136">
        <f>IFERROR(_xlfn.XLOOKUP(C25,'DONNÉES BRUTES'!A$3:A$90,'DONNÉES BRUTES'!Q$3:Q$90),"—")</f>
        <v>0.61299999999999999</v>
      </c>
      <c r="K25" s="99">
        <f>IFERROR(_xlfn.XLOOKUP(C25,'DONNÉES BRUTES'!A$3:A$90,'DONNÉES BRUTES'!AB$3:AB$90),"—")</f>
        <v>69</v>
      </c>
      <c r="L25" s="99" t="str">
        <f>IFERROR(_xlfn.XLOOKUP(C25,'DONNÉES BRUTES'!A$3:A$90,'DONNÉES BRUTES'!AC$3:AC$90),"—")</f>
        <v>2026-06-11</v>
      </c>
      <c r="M25" s="99" t="str">
        <f>IFERROR(_xlfn.XLOOKUP(C25,'DONNÉES BRUTES'!A$3:A$90,'DONNÉES BRUTES'!AD$3:AD$90),"—")</f>
        <v>Neutre</v>
      </c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</row>
    <row r="26" spans="2:27" ht="13.95" customHeight="1" x14ac:dyDescent="0.3">
      <c r="B26" s="105">
        <v>20</v>
      </c>
      <c r="C26" s="105" t="str">
        <f>IFERROR(_xlfn.XLOOKUP(LARGE('DONNÉES BRUTES'!Y$3:Y$90,20),'DONNÉES BRUTES'!Y$3:Y$90,'DONNÉES BRUTES'!A$3:A$90),"—")</f>
        <v>QCOM</v>
      </c>
      <c r="D26" s="106" t="str">
        <f>IFERROR(_xlfn.XLOOKUP(C26,'DONNÉES BRUTES'!A$3:A$90,'DONNÉES BRUTES'!B$3:B$90),"—")</f>
        <v>QUALCOMM Incorporated</v>
      </c>
      <c r="E26" s="107"/>
      <c r="F26" s="105" t="str">
        <f>IFERROR(_xlfn.XLOOKUP(C26,'DONNÉES BRUTES'!A$3:A$90,'DONNÉES BRUTES'!Y$3:Y$90)&amp;"/100","—")</f>
        <v>63/100</v>
      </c>
      <c r="G26" s="139">
        <f>IFERROR(_xlfn.XLOOKUP(C26,'DONNÉES BRUTES'!A$3:A$90,'DONNÉES BRUTES'!P$3:P$90),"—")</f>
        <v>0.13700000000000001</v>
      </c>
      <c r="H26" s="140">
        <f>IFERROR(_xlfn.XLOOKUP(C26,'DONNÉES BRUTES'!A$3:A$90,'DONNÉES BRUTES'!N$3:N$90),"—")</f>
        <v>0.33700000000000002</v>
      </c>
      <c r="I26" s="140" t="str">
        <f>IFERROR(_xlfn.XLOOKUP(C26,'DONNÉES BRUTES'!A$3:A$90,'DONNÉES BRUTES'!O$3:O$90),"—")</f>
        <v>—</v>
      </c>
      <c r="J26" s="140" t="str">
        <f>IFERROR(_xlfn.XLOOKUP(C26,'DONNÉES BRUTES'!A$3:A$90,'DONNÉES BRUTES'!Q$3:Q$90),"—")</f>
        <v>—</v>
      </c>
      <c r="K26" s="105">
        <f>IFERROR(_xlfn.XLOOKUP(C26,'DONNÉES BRUTES'!A$3:A$90,'DONNÉES BRUTES'!AB$3:AB$90),"—")</f>
        <v>63</v>
      </c>
      <c r="L26" s="105" t="str">
        <f>IFERROR(_xlfn.XLOOKUP(C26,'DONNÉES BRUTES'!A$3:A$90,'DONNÉES BRUTES'!AC$3:AC$90),"—")</f>
        <v>—</v>
      </c>
      <c r="M26" s="105" t="str">
        <f>IFERROR(_xlfn.XLOOKUP(C26,'DONNÉES BRUTES'!A$3:A$90,'DONNÉES BRUTES'!AD$3:AD$90),"—")</f>
        <v>Sous-pondérer</v>
      </c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</row>
    <row r="27" spans="2:27" ht="13.95" customHeight="1" x14ac:dyDescent="0.3"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</row>
    <row r="28" spans="2:27" ht="13.95" customHeight="1" x14ac:dyDescent="0.3">
      <c r="B28" s="7" t="s">
        <v>785</v>
      </c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</row>
    <row r="29" spans="2:27" ht="13.95" customHeight="1" x14ac:dyDescent="0.3"/>
    <row r="30" spans="2:27" ht="13.95" customHeight="1" x14ac:dyDescent="0.3"/>
    <row r="31" spans="2:27" ht="13.95" customHeight="1" x14ac:dyDescent="0.3"/>
    <row r="32" spans="2:27" ht="13.95" customHeight="1" x14ac:dyDescent="0.3"/>
    <row r="33" ht="13.95" customHeight="1" x14ac:dyDescent="0.3"/>
    <row r="34" ht="13.95" customHeight="1" x14ac:dyDescent="0.3"/>
    <row r="35" ht="13.95" customHeight="1" x14ac:dyDescent="0.3"/>
    <row r="36" ht="13.95" customHeight="1" x14ac:dyDescent="0.3"/>
    <row r="37" ht="13.95" customHeight="1" x14ac:dyDescent="0.3"/>
    <row r="38" ht="13.95" customHeight="1" x14ac:dyDescent="0.3"/>
    <row r="39" ht="13.95" customHeight="1" x14ac:dyDescent="0.3"/>
    <row r="40" ht="13.95" customHeight="1" x14ac:dyDescent="0.3"/>
    <row r="41" ht="13.95" customHeight="1" x14ac:dyDescent="0.3"/>
    <row r="42" ht="13.95" customHeight="1" x14ac:dyDescent="0.3"/>
    <row r="43" ht="13.95" customHeight="1" x14ac:dyDescent="0.3"/>
    <row r="45" ht="16.2" customHeight="1" x14ac:dyDescent="0.3"/>
  </sheetData>
  <conditionalFormatting sqref="N1:AA28">
    <cfRule type="expression" dxfId="9" priority="1">
      <formula>VRAI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X45"/>
  <sheetViews>
    <sheetView showGridLines="0" zoomScaleNormal="100" workbookViewId="0">
      <selection activeCell="L26" sqref="L26"/>
    </sheetView>
  </sheetViews>
  <sheetFormatPr baseColWidth="10" defaultColWidth="8.88671875" defaultRowHeight="14.4" x14ac:dyDescent="0.3"/>
  <cols>
    <col min="1" max="1" width="1.6640625" customWidth="1"/>
    <col min="2" max="2" width="7.44140625" customWidth="1"/>
    <col min="3" max="3" width="13.33203125" customWidth="1"/>
    <col min="4" max="4" width="24.109375" customWidth="1"/>
    <col min="5" max="5" width="9" customWidth="1"/>
    <col min="6" max="6" width="12.5546875" customWidth="1"/>
    <col min="7" max="7" width="9.33203125" customWidth="1"/>
    <col min="8" max="8" width="10.6640625" customWidth="1"/>
    <col min="9" max="9" width="12.44140625" customWidth="1"/>
    <col min="10" max="10" width="15.33203125" customWidth="1"/>
    <col min="11" max="11" width="13.5546875" customWidth="1"/>
    <col min="12" max="12" width="11.5546875" customWidth="1"/>
    <col min="13" max="13" width="9.33203125" bestFit="1" customWidth="1"/>
    <col min="14" max="14" width="14.109375" bestFit="1" customWidth="1"/>
    <col min="15" max="18" width="0.5546875" style="57" customWidth="1"/>
    <col min="19" max="24" width="0" hidden="1"/>
  </cols>
  <sheetData>
    <row r="1" spans="2:24" ht="28.2" customHeight="1" x14ac:dyDescent="0.3">
      <c r="B1" s="14" t="s">
        <v>789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 t="s">
        <v>0</v>
      </c>
      <c r="O1" s="56" t="s">
        <v>26</v>
      </c>
      <c r="P1" s="56"/>
      <c r="Q1" s="56" t="s">
        <v>0</v>
      </c>
      <c r="R1" s="56" t="s">
        <v>285</v>
      </c>
      <c r="S1" s="17"/>
      <c r="T1" s="15" t="s">
        <v>0</v>
      </c>
      <c r="U1" t="s">
        <v>286</v>
      </c>
      <c r="W1" t="s">
        <v>0</v>
      </c>
      <c r="X1" t="s">
        <v>7</v>
      </c>
    </row>
    <row r="2" spans="2:24" ht="15" customHeight="1" x14ac:dyDescent="0.3">
      <c r="B2" s="7" t="s">
        <v>780</v>
      </c>
      <c r="N2" s="57" t="s">
        <v>287</v>
      </c>
      <c r="O2" s="58">
        <v>100</v>
      </c>
      <c r="P2" s="58"/>
      <c r="Q2" s="58" t="s">
        <v>287</v>
      </c>
      <c r="R2" s="58">
        <v>0</v>
      </c>
      <c r="S2" s="18"/>
      <c r="T2" t="s">
        <v>287</v>
      </c>
      <c r="W2" t="s">
        <v>287</v>
      </c>
      <c r="X2">
        <v>30.4</v>
      </c>
    </row>
    <row r="3" spans="2:24" ht="18" customHeight="1" x14ac:dyDescent="0.45">
      <c r="B3" s="24"/>
      <c r="C3" s="24">
        <f>COUNTA('DONNÉES BRUTES'!A$3:A$90)</f>
        <v>88</v>
      </c>
      <c r="D3" s="24"/>
      <c r="E3" s="24"/>
      <c r="F3" s="12" t="str">
        <f>IFERROR(_xlfn.XLOOKUP(LARGE('DONNÉES BRUTES'!Z$3:Z$90,1),'DONNÉES BRUTES'!Z$3:Z$90,'DONNÉES BRUTES'!A$3:A$90),"—")</f>
        <v>TPL</v>
      </c>
      <c r="G3" s="24"/>
      <c r="H3" s="24"/>
      <c r="I3" s="24"/>
      <c r="J3" s="24" t="str">
        <f>IFERROR(ROUND(AVERAGE('DONNÉES BRUTES'!Z$3:Z$90),0)&amp;"/100","—")</f>
        <v>68/100</v>
      </c>
      <c r="K3" s="24"/>
      <c r="L3" s="24"/>
      <c r="M3" s="24" t="s">
        <v>288</v>
      </c>
      <c r="N3" s="24"/>
      <c r="O3" s="58">
        <v>99</v>
      </c>
      <c r="P3" s="58"/>
      <c r="Q3" s="58" t="s">
        <v>288</v>
      </c>
      <c r="R3" s="58">
        <v>0</v>
      </c>
      <c r="S3" s="18"/>
      <c r="T3" t="s">
        <v>288</v>
      </c>
      <c r="U3">
        <v>-2.84</v>
      </c>
      <c r="W3" t="s">
        <v>288</v>
      </c>
      <c r="X3">
        <v>71</v>
      </c>
    </row>
    <row r="4" spans="2:24" ht="13.95" customHeight="1" x14ac:dyDescent="0.3">
      <c r="B4" s="10"/>
      <c r="C4" s="10" t="s">
        <v>97</v>
      </c>
      <c r="D4" s="10"/>
      <c r="E4" s="10"/>
      <c r="F4" s="10" t="s">
        <v>289</v>
      </c>
      <c r="G4" s="10"/>
      <c r="H4" s="10"/>
      <c r="I4" s="10"/>
      <c r="J4" s="10" t="s">
        <v>290</v>
      </c>
      <c r="K4" s="10"/>
      <c r="L4" s="10"/>
      <c r="M4" s="10" t="s">
        <v>95</v>
      </c>
      <c r="N4" s="10"/>
      <c r="O4" s="58">
        <v>98</v>
      </c>
      <c r="P4" s="58"/>
      <c r="Q4" s="58" t="s">
        <v>95</v>
      </c>
      <c r="R4" s="58">
        <v>13.22</v>
      </c>
      <c r="S4" s="18"/>
      <c r="T4" t="s">
        <v>95</v>
      </c>
      <c r="U4">
        <v>-2.19</v>
      </c>
      <c r="W4" t="s">
        <v>95</v>
      </c>
      <c r="X4">
        <v>66.900000000000006</v>
      </c>
    </row>
    <row r="5" spans="2:24" ht="13.95" customHeight="1" x14ac:dyDescent="0.3">
      <c r="B5" s="14" t="s">
        <v>783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61" t="s">
        <v>291</v>
      </c>
      <c r="O5" s="56">
        <v>97</v>
      </c>
      <c r="P5" s="56"/>
      <c r="Q5" s="56" t="s">
        <v>291</v>
      </c>
      <c r="R5" s="56">
        <v>7.74</v>
      </c>
      <c r="S5" s="17"/>
      <c r="T5" t="s">
        <v>291</v>
      </c>
      <c r="U5">
        <v>-2.97</v>
      </c>
      <c r="W5" t="s">
        <v>291</v>
      </c>
      <c r="X5">
        <v>41.3</v>
      </c>
    </row>
    <row r="6" spans="2:24" ht="13.95" customHeight="1" x14ac:dyDescent="0.3">
      <c r="B6" s="23" t="s">
        <v>24</v>
      </c>
      <c r="C6" s="6" t="s">
        <v>0</v>
      </c>
      <c r="D6" s="6" t="s">
        <v>25</v>
      </c>
      <c r="E6" s="6"/>
      <c r="F6" s="6" t="s">
        <v>26</v>
      </c>
      <c r="G6" s="6" t="s">
        <v>35</v>
      </c>
      <c r="H6" s="6" t="s">
        <v>286</v>
      </c>
      <c r="I6" s="6" t="s">
        <v>33</v>
      </c>
      <c r="J6" s="6" t="s">
        <v>279</v>
      </c>
      <c r="K6" s="6" t="s">
        <v>292</v>
      </c>
      <c r="L6" s="6" t="s">
        <v>293</v>
      </c>
      <c r="M6" s="6" t="s">
        <v>1</v>
      </c>
      <c r="N6" s="6" t="s">
        <v>294</v>
      </c>
      <c r="O6" s="57">
        <v>95</v>
      </c>
      <c r="Q6" s="57" t="s">
        <v>294</v>
      </c>
      <c r="R6" s="57">
        <v>10.3</v>
      </c>
      <c r="T6" t="s">
        <v>294</v>
      </c>
      <c r="U6">
        <v>-2.94</v>
      </c>
      <c r="W6" t="s">
        <v>294</v>
      </c>
      <c r="X6">
        <v>47.8</v>
      </c>
    </row>
    <row r="7" spans="2:24" ht="13.95" customHeight="1" x14ac:dyDescent="0.3">
      <c r="B7">
        <v>1</v>
      </c>
      <c r="C7" t="str" cm="1">
        <f t="array" ref="C7">IFERROR(INDEX('DONNÉES BRUTES'!A$3:A$90,MATCH(1,('DONNÉES BRUTES'!Z$3:Z$90=LARGE('DONNÉES BRUTES'!Z$3:Z$90,1))*(COUNTIF(C$6:C6,'DONNÉES BRUTES'!A$3:A$90)=0)*('DONNÉES BRUTES'!A$3:A$90&lt;&gt;""),0)),"—")</f>
        <v>TPL</v>
      </c>
      <c r="D7" t="str">
        <f>IFERROR(_xlfn.XLOOKUP(C7,'DONNÉES BRUTES'!A$3:A$90,'DONNÉES BRUTES'!B$3:B$90),"—")</f>
        <v>Texas Pacific Land Corporation</v>
      </c>
      <c r="F7" t="str">
        <f>IFERROR(_xlfn.XLOOKUP(C7,'DONNÉES BRUTES'!A$3:A$90,'DONNÉES BRUTES'!Z$3:Z$90)&amp;"/100","—")</f>
        <v>91/100</v>
      </c>
      <c r="G7" s="127" t="str">
        <f>IFERROR(_xlfn.XLOOKUP(C7,'DONNÉES BRUTES'!A$3:A$90,'DONNÉES BRUTES'!U$3:U$90),"—")</f>
        <v>16.05</v>
      </c>
      <c r="H7" s="127" t="str">
        <f>IFERROR(_xlfn.XLOOKUP(C7,'DONNÉES BRUTES'!A$3:A$90,'DONNÉES BRUTES'!V$3:V$90),"—")</f>
        <v>-2.72</v>
      </c>
      <c r="I7" s="115">
        <f>IFERROR(_xlfn.XLOOKUP(C7,'DONNÉES BRUTES'!A$3:A$90,'DONNÉES BRUTES'!N$3:N$90),"—")</f>
        <v>0.84399999999999997</v>
      </c>
      <c r="J7" s="128">
        <f>IFERROR(_xlfn.XLOOKUP(C7,'DONNÉES BRUTES'!A$3:A$90,'DONNÉES BRUTES'!Q$3:Q$90),"—")</f>
        <v>0.33</v>
      </c>
      <c r="K7" s="127" t="str">
        <f>IFERROR(_xlfn.XLOOKUP(C7,'DONNÉES BRUTES'!A$3:A$90,'DONNÉES BRUTES'!S$3:S$90),"—")</f>
        <v>4.34</v>
      </c>
      <c r="L7" s="127" t="str">
        <f>IFERROR(_xlfn.XLOOKUP(C7,'DONNÉES BRUTES'!A$3:A$90,'DONNÉES BRUTES'!T$3:T$90),"—")</f>
        <v>-0.2x</v>
      </c>
      <c r="M7" s="59">
        <f>IFERROR(_xlfn.XLOOKUP(C7,'DONNÉES BRUTES'!A$3:A$90,'DONNÉES BRUTES'!AB$3:AB$90),"—")</f>
        <v>59</v>
      </c>
      <c r="N7" t="s">
        <v>140</v>
      </c>
      <c r="O7" s="57">
        <v>94</v>
      </c>
      <c r="Q7" s="57" t="s">
        <v>140</v>
      </c>
      <c r="R7" s="57">
        <v>3.62</v>
      </c>
      <c r="T7" t="s">
        <v>140</v>
      </c>
      <c r="U7">
        <v>-2.99</v>
      </c>
      <c r="W7" t="s">
        <v>140</v>
      </c>
      <c r="X7">
        <v>41.3</v>
      </c>
    </row>
    <row r="8" spans="2:24" ht="13.95" customHeight="1" x14ac:dyDescent="0.3">
      <c r="B8" s="8">
        <v>2</v>
      </c>
      <c r="C8" s="8" t="str" cm="1">
        <f t="array" ref="C8">IFERROR(INDEX('DONNÉES BRUTES'!A$3:A$90,MATCH(1,('DONNÉES BRUTES'!Z$3:Z$90&gt;=LARGE('DONNÉES BRUTES'!Z$3:Z$90,2))*(COUNTIF(C$6:C7,'DONNÉES BRUTES'!A$3:A$90)=0)*('DONNÉES BRUTES'!A$3:A$90&lt;&gt;""),0)),"—")</f>
        <v>AMAT</v>
      </c>
      <c r="D8" s="8" t="str">
        <f>IFERROR(_xlfn.XLOOKUP(C8,'DONNÉES BRUTES'!A$3:A$90,'DONNÉES BRUTES'!B$3:B$90),"—")</f>
        <v>Applied Materials, Inc.</v>
      </c>
      <c r="E8" s="8"/>
      <c r="F8" s="8" t="str">
        <f>IFERROR(_xlfn.XLOOKUP(C8,'DONNÉES BRUTES'!A$3:A$90,'DONNÉES BRUTES'!Z$3:Z$90)&amp;"/100","—")</f>
        <v>91/100</v>
      </c>
      <c r="G8" s="130" t="str">
        <f>IFERROR(_xlfn.XLOOKUP(C8,'DONNÉES BRUTES'!A$3:A$90,'DONNÉES BRUTES'!U$3:U$90),"—")</f>
        <v>10.40</v>
      </c>
      <c r="H8" s="130" t="str">
        <f>IFERROR(_xlfn.XLOOKUP(C8,'DONNÉES BRUTES'!A$3:A$90,'DONNÉES BRUTES'!V$3:V$90),"—")</f>
        <v>-3.07</v>
      </c>
      <c r="I8" s="108">
        <f>IFERROR(_xlfn.XLOOKUP(C8,'DONNÉES BRUTES'!A$3:A$90,'DONNÉES BRUTES'!N$3:N$90),"—")</f>
        <v>0.35199999999999998</v>
      </c>
      <c r="J8" s="129">
        <f>IFERROR(_xlfn.XLOOKUP(C8,'DONNÉES BRUTES'!A$3:A$90,'DONNÉES BRUTES'!Q$3:Q$90),"—")</f>
        <v>0.34300000000000003</v>
      </c>
      <c r="K8" s="130" t="str">
        <f>IFERROR(_xlfn.XLOOKUP(C8,'DONNÉES BRUTES'!A$3:A$90,'DONNÉES BRUTES'!S$3:S$90),"—")</f>
        <v>2.61</v>
      </c>
      <c r="L8" s="130" t="str">
        <f>IFERROR(_xlfn.XLOOKUP(C8,'DONNÉES BRUTES'!A$3:A$90,'DONNÉES BRUTES'!T$3:T$90),"—")</f>
        <v>-0.1x</v>
      </c>
      <c r="M8" s="60">
        <f>IFERROR(_xlfn.XLOOKUP(C8,'DONNÉES BRUTES'!A$3:A$90,'DONNÉES BRUTES'!AB$3:AB$90),"—")</f>
        <v>77</v>
      </c>
      <c r="N8" s="8" t="s">
        <v>212</v>
      </c>
      <c r="O8" s="57">
        <v>93</v>
      </c>
      <c r="Q8" s="57" t="s">
        <v>212</v>
      </c>
      <c r="R8" s="57">
        <v>6.55</v>
      </c>
      <c r="T8" t="s">
        <v>212</v>
      </c>
      <c r="U8">
        <v>-2.92</v>
      </c>
      <c r="W8" t="s">
        <v>212</v>
      </c>
      <c r="X8">
        <v>35.4</v>
      </c>
    </row>
    <row r="9" spans="2:24" ht="13.95" customHeight="1" x14ac:dyDescent="0.3">
      <c r="B9">
        <v>3</v>
      </c>
      <c r="C9" t="str" cm="1">
        <f t="array" ref="C9">IFERROR(INDEX('DONNÉES BRUTES'!A$3:A$90,MATCH(1,('DONNÉES BRUTES'!Z$3:Z$90&gt;=LARGE('DONNÉES BRUTES'!Z$3:Z$90,3))*(COUNTIF(C$6:C8,'DONNÉES BRUTES'!A$3:A$90)=0)*('DONNÉES BRUTES'!A$3:A$90&lt;&gt;""),0)),"—")</f>
        <v>FTNT</v>
      </c>
      <c r="D9" t="str">
        <f>IFERROR(_xlfn.XLOOKUP(C9,'DONNÉES BRUTES'!A$3:A$90,'DONNÉES BRUTES'!B$3:B$90),"—")</f>
        <v>Fortinet, Inc.</v>
      </c>
      <c r="F9" t="str">
        <f>IFERROR(_xlfn.XLOOKUP(C9,'DONNÉES BRUTES'!A$3:A$90,'DONNÉES BRUTES'!Z$3:Z$90)&amp;"/100","—")</f>
        <v>91/100</v>
      </c>
      <c r="G9" s="127" t="str">
        <f>IFERROR(_xlfn.XLOOKUP(C9,'DONNÉES BRUTES'!A$3:A$90,'DONNÉES BRUTES'!U$3:U$90),"—")</f>
        <v>2.02</v>
      </c>
      <c r="H9" s="127" t="str">
        <f>IFERROR(_xlfn.XLOOKUP(C9,'DONNÉES BRUTES'!A$3:A$90,'DONNÉES BRUTES'!V$3:V$90),"—")</f>
        <v>-2.92</v>
      </c>
      <c r="I9" s="4">
        <f>IFERROR(_xlfn.XLOOKUP(C9,'DONNÉES BRUTES'!A$3:A$90,'DONNÉES BRUTES'!N$3:N$90),"—")</f>
        <v>0.36099999999999999</v>
      </c>
      <c r="J9" s="128">
        <f>IFERROR(_xlfn.XLOOKUP(C9,'DONNÉES BRUTES'!A$3:A$90,'DONNÉES BRUTES'!Q$3:Q$90),"—")</f>
        <v>1.498</v>
      </c>
      <c r="K9" s="127" t="str">
        <f>IFERROR(_xlfn.XLOOKUP(C9,'DONNÉES BRUTES'!A$3:A$90,'DONNÉES BRUTES'!S$3:S$90),"—")</f>
        <v>1.17</v>
      </c>
      <c r="L9" s="127" t="str">
        <f>IFERROR(_xlfn.XLOOKUP(C9,'DONNÉES BRUTES'!A$3:A$90,'DONNÉES BRUTES'!T$3:T$90),"—")</f>
        <v>-0.6x</v>
      </c>
      <c r="M9" s="59">
        <f>IFERROR(_xlfn.XLOOKUP(C9,'DONNÉES BRUTES'!A$3:A$90,'DONNÉES BRUTES'!AB$3:AB$90),"—")</f>
        <v>70</v>
      </c>
      <c r="N9" t="s">
        <v>295</v>
      </c>
      <c r="O9" s="57">
        <v>92</v>
      </c>
      <c r="Q9" s="57" t="s">
        <v>295</v>
      </c>
      <c r="R9" s="57">
        <v>2.02</v>
      </c>
      <c r="T9" t="s">
        <v>295</v>
      </c>
      <c r="U9">
        <v>-2.92</v>
      </c>
      <c r="W9" t="s">
        <v>295</v>
      </c>
      <c r="X9">
        <v>36.1</v>
      </c>
    </row>
    <row r="10" spans="2:24" ht="13.95" customHeight="1" x14ac:dyDescent="0.3">
      <c r="B10" s="8">
        <v>4</v>
      </c>
      <c r="C10" s="8" t="str" cm="1">
        <f t="array" ref="C10">IFERROR(INDEX('DONNÉES BRUTES'!A$3:A$90,MATCH(1,('DONNÉES BRUTES'!Z$3:Z$90&gt;=LARGE('DONNÉES BRUTES'!Z$3:Z$90,4))*(COUNTIF(C$6:C9,'DONNÉES BRUTES'!A$3:A$90)=0)*('DONNÉES BRUTES'!A$3:A$90&lt;&gt;""),0)),"—")</f>
        <v>ADBE</v>
      </c>
      <c r="D10" s="8" t="str">
        <f>IFERROR(_xlfn.XLOOKUP(C10,'DONNÉES BRUTES'!A$3:A$90,'DONNÉES BRUTES'!B$3:B$90),"—")</f>
        <v>Adobe Inc.</v>
      </c>
      <c r="E10" s="8"/>
      <c r="F10" s="8" t="str">
        <f>IFERROR(_xlfn.XLOOKUP(C10,'DONNÉES BRUTES'!A$3:A$90,'DONNÉES BRUTES'!Z$3:Z$90)&amp;"/100","—")</f>
        <v>91/100</v>
      </c>
      <c r="G10" s="130" t="str">
        <f>IFERROR(_xlfn.XLOOKUP(C10,'DONNÉES BRUTES'!A$3:A$90,'DONNÉES BRUTES'!U$3:U$90),"—")</f>
        <v>7.74</v>
      </c>
      <c r="H10" s="130" t="str">
        <f>IFERROR(_xlfn.XLOOKUP(C10,'DONNÉES BRUTES'!A$3:A$90,'DONNÉES BRUTES'!V$3:V$90),"—")</f>
        <v>-2.97</v>
      </c>
      <c r="I10" s="108">
        <f>IFERROR(_xlfn.XLOOKUP(C10,'DONNÉES BRUTES'!A$3:A$90,'DONNÉES BRUTES'!N$3:N$90),"—")</f>
        <v>0.41299999999999998</v>
      </c>
      <c r="J10" s="129">
        <f>IFERROR(_xlfn.XLOOKUP(C10,'DONNÉES BRUTES'!A$3:A$90,'DONNÉES BRUTES'!Q$3:Q$90),"—")</f>
        <v>0.61299999999999999</v>
      </c>
      <c r="K10" s="130" t="str">
        <f>IFERROR(_xlfn.XLOOKUP(C10,'DONNÉES BRUTES'!A$3:A$90,'DONNÉES BRUTES'!S$3:S$90),"—")</f>
        <v>1.00</v>
      </c>
      <c r="L10" s="130" t="str">
        <f>IFERROR(_xlfn.XLOOKUP(C10,'DONNÉES BRUTES'!A$3:A$90,'DONNÉES BRUTES'!T$3:T$90),"—")</f>
        <v>0.1x</v>
      </c>
      <c r="M10" s="60">
        <f>IFERROR(_xlfn.XLOOKUP(C10,'DONNÉES BRUTES'!A$3:A$90,'DONNÉES BRUTES'!AB$3:AB$90),"—")</f>
        <v>69</v>
      </c>
      <c r="N10" s="8" t="s">
        <v>296</v>
      </c>
      <c r="O10" s="57">
        <v>91</v>
      </c>
      <c r="Q10" s="57" t="s">
        <v>296</v>
      </c>
      <c r="R10" s="57">
        <v>0</v>
      </c>
      <c r="T10" t="s">
        <v>296</v>
      </c>
      <c r="W10" t="s">
        <v>296</v>
      </c>
      <c r="X10">
        <v>25</v>
      </c>
    </row>
    <row r="11" spans="2:24" ht="13.95" customHeight="1" x14ac:dyDescent="0.3">
      <c r="B11">
        <v>5</v>
      </c>
      <c r="C11" t="str" cm="1">
        <f t="array" ref="C11">IFERROR(INDEX('DONNÉES BRUTES'!A$3:A$90,MATCH(1,('DONNÉES BRUTES'!Z$3:Z$90&gt;=LARGE('DONNÉES BRUTES'!Z$3:Z$90,5))*(COUNTIF(C$6:C10,'DONNÉES BRUTES'!A$3:A$90)=0)*('DONNÉES BRUTES'!A$3:A$90&lt;&gt;""),0)),"—")</f>
        <v>CRM</v>
      </c>
      <c r="D11" t="str">
        <f>IFERROR(_xlfn.XLOOKUP(C11,'DONNÉES BRUTES'!A$3:A$90,'DONNÉES BRUTES'!B$3:B$90),"—")</f>
        <v>Salesforce, Inc.</v>
      </c>
      <c r="F11" t="str">
        <f>IFERROR(_xlfn.XLOOKUP(C11,'DONNÉES BRUTES'!A$3:A$90,'DONNÉES BRUTES'!Z$3:Z$90)&amp;"/100","—")</f>
        <v>88/100</v>
      </c>
      <c r="G11" s="127" t="str">
        <f>IFERROR(_xlfn.XLOOKUP(C11,'DONNÉES BRUTES'!A$3:A$90,'DONNÉES BRUTES'!U$3:U$90),"—")</f>
        <v>—</v>
      </c>
      <c r="H11" s="127" t="str">
        <f>IFERROR(_xlfn.XLOOKUP(C11,'DONNÉES BRUTES'!A$3:A$90,'DONNÉES BRUTES'!V$3:V$90),"—")</f>
        <v>—</v>
      </c>
      <c r="I11" s="4">
        <f>IFERROR(_xlfn.XLOOKUP(C11,'DONNÉES BRUTES'!A$3:A$90,'DONNÉES BRUTES'!N$3:N$90),"—")</f>
        <v>0.30199999999999999</v>
      </c>
      <c r="J11" s="128" t="str">
        <f>IFERROR(_xlfn.XLOOKUP(C11,'DONNÉES BRUTES'!A$3:A$90,'DONNÉES BRUTES'!Q$3:Q$90),"—")</f>
        <v>—</v>
      </c>
      <c r="K11" s="127" t="str">
        <f>IFERROR(_xlfn.XLOOKUP(C11,'DONNÉES BRUTES'!A$3:A$90,'DONNÉES BRUTES'!S$3:S$90),"—")</f>
        <v>—</v>
      </c>
      <c r="L11" s="127" t="str">
        <f>IFERROR(_xlfn.XLOOKUP(C11,'DONNÉES BRUTES'!A$3:A$90,'DONNÉES BRUTES'!T$3:T$90),"—")</f>
        <v>—</v>
      </c>
      <c r="M11" s="59">
        <f>IFERROR(_xlfn.XLOOKUP(C11,'DONNÉES BRUTES'!A$3:A$90,'DONNÉES BRUTES'!AB$3:AB$90),"—")</f>
        <v>58</v>
      </c>
      <c r="N11" t="s">
        <v>237</v>
      </c>
      <c r="O11" s="57">
        <v>90</v>
      </c>
      <c r="Q11" s="57" t="s">
        <v>237</v>
      </c>
      <c r="R11" s="57">
        <v>0.48</v>
      </c>
      <c r="T11" t="s">
        <v>237</v>
      </c>
      <c r="U11">
        <v>-2.86</v>
      </c>
      <c r="W11" t="s">
        <v>237</v>
      </c>
      <c r="X11">
        <v>27.6</v>
      </c>
    </row>
    <row r="12" spans="2:24" ht="13.95" customHeight="1" x14ac:dyDescent="0.3">
      <c r="B12" s="8">
        <v>6</v>
      </c>
      <c r="C12" s="8" t="str" cm="1">
        <f t="array" ref="C12">IFERROR(INDEX('DONNÉES BRUTES'!A$3:A$90,MATCH(1,('DONNÉES BRUTES'!Z$3:Z$90&gt;=LARGE('DONNÉES BRUTES'!Z$3:Z$90,6))*(COUNTIF(C$6:C11,'DONNÉES BRUTES'!A$3:A$90)=0)*('DONNÉES BRUTES'!A$3:A$90&lt;&gt;""),0)),"—")</f>
        <v>WDAY</v>
      </c>
      <c r="D12" s="8" t="str">
        <f>IFERROR(_xlfn.XLOOKUP(C12,'DONNÉES BRUTES'!A$3:A$90,'DONNÉES BRUTES'!B$3:B$90),"—")</f>
        <v>Workday, Inc.</v>
      </c>
      <c r="E12" s="8"/>
      <c r="F12" s="8" t="str">
        <f>IFERROR(_xlfn.XLOOKUP(C12,'DONNÉES BRUTES'!A$3:A$90,'DONNÉES BRUTES'!Z$3:Z$90)&amp;"/100","—")</f>
        <v>88/100</v>
      </c>
      <c r="G12" s="130" t="str">
        <f>IFERROR(_xlfn.XLOOKUP(C12,'DONNÉES BRUTES'!A$3:A$90,'DONNÉES BRUTES'!U$3:U$90),"—")</f>
        <v>—</v>
      </c>
      <c r="H12" s="130" t="str">
        <f>IFERROR(_xlfn.XLOOKUP(C12,'DONNÉES BRUTES'!A$3:A$90,'DONNÉES BRUTES'!V$3:V$90),"—")</f>
        <v>—</v>
      </c>
      <c r="I12" s="108">
        <f>IFERROR(_xlfn.XLOOKUP(C12,'DONNÉES BRUTES'!A$3:A$90,'DONNÉES BRUTES'!N$3:N$90),"—")</f>
        <v>0.154</v>
      </c>
      <c r="J12" s="129" t="str">
        <f>IFERROR(_xlfn.XLOOKUP(C12,'DONNÉES BRUTES'!A$3:A$90,'DONNÉES BRUTES'!Q$3:Q$90),"—")</f>
        <v>—</v>
      </c>
      <c r="K12" s="130" t="str">
        <f>IFERROR(_xlfn.XLOOKUP(C12,'DONNÉES BRUTES'!A$3:A$90,'DONNÉES BRUTES'!S$3:S$90),"—")</f>
        <v>—</v>
      </c>
      <c r="L12" s="130" t="str">
        <f>IFERROR(_xlfn.XLOOKUP(C12,'DONNÉES BRUTES'!A$3:A$90,'DONNÉES BRUTES'!T$3:T$90),"—")</f>
        <v>—</v>
      </c>
      <c r="M12" s="60">
        <f>IFERROR(_xlfn.XLOOKUP(C12,'DONNÉES BRUTES'!A$3:A$90,'DONNÉES BRUTES'!AB$3:AB$90),"—")</f>
        <v>63</v>
      </c>
      <c r="N12" s="8" t="s">
        <v>100</v>
      </c>
      <c r="O12" s="57">
        <v>89</v>
      </c>
      <c r="Q12" s="57" t="s">
        <v>100</v>
      </c>
      <c r="R12" s="57">
        <v>8.4600000000000009</v>
      </c>
      <c r="T12" t="s">
        <v>100</v>
      </c>
      <c r="U12">
        <v>-2.58</v>
      </c>
      <c r="W12" t="s">
        <v>100</v>
      </c>
      <c r="X12">
        <v>43.6</v>
      </c>
    </row>
    <row r="13" spans="2:24" ht="13.95" customHeight="1" x14ac:dyDescent="0.3">
      <c r="B13">
        <v>7</v>
      </c>
      <c r="C13" t="str" cm="1">
        <f t="array" ref="C13">IFERROR(INDEX('DONNÉES BRUTES'!A$3:A$90,MATCH(1,('DONNÉES BRUTES'!Z$3:Z$90&gt;=LARGE('DONNÉES BRUTES'!Z$3:Z$90,7))*(COUNTIF(C$6:C12,'DONNÉES BRUTES'!A$3:A$90)=0)*('DONNÉES BRUTES'!A$3:A$90&lt;&gt;""),0)),"—")</f>
        <v>FSLR</v>
      </c>
      <c r="D13" t="str">
        <f>IFERROR(_xlfn.XLOOKUP(C13,'DONNÉES BRUTES'!A$3:A$90,'DONNÉES BRUTES'!B$3:B$90),"—")</f>
        <v>First Solar, Inc.</v>
      </c>
      <c r="F13" t="str">
        <f>IFERROR(_xlfn.XLOOKUP(C13,'DONNÉES BRUTES'!A$3:A$90,'DONNÉES BRUTES'!Z$3:Z$90)&amp;"/100","—")</f>
        <v>84/100</v>
      </c>
      <c r="G13" s="127" t="str">
        <f>IFERROR(_xlfn.XLOOKUP(C13,'DONNÉES BRUTES'!A$3:A$90,'DONNÉES BRUTES'!U$3:U$90),"—")</f>
        <v>6.99</v>
      </c>
      <c r="H13" s="127" t="str">
        <f>IFERROR(_xlfn.XLOOKUP(C13,'DONNÉES BRUTES'!A$3:A$90,'DONNÉES BRUTES'!V$3:V$90),"—")</f>
        <v>-3.05</v>
      </c>
      <c r="I13" s="4">
        <f>IFERROR(_xlfn.XLOOKUP(C13,'DONNÉES BRUTES'!A$3:A$90,'DONNÉES BRUTES'!N$3:N$90),"—")</f>
        <v>0.41299999999999998</v>
      </c>
      <c r="J13" s="128">
        <f>IFERROR(_xlfn.XLOOKUP(C13,'DONNÉES BRUTES'!A$3:A$90,'DONNÉES BRUTES'!Q$3:Q$90),"—")</f>
        <v>0.16</v>
      </c>
      <c r="K13" s="127" t="str">
        <f>IFERROR(_xlfn.XLOOKUP(C13,'DONNÉES BRUTES'!A$3:A$90,'DONNÉES BRUTES'!S$3:S$90),"—")</f>
        <v>2.67</v>
      </c>
      <c r="L13" s="127" t="str">
        <f>IFERROR(_xlfn.XLOOKUP(C13,'DONNÉES BRUTES'!A$3:A$90,'DONNÉES BRUTES'!T$3:T$90),"—")</f>
        <v>-1.1x</v>
      </c>
      <c r="M13" s="59">
        <f>IFERROR(_xlfn.XLOOKUP(C13,'DONNÉES BRUTES'!A$3:A$90,'DONNÉES BRUTES'!AB$3:AB$90),"—")</f>
        <v>63</v>
      </c>
      <c r="N13" t="s">
        <v>297</v>
      </c>
      <c r="O13" s="57">
        <v>87</v>
      </c>
      <c r="Q13" s="57" t="s">
        <v>297</v>
      </c>
      <c r="R13" s="57">
        <v>4.46</v>
      </c>
      <c r="T13" t="s">
        <v>297</v>
      </c>
      <c r="U13">
        <v>-3</v>
      </c>
      <c r="W13" t="s">
        <v>297</v>
      </c>
      <c r="X13">
        <v>56.9</v>
      </c>
    </row>
    <row r="14" spans="2:24" ht="13.95" customHeight="1" x14ac:dyDescent="0.3">
      <c r="B14" s="8">
        <v>8</v>
      </c>
      <c r="C14" s="8" t="str" cm="1">
        <f t="array" ref="C14">IFERROR(INDEX('DONNÉES BRUTES'!A$3:A$90,MATCH(1,('DONNÉES BRUTES'!Z$3:Z$90&gt;=LARGE('DONNÉES BRUTES'!Z$3:Z$90,8))*(COUNTIF(C$6:C13,'DONNÉES BRUTES'!A$3:A$90)=0)*('DONNÉES BRUTES'!A$3:A$90&lt;&gt;""),0)),"—")</f>
        <v>SGE.L</v>
      </c>
      <c r="D14" s="8" t="str">
        <f>IFERROR(_xlfn.XLOOKUP(C14,'DONNÉES BRUTES'!A$3:A$90,'DONNÉES BRUTES'!B$3:B$90),"—")</f>
        <v>The Sage Group plc</v>
      </c>
      <c r="E14" s="8"/>
      <c r="F14" s="8" t="str">
        <f>IFERROR(_xlfn.XLOOKUP(C14,'DONNÉES BRUTES'!A$3:A$90,'DONNÉES BRUTES'!Z$3:Z$90)&amp;"/100","—")</f>
        <v>82/100</v>
      </c>
      <c r="G14" s="130" t="str">
        <f>IFERROR(_xlfn.XLOOKUP(C14,'DONNÉES BRUTES'!A$3:A$90,'DONNÉES BRUTES'!U$3:U$90),"—")</f>
        <v>—</v>
      </c>
      <c r="H14" s="130" t="str">
        <f>IFERROR(_xlfn.XLOOKUP(C14,'DONNÉES BRUTES'!A$3:A$90,'DONNÉES BRUTES'!V$3:V$90),"—")</f>
        <v>—</v>
      </c>
      <c r="I14" s="108">
        <f>IFERROR(_xlfn.XLOOKUP(C14,'DONNÉES BRUTES'!A$3:A$90,'DONNÉES BRUTES'!N$3:N$90),"—")</f>
        <v>0.25</v>
      </c>
      <c r="J14" s="129" t="str">
        <f>IFERROR(_xlfn.XLOOKUP(C14,'DONNÉES BRUTES'!A$3:A$90,'DONNÉES BRUTES'!Q$3:Q$90),"—")</f>
        <v>—</v>
      </c>
      <c r="K14" s="130" t="str">
        <f>IFERROR(_xlfn.XLOOKUP(C14,'DONNÉES BRUTES'!A$3:A$90,'DONNÉES BRUTES'!S$3:S$90),"—")</f>
        <v>—</v>
      </c>
      <c r="L14" s="130" t="str">
        <f>IFERROR(_xlfn.XLOOKUP(C14,'DONNÉES BRUTES'!A$3:A$90,'DONNÉES BRUTES'!T$3:T$90),"—")</f>
        <v>—</v>
      </c>
      <c r="M14" s="60">
        <f>IFERROR(_xlfn.XLOOKUP(C14,'DONNÉES BRUTES'!A$3:A$90,'DONNÉES BRUTES'!AB$3:AB$90),"—")</f>
        <v>52</v>
      </c>
      <c r="N14" s="8" t="s">
        <v>298</v>
      </c>
      <c r="O14" s="57">
        <v>86</v>
      </c>
      <c r="Q14" s="57" t="s">
        <v>298</v>
      </c>
      <c r="R14" s="57">
        <v>0</v>
      </c>
      <c r="T14" t="s">
        <v>298</v>
      </c>
      <c r="W14" t="s">
        <v>298</v>
      </c>
      <c r="X14">
        <v>38.9</v>
      </c>
    </row>
    <row r="15" spans="2:24" ht="13.95" customHeight="1" x14ac:dyDescent="0.3">
      <c r="B15">
        <v>9</v>
      </c>
      <c r="C15" t="str" cm="1">
        <f t="array" ref="C15">IFERROR(INDEX('DONNÉES BRUTES'!A$3:A$90,MATCH(1,('DONNÉES BRUTES'!Z$3:Z$90&gt;=LARGE('DONNÉES BRUTES'!Z$3:Z$90,9))*(COUNTIF(C$6:C14,'DONNÉES BRUTES'!A$3:A$90)=0)*('DONNÉES BRUTES'!A$3:A$90&lt;&gt;""),0)),"—")</f>
        <v>DSY.PA</v>
      </c>
      <c r="D15" t="str">
        <f>IFERROR(_xlfn.XLOOKUP(C15,'DONNÉES BRUTES'!A$3:A$90,'DONNÉES BRUTES'!B$3:B$90),"—")</f>
        <v>Dassault Systèmes SE</v>
      </c>
      <c r="F15" t="str">
        <f>IFERROR(_xlfn.XLOOKUP(C15,'DONNÉES BRUTES'!A$3:A$90,'DONNÉES BRUTES'!Z$3:Z$90)&amp;"/100","—")</f>
        <v>82/100</v>
      </c>
      <c r="G15" s="127" t="str">
        <f>IFERROR(_xlfn.XLOOKUP(C15,'DONNÉES BRUTES'!A$3:A$90,'DONNÉES BRUTES'!U$3:U$90),"—")</f>
        <v>—</v>
      </c>
      <c r="H15" s="127" t="str">
        <f>IFERROR(_xlfn.XLOOKUP(C15,'DONNÉES BRUTES'!A$3:A$90,'DONNÉES BRUTES'!V$3:V$90),"—")</f>
        <v>—</v>
      </c>
      <c r="I15" s="115">
        <f>IFERROR(_xlfn.XLOOKUP(C15,'DONNÉES BRUTES'!A$3:A$90,'DONNÉES BRUTES'!N$3:N$90),"—")</f>
        <v>0.30399999999999999</v>
      </c>
      <c r="J15" s="128" t="str">
        <f>IFERROR(_xlfn.XLOOKUP(C15,'DONNÉES BRUTES'!A$3:A$90,'DONNÉES BRUTES'!Q$3:Q$90),"—")</f>
        <v>—</v>
      </c>
      <c r="K15" s="127" t="str">
        <f>IFERROR(_xlfn.XLOOKUP(C15,'DONNÉES BRUTES'!A$3:A$90,'DONNÉES BRUTES'!S$3:S$90),"—")</f>
        <v>—</v>
      </c>
      <c r="L15" s="127" t="str">
        <f>IFERROR(_xlfn.XLOOKUP(C15,'DONNÉES BRUTES'!A$3:A$90,'DONNÉES BRUTES'!T$3:T$90),"—")</f>
        <v>—</v>
      </c>
      <c r="M15" s="59">
        <f>IFERROR(_xlfn.XLOOKUP(C15,'DONNÉES BRUTES'!A$3:A$90,'DONNÉES BRUTES'!AB$3:AB$90),"—")</f>
        <v>40</v>
      </c>
      <c r="N15" t="s">
        <v>101</v>
      </c>
      <c r="O15" s="57">
        <v>85</v>
      </c>
      <c r="Q15" s="57" t="s">
        <v>101</v>
      </c>
      <c r="R15" s="57">
        <v>2.66</v>
      </c>
      <c r="T15" t="s">
        <v>101</v>
      </c>
      <c r="U15">
        <v>-2.72</v>
      </c>
      <c r="W15" t="s">
        <v>101</v>
      </c>
      <c r="X15">
        <v>54.3</v>
      </c>
    </row>
    <row r="16" spans="2:24" ht="13.95" customHeight="1" x14ac:dyDescent="0.3">
      <c r="B16" s="8">
        <v>10</v>
      </c>
      <c r="C16" s="8" t="str" cm="1">
        <f t="array" ref="C16">IFERROR(INDEX('DONNÉES BRUTES'!A$3:A$90,MATCH(1,('DONNÉES BRUTES'!Z$3:Z$90&gt;=LARGE('DONNÉES BRUTES'!Z$3:Z$90,10))*(COUNTIF(C$6:C15,'DONNÉES BRUTES'!A$3:A$90)=0)*('DONNÉES BRUTES'!A$3:A$90&lt;&gt;""),0)),"—")</f>
        <v>JKHY</v>
      </c>
      <c r="D16" s="8" t="str">
        <f>IFERROR(_xlfn.XLOOKUP(C16,'DONNÉES BRUTES'!A$3:A$90,'DONNÉES BRUTES'!B$3:B$90),"—")</f>
        <v>Jack Henry &amp; Associates, Inc.</v>
      </c>
      <c r="E16" s="8"/>
      <c r="F16" s="8" t="str">
        <f>IFERROR(_xlfn.XLOOKUP(C16,'DONNÉES BRUTES'!A$3:A$90,'DONNÉES BRUTES'!Z$3:Z$90)&amp;"/100","—")</f>
        <v>82/100</v>
      </c>
      <c r="G16" s="130" t="str">
        <f>IFERROR(_xlfn.XLOOKUP(C16,'DONNÉES BRUTES'!A$3:A$90,'DONNÉES BRUTES'!U$3:U$90),"—")</f>
        <v>—</v>
      </c>
      <c r="H16" s="130" t="str">
        <f>IFERROR(_xlfn.XLOOKUP(C16,'DONNÉES BRUTES'!A$3:A$90,'DONNÉES BRUTES'!V$3:V$90),"—")</f>
        <v>—</v>
      </c>
      <c r="I16" s="108">
        <f>IFERROR(_xlfn.XLOOKUP(C16,'DONNÉES BRUTES'!A$3:A$90,'DONNÉES BRUTES'!N$3:N$90),"—")</f>
        <v>0.33700000000000002</v>
      </c>
      <c r="J16" s="129" t="str">
        <f>IFERROR(_xlfn.XLOOKUP(C16,'DONNÉES BRUTES'!A$3:A$90,'DONNÉES BRUTES'!Q$3:Q$90),"—")</f>
        <v>—</v>
      </c>
      <c r="K16" s="130" t="str">
        <f>IFERROR(_xlfn.XLOOKUP(C16,'DONNÉES BRUTES'!A$3:A$90,'DONNÉES BRUTES'!S$3:S$90),"—")</f>
        <v>—</v>
      </c>
      <c r="L16" s="130" t="str">
        <f>IFERROR(_xlfn.XLOOKUP(C16,'DONNÉES BRUTES'!A$3:A$90,'DONNÉES BRUTES'!T$3:T$90),"—")</f>
        <v>—</v>
      </c>
      <c r="M16" s="60">
        <f>IFERROR(_xlfn.XLOOKUP(C16,'DONNÉES BRUTES'!A$3:A$90,'DONNÉES BRUTES'!AB$3:AB$90),"—")</f>
        <v>57</v>
      </c>
      <c r="N16" s="8" t="s">
        <v>299</v>
      </c>
      <c r="O16" s="57">
        <v>84</v>
      </c>
      <c r="Q16" s="57" t="s">
        <v>299</v>
      </c>
      <c r="R16" s="57">
        <v>5.01</v>
      </c>
      <c r="T16" t="s">
        <v>299</v>
      </c>
      <c r="U16">
        <v>-3.06</v>
      </c>
      <c r="W16" t="s">
        <v>299</v>
      </c>
      <c r="X16">
        <v>28.6</v>
      </c>
    </row>
    <row r="17" spans="2:24" ht="13.95" customHeight="1" x14ac:dyDescent="0.3">
      <c r="B17">
        <v>11</v>
      </c>
      <c r="C17" t="str" cm="1">
        <f t="array" ref="C17">IFERROR(INDEX('DONNÉES BRUTES'!A$3:A$90,MATCH(1,('DONNÉES BRUTES'!Z$3:Z$90&gt;=LARGE('DONNÉES BRUTES'!Z$3:Z$90,11))*(COUNTIF(C$6:C16,'DONNÉES BRUTES'!A$3:A$90)=0)*('DONNÉES BRUTES'!A$3:A$90&lt;&gt;""),0)),"—")</f>
        <v>ROP</v>
      </c>
      <c r="D17" t="str">
        <f>IFERROR(_xlfn.XLOOKUP(C17,'DONNÉES BRUTES'!A$3:A$90,'DONNÉES BRUTES'!B$3:B$90),"—")</f>
        <v>Roper Technologies, Inc.</v>
      </c>
      <c r="F17" t="str">
        <f>IFERROR(_xlfn.XLOOKUP(C17,'DONNÉES BRUTES'!A$3:A$90,'DONNÉES BRUTES'!Z$3:Z$90)&amp;"/100","—")</f>
        <v>82/100</v>
      </c>
      <c r="G17" s="127" t="str">
        <f>IFERROR(_xlfn.XLOOKUP(C17,'DONNÉES BRUTES'!A$3:A$90,'DONNÉES BRUTES'!U$3:U$90),"—")</f>
        <v>—</v>
      </c>
      <c r="H17" s="127" t="str">
        <f>IFERROR(_xlfn.XLOOKUP(C17,'DONNÉES BRUTES'!A$3:A$90,'DONNÉES BRUTES'!V$3:V$90),"—")</f>
        <v>—</v>
      </c>
      <c r="I17" s="4">
        <f>IFERROR(_xlfn.XLOOKUP(C17,'DONNÉES BRUTES'!A$3:A$90,'DONNÉES BRUTES'!N$3:N$90),"—")</f>
        <v>0.4</v>
      </c>
      <c r="J17" s="128" t="str">
        <f>IFERROR(_xlfn.XLOOKUP(C17,'DONNÉES BRUTES'!A$3:A$90,'DONNÉES BRUTES'!Q$3:Q$90),"—")</f>
        <v>—</v>
      </c>
      <c r="K17" s="127" t="str">
        <f>IFERROR(_xlfn.XLOOKUP(C17,'DONNÉES BRUTES'!A$3:A$90,'DONNÉES BRUTES'!S$3:S$90),"—")</f>
        <v>—</v>
      </c>
      <c r="L17" s="127" t="str">
        <f>IFERROR(_xlfn.XLOOKUP(C17,'DONNÉES BRUTES'!A$3:A$90,'DONNÉES BRUTES'!T$3:T$90),"—")</f>
        <v>—</v>
      </c>
      <c r="M17" s="59">
        <f>IFERROR(_xlfn.XLOOKUP(C17,'DONNÉES BRUTES'!A$3:A$90,'DONNÉES BRUTES'!AB$3:AB$90),"—")</f>
        <v>47</v>
      </c>
      <c r="N17" t="s">
        <v>300</v>
      </c>
      <c r="O17" s="57">
        <v>83</v>
      </c>
      <c r="Q17" s="57" t="s">
        <v>300</v>
      </c>
      <c r="R17" s="57">
        <v>1.86</v>
      </c>
      <c r="T17" t="s">
        <v>300</v>
      </c>
      <c r="U17">
        <v>-3.13</v>
      </c>
      <c r="W17" t="s">
        <v>300</v>
      </c>
      <c r="X17">
        <v>51.6</v>
      </c>
    </row>
    <row r="18" spans="2:24" ht="13.95" customHeight="1" x14ac:dyDescent="0.3">
      <c r="B18" s="8">
        <v>12</v>
      </c>
      <c r="C18" s="8" t="str" cm="1">
        <f t="array" ref="C18">IFERROR(INDEX('DONNÉES BRUTES'!A$3:A$90,MATCH(1,('DONNÉES BRUTES'!Z$3:Z$90&gt;=LARGE('DONNÉES BRUTES'!Z$3:Z$90,12))*(COUNTIF(C$6:C17,'DONNÉES BRUTES'!A$3:A$90)=0)*('DONNÉES BRUTES'!A$3:A$90&lt;&gt;""),0)),"—")</f>
        <v>IFX.DE</v>
      </c>
      <c r="D18" s="8" t="str">
        <f>IFERROR(_xlfn.XLOOKUP(C18,'DONNÉES BRUTES'!A$3:A$90,'DONNÉES BRUTES'!B$3:B$90),"—")</f>
        <v>Infineon Technologies AG</v>
      </c>
      <c r="E18" s="8"/>
      <c r="F18" s="8" t="str">
        <f>IFERROR(_xlfn.XLOOKUP(C18,'DONNÉES BRUTES'!A$3:A$90,'DONNÉES BRUTES'!Z$3:Z$90)&amp;"/100","—")</f>
        <v>82/100</v>
      </c>
      <c r="G18" s="130" t="str">
        <f>IFERROR(_xlfn.XLOOKUP(C18,'DONNÉES BRUTES'!A$3:A$90,'DONNÉES BRUTES'!U$3:U$90),"—")</f>
        <v>—</v>
      </c>
      <c r="H18" s="130" t="str">
        <f>IFERROR(_xlfn.XLOOKUP(C18,'DONNÉES BRUTES'!A$3:A$90,'DONNÉES BRUTES'!V$3:V$90),"—")</f>
        <v>—</v>
      </c>
      <c r="I18" s="108">
        <f>IFERROR(_xlfn.XLOOKUP(C18,'DONNÉES BRUTES'!A$3:A$90,'DONNÉES BRUTES'!N$3:N$90),"—")</f>
        <v>0.24</v>
      </c>
      <c r="J18" s="129" t="str">
        <f>IFERROR(_xlfn.XLOOKUP(C18,'DONNÉES BRUTES'!A$3:A$90,'DONNÉES BRUTES'!Q$3:Q$90),"—")</f>
        <v>—</v>
      </c>
      <c r="K18" s="130" t="str">
        <f>IFERROR(_xlfn.XLOOKUP(C18,'DONNÉES BRUTES'!A$3:A$90,'DONNÉES BRUTES'!S$3:S$90),"—")</f>
        <v>—</v>
      </c>
      <c r="L18" s="130" t="str">
        <f>IFERROR(_xlfn.XLOOKUP(C18,'DONNÉES BRUTES'!A$3:A$90,'DONNÉES BRUTES'!T$3:T$90),"—")</f>
        <v>—</v>
      </c>
      <c r="M18" s="60">
        <f>IFERROR(_xlfn.XLOOKUP(C18,'DONNÉES BRUTES'!A$3:A$90,'DONNÉES BRUTES'!AB$3:AB$90),"—")</f>
        <v>50</v>
      </c>
      <c r="N18" s="8" t="s">
        <v>301</v>
      </c>
      <c r="O18" s="57">
        <v>82</v>
      </c>
      <c r="Q18" s="57" t="s">
        <v>301</v>
      </c>
      <c r="R18" s="57">
        <v>4.5199999999999996</v>
      </c>
      <c r="T18" t="s">
        <v>301</v>
      </c>
      <c r="U18">
        <v>-3.05</v>
      </c>
      <c r="W18" t="s">
        <v>301</v>
      </c>
      <c r="X18">
        <v>31.3</v>
      </c>
    </row>
    <row r="19" spans="2:24" ht="13.95" customHeight="1" x14ac:dyDescent="0.3">
      <c r="B19">
        <v>13</v>
      </c>
      <c r="C19" t="str" cm="1">
        <f t="array" ref="C19">IFERROR(INDEX('DONNÉES BRUTES'!A$3:A$90,MATCH(1,('DONNÉES BRUTES'!Z$3:Z$90&gt;=LARGE('DONNÉES BRUTES'!Z$3:Z$90,13))*(COUNTIF(C$6:C18,'DONNÉES BRUTES'!A$3:A$90)=0)*('DONNÉES BRUTES'!A$3:A$90&lt;&gt;""),0)),"—")</f>
        <v>CTSH</v>
      </c>
      <c r="D19" t="str">
        <f>IFERROR(_xlfn.XLOOKUP(C19,'DONNÉES BRUTES'!A$3:A$90,'DONNÉES BRUTES'!B$3:B$90),"—")</f>
        <v>Cognizant Technology Solutions Corporation</v>
      </c>
      <c r="F19" t="str">
        <f>IFERROR(_xlfn.XLOOKUP(C19,'DONNÉES BRUTES'!A$3:A$90,'DONNÉES BRUTES'!Z$3:Z$90)&amp;"/100","—")</f>
        <v>82/100</v>
      </c>
      <c r="G19" s="127" t="str">
        <f>IFERROR(_xlfn.XLOOKUP(C19,'DONNÉES BRUTES'!A$3:A$90,'DONNÉES BRUTES'!U$3:U$90),"—")</f>
        <v>—</v>
      </c>
      <c r="H19" s="127" t="str">
        <f>IFERROR(_xlfn.XLOOKUP(C19,'DONNÉES BRUTES'!A$3:A$90,'DONNÉES BRUTES'!V$3:V$90),"—")</f>
        <v>—</v>
      </c>
      <c r="I19" s="115">
        <f>IFERROR(_xlfn.XLOOKUP(C19,'DONNÉES BRUTES'!A$3:A$90,'DONNÉES BRUTES'!N$3:N$90),"—")</f>
        <v>0.193</v>
      </c>
      <c r="J19" s="128" t="str">
        <f>IFERROR(_xlfn.XLOOKUP(C19,'DONNÉES BRUTES'!A$3:A$90,'DONNÉES BRUTES'!Q$3:Q$90),"—")</f>
        <v>—</v>
      </c>
      <c r="K19" s="127" t="str">
        <f>IFERROR(_xlfn.XLOOKUP(C19,'DONNÉES BRUTES'!A$3:A$90,'DONNÉES BRUTES'!S$3:S$90),"—")</f>
        <v>—</v>
      </c>
      <c r="L19" s="127" t="str">
        <f>IFERROR(_xlfn.XLOOKUP(C19,'DONNÉES BRUTES'!A$3:A$90,'DONNÉES BRUTES'!T$3:T$90),"—")</f>
        <v>—</v>
      </c>
      <c r="M19" s="59">
        <f>IFERROR(_xlfn.XLOOKUP(C19,'DONNÉES BRUTES'!A$3:A$90,'DONNÉES BRUTES'!AB$3:AB$90),"—")</f>
        <v>56</v>
      </c>
      <c r="N19" t="s">
        <v>221</v>
      </c>
      <c r="O19" s="57">
        <v>80</v>
      </c>
      <c r="Q19" s="57" t="s">
        <v>221</v>
      </c>
      <c r="R19" s="57">
        <v>2.76</v>
      </c>
      <c r="T19" t="s">
        <v>221</v>
      </c>
      <c r="U19">
        <v>-2.0499999999999998</v>
      </c>
      <c r="W19" t="s">
        <v>221</v>
      </c>
      <c r="X19">
        <v>35.4</v>
      </c>
    </row>
    <row r="20" spans="2:24" ht="13.95" customHeight="1" x14ac:dyDescent="0.3">
      <c r="B20" s="8">
        <v>14</v>
      </c>
      <c r="C20" s="8" t="str" cm="1">
        <f t="array" ref="C20">IFERROR(INDEX('DONNÉES BRUTES'!A$3:A$90,MATCH(1,('DONNÉES BRUTES'!Z$3:Z$90&gt;=LARGE('DONNÉES BRUTES'!Z$3:Z$90,14))*(COUNTIF(C$6:C19,'DONNÉES BRUTES'!A$3:A$90)=0)*('DONNÉES BRUTES'!A$3:A$90&lt;&gt;""),0)),"—")</f>
        <v>ACN</v>
      </c>
      <c r="D20" s="8" t="str">
        <f>IFERROR(_xlfn.XLOOKUP(C20,'DONNÉES BRUTES'!A$3:A$90,'DONNÉES BRUTES'!B$3:B$90),"—")</f>
        <v>Accenture plc</v>
      </c>
      <c r="E20" s="8"/>
      <c r="F20" s="8" t="str">
        <f>IFERROR(_xlfn.XLOOKUP(C20,'DONNÉES BRUTES'!A$3:A$90,'DONNÉES BRUTES'!Z$3:Z$90)&amp;"/100","—")</f>
        <v>82/100</v>
      </c>
      <c r="G20" s="130" t="str">
        <f>IFERROR(_xlfn.XLOOKUP(C20,'DONNÉES BRUTES'!A$3:A$90,'DONNÉES BRUTES'!U$3:U$90),"—")</f>
        <v>—</v>
      </c>
      <c r="H20" s="130" t="str">
        <f>IFERROR(_xlfn.XLOOKUP(C20,'DONNÉES BRUTES'!A$3:A$90,'DONNÉES BRUTES'!V$3:V$90),"—")</f>
        <v>—</v>
      </c>
      <c r="I20" s="108">
        <f>IFERROR(_xlfn.XLOOKUP(C20,'DONNÉES BRUTES'!A$3:A$90,'DONNÉES BRUTES'!N$3:N$90),"—")</f>
        <v>0.17</v>
      </c>
      <c r="J20" s="129" t="str">
        <f>IFERROR(_xlfn.XLOOKUP(C20,'DONNÉES BRUTES'!A$3:A$90,'DONNÉES BRUTES'!Q$3:Q$90),"—")</f>
        <v>—</v>
      </c>
      <c r="K20" s="130" t="str">
        <f>IFERROR(_xlfn.XLOOKUP(C20,'DONNÉES BRUTES'!A$3:A$90,'DONNÉES BRUTES'!S$3:S$90),"—")</f>
        <v>—</v>
      </c>
      <c r="L20" s="130" t="str">
        <f>IFERROR(_xlfn.XLOOKUP(C20,'DONNÉES BRUTES'!A$3:A$90,'DONNÉES BRUTES'!T$3:T$90),"—")</f>
        <v>—</v>
      </c>
      <c r="M20" s="60">
        <f>IFERROR(_xlfn.XLOOKUP(C20,'DONNÉES BRUTES'!A$3:A$90,'DONNÉES BRUTES'!AB$3:AB$90),"—")</f>
        <v>48</v>
      </c>
      <c r="N20" s="8" t="s">
        <v>96</v>
      </c>
      <c r="O20" s="57">
        <v>79</v>
      </c>
      <c r="Q20" s="57" t="s">
        <v>96</v>
      </c>
      <c r="R20" s="57">
        <v>5.64</v>
      </c>
      <c r="T20" t="s">
        <v>96</v>
      </c>
      <c r="U20">
        <v>-2.95</v>
      </c>
      <c r="W20" t="s">
        <v>96</v>
      </c>
      <c r="X20">
        <v>43.9</v>
      </c>
    </row>
    <row r="21" spans="2:24" ht="13.95" customHeight="1" x14ac:dyDescent="0.3">
      <c r="B21">
        <v>15</v>
      </c>
      <c r="C21" t="str" cm="1">
        <f t="array" ref="C21">IFERROR(INDEX('DONNÉES BRUTES'!A$3:A$90,MATCH(1,('DONNÉES BRUTES'!Z$3:Z$90&gt;=LARGE('DONNÉES BRUTES'!Z$3:Z$90,15))*(COUNTIF(C$6:C20,'DONNÉES BRUTES'!A$3:A$90)=0)*('DONNÉES BRUTES'!A$3:A$90&lt;&gt;""),0)),"—")</f>
        <v>FIS</v>
      </c>
      <c r="D21" t="str">
        <f>IFERROR(_xlfn.XLOOKUP(C21,'DONNÉES BRUTES'!A$3:A$90,'DONNÉES BRUTES'!B$3:B$90),"—")</f>
        <v>Fidelity National Information Services, Inc.</v>
      </c>
      <c r="F21" t="str">
        <f>IFERROR(_xlfn.XLOOKUP(C21,'DONNÉES BRUTES'!A$3:A$90,'DONNÉES BRUTES'!Z$3:Z$90)&amp;"/100","—")</f>
        <v>82/100</v>
      </c>
      <c r="G21" s="127" t="str">
        <f>IFERROR(_xlfn.XLOOKUP(C21,'DONNÉES BRUTES'!A$3:A$90,'DONNÉES BRUTES'!U$3:U$90),"—")</f>
        <v>—</v>
      </c>
      <c r="H21" s="127" t="str">
        <f>IFERROR(_xlfn.XLOOKUP(C21,'DONNÉES BRUTES'!A$3:A$90,'DONNÉES BRUTES'!V$3:V$90),"—")</f>
        <v>—</v>
      </c>
      <c r="I21" s="115">
        <f>IFERROR(_xlfn.XLOOKUP(C21,'DONNÉES BRUTES'!A$3:A$90,'DONNÉES BRUTES'!N$3:N$90),"—")</f>
        <v>0.32300000000000001</v>
      </c>
      <c r="J21" s="128" t="str">
        <f>IFERROR(_xlfn.XLOOKUP(C21,'DONNÉES BRUTES'!A$3:A$90,'DONNÉES BRUTES'!Q$3:Q$90),"—")</f>
        <v>—</v>
      </c>
      <c r="K21" s="127" t="str">
        <f>IFERROR(_xlfn.XLOOKUP(C21,'DONNÉES BRUTES'!A$3:A$90,'DONNÉES BRUTES'!S$3:S$90),"—")</f>
        <v>—</v>
      </c>
      <c r="L21" s="127" t="str">
        <f>IFERROR(_xlfn.XLOOKUP(C21,'DONNÉES BRUTES'!A$3:A$90,'DONNÉES BRUTES'!T$3:T$90),"—")</f>
        <v>—</v>
      </c>
      <c r="M21" s="59">
        <f>IFERROR(_xlfn.XLOOKUP(C21,'DONNÉES BRUTES'!A$3:A$90,'DONNÉES BRUTES'!AB$3:AB$90),"—")</f>
        <v>43</v>
      </c>
      <c r="N21" t="s">
        <v>203</v>
      </c>
      <c r="O21" s="57">
        <v>78</v>
      </c>
      <c r="Q21" s="57" t="s">
        <v>203</v>
      </c>
      <c r="R21" s="57">
        <v>5.05</v>
      </c>
      <c r="T21" t="s">
        <v>203</v>
      </c>
      <c r="U21">
        <v>-2.88</v>
      </c>
      <c r="W21" t="s">
        <v>203</v>
      </c>
      <c r="X21">
        <v>29.8</v>
      </c>
    </row>
    <row r="22" spans="2:24" ht="13.95" customHeight="1" x14ac:dyDescent="0.3">
      <c r="B22" s="8">
        <v>16</v>
      </c>
      <c r="C22" s="8" t="str" cm="1">
        <f t="array" ref="C22">IFERROR(INDEX('DONNÉES BRUTES'!A$3:A$90,MATCH(1,('DONNÉES BRUTES'!Z$3:Z$90&gt;=LARGE('DONNÉES BRUTES'!Z$3:Z$90,16))*(COUNTIF(C$6:C21,'DONNÉES BRUTES'!A$3:A$90)=0)*('DONNÉES BRUTES'!A$3:A$90&lt;&gt;""),0)),"—")</f>
        <v>SAP.DE</v>
      </c>
      <c r="D22" s="8" t="str">
        <f>IFERROR(_xlfn.XLOOKUP(C22,'DONNÉES BRUTES'!A$3:A$90,'DONNÉES BRUTES'!B$3:B$90),"—")</f>
        <v>SAP SE</v>
      </c>
      <c r="E22" s="8"/>
      <c r="F22" s="8" t="str">
        <f>IFERROR(_xlfn.XLOOKUP(C22,'DONNÉES BRUTES'!A$3:A$90,'DONNÉES BRUTES'!Z$3:Z$90)&amp;"/100","—")</f>
        <v>81/100</v>
      </c>
      <c r="G22" s="130" t="str">
        <f>IFERROR(_xlfn.XLOOKUP(C22,'DONNÉES BRUTES'!A$3:A$90,'DONNÉES BRUTES'!U$3:U$90),"—")</f>
        <v>5.34</v>
      </c>
      <c r="H22" s="130" t="str">
        <f>IFERROR(_xlfn.XLOOKUP(C22,'DONNÉES BRUTES'!A$3:A$90,'DONNÉES BRUTES'!V$3:V$90),"—")</f>
        <v>-3.14</v>
      </c>
      <c r="I22" s="108">
        <f>IFERROR(_xlfn.XLOOKUP(C22,'DONNÉES BRUTES'!A$3:A$90,'DONNÉES BRUTES'!N$3:N$90),"—")</f>
        <v>0.32800000000000001</v>
      </c>
      <c r="J22" s="129">
        <f>IFERROR(_xlfn.XLOOKUP(C22,'DONNÉES BRUTES'!A$3:A$90,'DONNÉES BRUTES'!Q$3:Q$90),"—")</f>
        <v>0.161</v>
      </c>
      <c r="K22" s="130" t="str">
        <f>IFERROR(_xlfn.XLOOKUP(C22,'DONNÉES BRUTES'!A$3:A$90,'DONNÉES BRUTES'!S$3:S$90),"—")</f>
        <v>1.16</v>
      </c>
      <c r="L22" s="130" t="str">
        <f>IFERROR(_xlfn.XLOOKUP(C22,'DONNÉES BRUTES'!A$3:A$90,'DONNÉES BRUTES'!T$3:T$90),"—")</f>
        <v>-0.2x</v>
      </c>
      <c r="M22" s="60">
        <f>IFERROR(_xlfn.XLOOKUP(C22,'DONNÉES BRUTES'!A$3:A$90,'DONNÉES BRUTES'!AB$3:AB$90),"—")</f>
        <v>74</v>
      </c>
      <c r="N22" s="8" t="str">
        <f>IFERROR(_xlfn.XLOOKUP(C22,'DONNÉES BRUTES'!A$3:A$90,'DONNÉES BRUTES'!AD$3:AD$90),"—")</f>
        <v>Neutre</v>
      </c>
    </row>
    <row r="23" spans="2:24" ht="13.95" customHeight="1" x14ac:dyDescent="0.3">
      <c r="B23">
        <v>17</v>
      </c>
      <c r="C23" t="str" cm="1">
        <f t="array" ref="C23">IFERROR(INDEX('DONNÉES BRUTES'!A$3:A$90,MATCH(1,('DONNÉES BRUTES'!Z$3:Z$90&gt;=LARGE('DONNÉES BRUTES'!Z$3:Z$90,17))*(COUNTIF(C$6:C22,'DONNÉES BRUTES'!A$3:A$90)=0)*('DONNÉES BRUTES'!A$3:A$90&lt;&gt;""),0)),"—")</f>
        <v>TTE.PA</v>
      </c>
      <c r="D23" t="str">
        <f>IFERROR(_xlfn.XLOOKUP(C23,'DONNÉES BRUTES'!A$3:A$90,'DONNÉES BRUTES'!B$3:B$90),"—")</f>
        <v>TotalEnergies SE</v>
      </c>
      <c r="F23" t="str">
        <f>IFERROR(_xlfn.XLOOKUP(C23,'DONNÉES BRUTES'!A$3:A$90,'DONNÉES BRUTES'!Z$3:Z$90)&amp;"/100","—")</f>
        <v>80/100</v>
      </c>
      <c r="G23" s="127" t="str">
        <f>IFERROR(_xlfn.XLOOKUP(C23,'DONNÉES BRUTES'!A$3:A$90,'DONNÉES BRUTES'!U$3:U$90),"—")</f>
        <v>—</v>
      </c>
      <c r="H23" s="127" t="str">
        <f>IFERROR(_xlfn.XLOOKUP(C23,'DONNÉES BRUTES'!A$3:A$90,'DONNÉES BRUTES'!V$3:V$90),"—")</f>
        <v>—</v>
      </c>
      <c r="I23" s="4" t="str">
        <f>IFERROR(_xlfn.XLOOKUP(C23,'DONNÉES BRUTES'!A$3:A$90,'DONNÉES BRUTES'!N$3:N$90),"—")</f>
        <v>—</v>
      </c>
      <c r="J23" s="128" t="str">
        <f>IFERROR(_xlfn.XLOOKUP(C23,'DONNÉES BRUTES'!A$3:A$90,'DONNÉES BRUTES'!Q$3:Q$90),"—")</f>
        <v>—</v>
      </c>
      <c r="K23" s="127" t="str">
        <f>IFERROR(_xlfn.XLOOKUP(C23,'DONNÉES BRUTES'!A$3:A$90,'DONNÉES BRUTES'!S$3:S$90),"—")</f>
        <v>1.10</v>
      </c>
      <c r="L23" s="127" t="str">
        <f>IFERROR(_xlfn.XLOOKUP(C23,'DONNÉES BRUTES'!A$3:A$90,'DONNÉES BRUTES'!T$3:T$90),"—")</f>
        <v>—</v>
      </c>
      <c r="M23" s="59">
        <f>IFERROR(_xlfn.XLOOKUP(C23,'DONNÉES BRUTES'!A$3:A$90,'DONNÉES BRUTES'!AB$3:AB$90),"—")</f>
        <v>77</v>
      </c>
      <c r="N23" t="str">
        <f>IFERROR(_xlfn.XLOOKUP(C23,'DONNÉES BRUTES'!A$3:A$90,'DONNÉES BRUTES'!AD$3:AD$90),"—")</f>
        <v>Sous-pondérer</v>
      </c>
    </row>
    <row r="24" spans="2:24" ht="13.95" customHeight="1" x14ac:dyDescent="0.3">
      <c r="B24" s="8">
        <v>18</v>
      </c>
      <c r="C24" s="8" t="str" cm="1">
        <f t="array" ref="C24">IFERROR(INDEX('DONNÉES BRUTES'!A$3:A$90,MATCH(1,('DONNÉES BRUTES'!Z$3:Z$90&gt;=LARGE('DONNÉES BRUTES'!Z$3:Z$90,18))*(COUNTIF(C$6:C23,'DONNÉES BRUTES'!A$3:A$90)=0)*('DONNÉES BRUTES'!A$3:A$90&lt;&gt;""),0)),"—")</f>
        <v>EOG</v>
      </c>
      <c r="D24" s="8" t="str">
        <f>IFERROR(_xlfn.XLOOKUP(C24,'DONNÉES BRUTES'!A$3:A$90,'DONNÉES BRUTES'!B$3:B$90),"—")</f>
        <v>EOG Resources, Inc.</v>
      </c>
      <c r="E24" s="8"/>
      <c r="F24" s="8" t="str">
        <f>IFERROR(_xlfn.XLOOKUP(C24,'DONNÉES BRUTES'!A$3:A$90,'DONNÉES BRUTES'!Z$3:Z$90)&amp;"/100","—")</f>
        <v>78/100</v>
      </c>
      <c r="G24" s="130" t="str">
        <f>IFERROR(_xlfn.XLOOKUP(C24,'DONNÉES BRUTES'!A$3:A$90,'DONNÉES BRUTES'!U$3:U$90),"—")</f>
        <v>4.53</v>
      </c>
      <c r="H24" s="130" t="str">
        <f>IFERROR(_xlfn.XLOOKUP(C24,'DONNÉES BRUTES'!A$3:A$90,'DONNÉES BRUTES'!V$3:V$90),"—")</f>
        <v>-3.01</v>
      </c>
      <c r="I24" s="108">
        <f>IFERROR(_xlfn.XLOOKUP(C24,'DONNÉES BRUTES'!A$3:A$90,'DONNÉES BRUTES'!N$3:N$90),"—")</f>
        <v>0.49</v>
      </c>
      <c r="J24" s="116">
        <f>IFERROR(_xlfn.XLOOKUP(C24,'DONNÉES BRUTES'!A$3:A$90,'DONNÉES BRUTES'!Q$3:Q$90),"—")</f>
        <v>0.16700000000000001</v>
      </c>
      <c r="K24" s="130" t="str">
        <f>IFERROR(_xlfn.XLOOKUP(C24,'DONNÉES BRUTES'!A$3:A$90,'DONNÉES BRUTES'!S$3:S$90),"—")</f>
        <v>1.63</v>
      </c>
      <c r="L24" s="130" t="str">
        <f>IFERROR(_xlfn.XLOOKUP(C24,'DONNÉES BRUTES'!A$3:A$90,'DONNÉES BRUTES'!T$3:T$90),"—")</f>
        <v>0.4x</v>
      </c>
      <c r="M24" s="60">
        <f>IFERROR(_xlfn.XLOOKUP(C24,'DONNÉES BRUTES'!A$3:A$90,'DONNÉES BRUTES'!AB$3:AB$90),"—")</f>
        <v>44</v>
      </c>
      <c r="N24" s="8" t="str">
        <f>IFERROR(_xlfn.XLOOKUP(C24,'DONNÉES BRUTES'!A$3:A$90,'DONNÉES BRUTES'!AD$3:AD$90),"—")</f>
        <v>Neutre</v>
      </c>
    </row>
    <row r="25" spans="2:24" ht="13.95" customHeight="1" x14ac:dyDescent="0.3">
      <c r="B25">
        <v>19</v>
      </c>
      <c r="C25" t="str" cm="1">
        <f t="array" ref="C25">IFERROR(INDEX('DONNÉES BRUTES'!A$3:A$90,MATCH(1,('DONNÉES BRUTES'!Z$3:Z$90&gt;=LARGE('DONNÉES BRUTES'!Z$3:Z$90,19))*(COUNTIF(C$6:C24,'DONNÉES BRUTES'!A$3:A$90)=0)*('DONNÉES BRUTES'!A$3:A$90&lt;&gt;""),0)),"—")</f>
        <v>MSI</v>
      </c>
      <c r="D25" t="str">
        <f>IFERROR(_xlfn.XLOOKUP(C25,'DONNÉES BRUTES'!A$3:A$90,'DONNÉES BRUTES'!B$3:B$90),"—")</f>
        <v>Motorola Solutions, Inc.</v>
      </c>
      <c r="F25" t="str">
        <f>IFERROR(_xlfn.XLOOKUP(C25,'DONNÉES BRUTES'!A$3:A$90,'DONNÉES BRUTES'!Z$3:Z$90)&amp;"/100","—")</f>
        <v>78/100</v>
      </c>
      <c r="G25" s="127" t="str">
        <f>IFERROR(_xlfn.XLOOKUP(C25,'DONNÉES BRUTES'!A$3:A$90,'DONNÉES BRUTES'!U$3:U$90),"—")</f>
        <v>1.75</v>
      </c>
      <c r="H25" s="127" t="str">
        <f>IFERROR(_xlfn.XLOOKUP(C25,'DONNÉES BRUTES'!A$3:A$90,'DONNÉES BRUTES'!V$3:V$90),"—")</f>
        <v>-2.84</v>
      </c>
      <c r="I25" s="4">
        <f>IFERROR(_xlfn.XLOOKUP(C25,'DONNÉES BRUTES'!A$3:A$90,'DONNÉES BRUTES'!N$3:N$90),"—")</f>
        <v>0.308</v>
      </c>
      <c r="J25" s="113">
        <f>IFERROR(_xlfn.XLOOKUP(C25,'DONNÉES BRUTES'!A$3:A$90,'DONNÉES BRUTES'!Q$3:Q$90),"—")</f>
        <v>0.89400000000000002</v>
      </c>
      <c r="K25" s="127" t="str">
        <f>IFERROR(_xlfn.XLOOKUP(C25,'DONNÉES BRUTES'!A$3:A$90,'DONNÉES BRUTES'!S$3:S$90),"—")</f>
        <v>1.04</v>
      </c>
      <c r="L25" s="127" t="str">
        <f>IFERROR(_xlfn.XLOOKUP(C25,'DONNÉES BRUTES'!A$3:A$90,'DONNÉES BRUTES'!T$3:T$90),"—")</f>
        <v>2.2x</v>
      </c>
      <c r="M25" s="59">
        <f>IFERROR(_xlfn.XLOOKUP(C25,'DONNÉES BRUTES'!A$3:A$90,'DONNÉES BRUTES'!AB$3:AB$90),"—")</f>
        <v>77</v>
      </c>
      <c r="N25" t="str">
        <f>IFERROR(_xlfn.XLOOKUP(C25,'DONNÉES BRUTES'!A$3:A$90,'DONNÉES BRUTES'!AD$3:AD$90),"—")</f>
        <v>Neutre</v>
      </c>
    </row>
    <row r="26" spans="2:24" ht="13.95" customHeight="1" x14ac:dyDescent="0.3">
      <c r="B26" s="8">
        <v>20</v>
      </c>
      <c r="C26" s="8" t="str" cm="1">
        <f t="array" ref="C26">IFERROR(INDEX('DONNÉES BRUTES'!A$3:A$90,MATCH(1,('DONNÉES BRUTES'!Z$3:Z$90&gt;=LARGE('DONNÉES BRUTES'!Z$3:Z$90,20))*(COUNTIF(C$6:C25,'DONNÉES BRUTES'!A$3:A$90)=0)*('DONNÉES BRUTES'!A$3:A$90&lt;&gt;""),0)),"—")</f>
        <v>INTU</v>
      </c>
      <c r="D26" s="8" t="str">
        <f>IFERROR(_xlfn.XLOOKUP(C26,'DONNÉES BRUTES'!A$3:A$90,'DONNÉES BRUTES'!B$3:B$90),"—")</f>
        <v>Intuit Inc.</v>
      </c>
      <c r="E26" s="8"/>
      <c r="F26" s="8" t="str">
        <f>IFERROR(_xlfn.XLOOKUP(C26,'DONNÉES BRUTES'!A$3:A$90,'DONNÉES BRUTES'!Z$3:Z$90)&amp;"/100","—")</f>
        <v>78/100</v>
      </c>
      <c r="G26" s="130" t="str">
        <f>IFERROR(_xlfn.XLOOKUP(C26,'DONNÉES BRUTES'!A$3:A$90,'DONNÉES BRUTES'!U$3:U$90),"—")</f>
        <v>4.52</v>
      </c>
      <c r="H26" s="130" t="str">
        <f>IFERROR(_xlfn.XLOOKUP(C26,'DONNÉES BRUTES'!A$3:A$90,'DONNÉES BRUTES'!V$3:V$90),"—")</f>
        <v>-3.05</v>
      </c>
      <c r="I26" s="108">
        <f>IFERROR(_xlfn.XLOOKUP(C26,'DONNÉES BRUTES'!A$3:A$90,'DONNÉES BRUTES'!N$3:N$90),"—")</f>
        <v>0.313</v>
      </c>
      <c r="J26" s="116">
        <f>IFERROR(_xlfn.XLOOKUP(C26,'DONNÉES BRUTES'!A$3:A$90,'DONNÉES BRUTES'!Q$3:Q$90),"—")</f>
        <v>0.19600000000000001</v>
      </c>
      <c r="K26" s="130" t="str">
        <f>IFERROR(_xlfn.XLOOKUP(C26,'DONNÉES BRUTES'!A$3:A$90,'DONNÉES BRUTES'!S$3:S$90),"—")</f>
        <v>1.36</v>
      </c>
      <c r="L26" s="130" t="str">
        <f>IFERROR(_xlfn.XLOOKUP(C26,'DONNÉES BRUTES'!A$3:A$90,'DONNÉES BRUTES'!T$3:T$90),"—")</f>
        <v>0.5x</v>
      </c>
      <c r="M26" s="60">
        <f>IFERROR(_xlfn.XLOOKUP(C26,'DONNÉES BRUTES'!A$3:A$90,'DONNÉES BRUTES'!AB$3:AB$90),"—")</f>
        <v>67</v>
      </c>
      <c r="N26" s="8" t="str">
        <f>IFERROR(_xlfn.XLOOKUP(C26,'DONNÉES BRUTES'!A$3:A$90,'DONNÉES BRUTES'!AD$3:AD$90),"—")</f>
        <v>Neutre</v>
      </c>
    </row>
    <row r="27" spans="2:24" ht="13.95" customHeight="1" x14ac:dyDescent="0.3"/>
    <row r="28" spans="2:24" ht="13.95" customHeight="1" x14ac:dyDescent="0.3">
      <c r="B28" s="7" t="s">
        <v>785</v>
      </c>
    </row>
    <row r="29" spans="2:24" ht="13.95" customHeight="1" x14ac:dyDescent="0.3"/>
    <row r="30" spans="2:24" ht="13.95" customHeight="1" x14ac:dyDescent="0.3"/>
    <row r="31" spans="2:24" ht="13.95" customHeight="1" x14ac:dyDescent="0.3"/>
    <row r="32" spans="2:24" ht="13.95" customHeight="1" x14ac:dyDescent="0.3"/>
    <row r="33" ht="13.95" customHeight="1" x14ac:dyDescent="0.3"/>
    <row r="34" ht="13.95" customHeight="1" x14ac:dyDescent="0.3"/>
    <row r="35" ht="13.95" customHeight="1" x14ac:dyDescent="0.3"/>
    <row r="36" ht="13.95" customHeight="1" x14ac:dyDescent="0.3"/>
    <row r="37" ht="13.95" customHeight="1" x14ac:dyDescent="0.3"/>
    <row r="38" ht="13.95" customHeight="1" x14ac:dyDescent="0.3"/>
    <row r="39" ht="13.95" customHeight="1" x14ac:dyDescent="0.3"/>
    <row r="40" ht="13.95" customHeight="1" x14ac:dyDescent="0.3"/>
    <row r="41" ht="13.95" customHeight="1" x14ac:dyDescent="0.3"/>
    <row r="42" ht="13.95" customHeight="1" x14ac:dyDescent="0.3"/>
    <row r="43" ht="13.95" customHeight="1" x14ac:dyDescent="0.3"/>
    <row r="45" ht="16.2" customHeight="1" x14ac:dyDescent="0.3"/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X45"/>
  <sheetViews>
    <sheetView showGridLines="0" zoomScaleNormal="100" workbookViewId="0">
      <selection activeCell="I26" sqref="I26"/>
    </sheetView>
  </sheetViews>
  <sheetFormatPr baseColWidth="10" defaultColWidth="8.88671875" defaultRowHeight="14.4" x14ac:dyDescent="0.3"/>
  <cols>
    <col min="1" max="1" width="1.6640625" customWidth="1"/>
    <col min="2" max="2" width="7.44140625" customWidth="1"/>
    <col min="3" max="3" width="13.33203125" customWidth="1"/>
    <col min="4" max="4" width="29.6640625" customWidth="1"/>
    <col min="5" max="5" width="10.33203125" customWidth="1"/>
    <col min="6" max="6" width="12.5546875" customWidth="1"/>
    <col min="7" max="7" width="13.6640625" customWidth="1"/>
    <col min="8" max="8" width="14.6640625" customWidth="1"/>
    <col min="9" max="9" width="12.5546875" bestFit="1" customWidth="1"/>
    <col min="10" max="10" width="13.109375" bestFit="1" customWidth="1"/>
    <col min="11" max="11" width="10.5546875" bestFit="1" customWidth="1"/>
    <col min="12" max="12" width="14.5546875" bestFit="1" customWidth="1"/>
    <col min="14" max="18" width="0.5546875" customWidth="1"/>
  </cols>
  <sheetData>
    <row r="1" spans="2:24" ht="28.2" customHeight="1" x14ac:dyDescent="0.3">
      <c r="B1" s="14" t="s">
        <v>790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91"/>
      <c r="N1" s="91" t="s">
        <v>0</v>
      </c>
      <c r="O1" s="91" t="s">
        <v>26</v>
      </c>
      <c r="P1" s="91"/>
      <c r="Q1" s="91" t="s">
        <v>0</v>
      </c>
      <c r="R1" s="91" t="s">
        <v>302</v>
      </c>
      <c r="S1" s="91"/>
      <c r="T1" s="92" t="s">
        <v>0</v>
      </c>
      <c r="U1" s="92" t="s">
        <v>7</v>
      </c>
      <c r="V1" s="92"/>
      <c r="W1" s="92" t="s">
        <v>303</v>
      </c>
      <c r="X1" s="92" t="s">
        <v>1</v>
      </c>
    </row>
    <row r="2" spans="2:24" ht="15" customHeight="1" x14ac:dyDescent="0.3">
      <c r="B2" s="7" t="s">
        <v>780</v>
      </c>
      <c r="M2" s="92"/>
      <c r="N2" s="92" t="s">
        <v>304</v>
      </c>
      <c r="O2" s="92">
        <v>100</v>
      </c>
      <c r="P2" s="92"/>
      <c r="Q2" s="92" t="s">
        <v>304</v>
      </c>
      <c r="R2" s="92">
        <v>0</v>
      </c>
      <c r="S2" s="92"/>
      <c r="T2" s="92" t="s">
        <v>304</v>
      </c>
      <c r="U2" s="92">
        <v>-17</v>
      </c>
      <c r="V2" s="92"/>
      <c r="W2" s="92">
        <v>100</v>
      </c>
      <c r="X2" s="92">
        <v>34</v>
      </c>
    </row>
    <row r="3" spans="2:24" ht="18" customHeight="1" x14ac:dyDescent="0.45">
      <c r="B3" s="24"/>
      <c r="C3" s="24">
        <f>COUNTA('DONNÉES BRUTES'!A$3:A$90)</f>
        <v>88</v>
      </c>
      <c r="D3" s="24"/>
      <c r="E3" s="24"/>
      <c r="F3" s="24"/>
      <c r="G3" s="24" t="str">
        <f>IFERROR(_xlfn.XLOOKUP(LARGE('DONNÉES BRUTES'!AA$3:AA$90,1),'DONNÉES BRUTES'!AA$3:AA$90,'DONNÉES BRUTES'!A$3:A$90),"—")</f>
        <v>APA</v>
      </c>
      <c r="H3" s="24"/>
      <c r="I3" s="24"/>
      <c r="J3" s="24"/>
      <c r="K3" s="24" t="str">
        <f>IFERROR(ROUND(AVERAGE('DONNÉES BRUTES'!AA$3:AA$90),0)&amp;"/100","—")</f>
        <v>43/100</v>
      </c>
      <c r="L3" s="24"/>
      <c r="M3" s="92"/>
      <c r="N3" s="92" t="s">
        <v>131</v>
      </c>
      <c r="O3" s="92">
        <v>99</v>
      </c>
      <c r="P3" s="92"/>
      <c r="Q3" s="92" t="s">
        <v>131</v>
      </c>
      <c r="R3" s="92">
        <v>477</v>
      </c>
      <c r="S3" s="92"/>
      <c r="T3" s="92" t="s">
        <v>131</v>
      </c>
      <c r="U3" s="92">
        <v>20.399999999999999</v>
      </c>
      <c r="V3" s="92"/>
      <c r="W3" s="92">
        <v>99</v>
      </c>
      <c r="X3" s="92">
        <v>77</v>
      </c>
    </row>
    <row r="4" spans="2:24" ht="13.95" customHeight="1" x14ac:dyDescent="0.3">
      <c r="B4" s="10"/>
      <c r="C4" s="10" t="s">
        <v>97</v>
      </c>
      <c r="D4" s="10"/>
      <c r="E4" s="10"/>
      <c r="F4" s="10"/>
      <c r="G4" s="10" t="s">
        <v>305</v>
      </c>
      <c r="H4" s="10"/>
      <c r="I4" s="10"/>
      <c r="J4" s="10"/>
      <c r="K4" s="10" t="s">
        <v>306</v>
      </c>
      <c r="L4" s="10"/>
      <c r="M4" s="92"/>
      <c r="N4" s="92" t="s">
        <v>307</v>
      </c>
      <c r="O4" s="92">
        <v>98</v>
      </c>
      <c r="P4" s="92"/>
      <c r="Q4" s="92" t="s">
        <v>307</v>
      </c>
      <c r="R4" s="92">
        <v>455</v>
      </c>
      <c r="S4" s="92"/>
      <c r="T4" s="92" t="s">
        <v>307</v>
      </c>
      <c r="U4" s="92">
        <v>8.1</v>
      </c>
      <c r="V4" s="92"/>
      <c r="W4" s="92">
        <v>98</v>
      </c>
      <c r="X4" s="92">
        <v>59</v>
      </c>
    </row>
    <row r="5" spans="2:24" ht="13.95" customHeight="1" x14ac:dyDescent="0.3">
      <c r="B5" s="14" t="s">
        <v>784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91"/>
      <c r="N5" s="91" t="s">
        <v>230</v>
      </c>
      <c r="O5" s="91">
        <v>97</v>
      </c>
      <c r="P5" s="91"/>
      <c r="Q5" s="91" t="s">
        <v>230</v>
      </c>
      <c r="R5" s="91">
        <v>292</v>
      </c>
      <c r="S5" s="91"/>
      <c r="T5" s="92" t="s">
        <v>230</v>
      </c>
      <c r="U5" s="92">
        <v>24.7</v>
      </c>
      <c r="V5" s="92"/>
      <c r="W5" s="92">
        <v>97</v>
      </c>
      <c r="X5" s="92">
        <v>66</v>
      </c>
    </row>
    <row r="6" spans="2:24" ht="13.95" customHeight="1" x14ac:dyDescent="0.3">
      <c r="B6" s="23" t="s">
        <v>24</v>
      </c>
      <c r="C6" s="6" t="s">
        <v>0</v>
      </c>
      <c r="D6" s="6" t="s">
        <v>25</v>
      </c>
      <c r="E6" s="6"/>
      <c r="F6" s="6" t="s">
        <v>26</v>
      </c>
      <c r="G6" s="6" t="s">
        <v>91</v>
      </c>
      <c r="H6" s="6" t="s">
        <v>33</v>
      </c>
      <c r="I6" s="6" t="s">
        <v>1</v>
      </c>
      <c r="J6" s="6" t="s">
        <v>274</v>
      </c>
      <c r="K6" s="6" t="s">
        <v>93</v>
      </c>
      <c r="L6" s="6" t="s">
        <v>2</v>
      </c>
      <c r="M6" s="92"/>
      <c r="N6" s="92" t="s">
        <v>104</v>
      </c>
      <c r="O6" s="92">
        <v>95</v>
      </c>
      <c r="P6" s="92"/>
      <c r="Q6" s="92" t="s">
        <v>104</v>
      </c>
      <c r="R6" s="92">
        <v>283</v>
      </c>
      <c r="S6" s="92"/>
      <c r="T6" s="92" t="s">
        <v>104</v>
      </c>
      <c r="U6" s="92">
        <v>49.4</v>
      </c>
      <c r="V6" s="92"/>
      <c r="W6" s="92">
        <v>95</v>
      </c>
      <c r="X6" s="92">
        <v>78</v>
      </c>
    </row>
    <row r="7" spans="2:24" ht="13.95" customHeight="1" x14ac:dyDescent="0.3">
      <c r="B7" s="94">
        <v>1</v>
      </c>
      <c r="C7" s="94" t="str" cm="1">
        <f t="array" ref="C7">IFERROR(INDEX('DONNÉES BRUTES'!A$3:A$90,MATCH(1,('DONNÉES BRUTES'!AA$3:AA$90=LARGE('DONNÉES BRUTES'!AA$3:AA$90,1))*(COUNTIF(C$6:C6,'DONNÉES BRUTES'!A$3:A$90)=0)*('DONNÉES BRUTES'!A$3:A$90&lt;&gt;""),0)),"—")</f>
        <v>APA</v>
      </c>
      <c r="D7" s="97" t="str">
        <f>IFERROR(_xlfn.XLOOKUP(C7,'DONNÉES BRUTES'!A$3:A$90,'DONNÉES BRUTES'!B$3:B$90),"—")</f>
        <v>APA Corporation</v>
      </c>
      <c r="E7" s="93"/>
      <c r="F7" s="94" t="str">
        <f>IFERROR(_xlfn.XLOOKUP(C7,'DONNÉES BRUTES'!A$3:A$90,'DONNÉES BRUTES'!AA$3:AA$90)&amp;"/100","—")</f>
        <v>100/100</v>
      </c>
      <c r="G7" s="131" t="str">
        <f>IFERROR(_xlfn.XLOOKUP(C7,'DONNÉES BRUTES'!A$3:A$90,'DONNÉES BRUTES'!W$3:W$90),"—")</f>
        <v>+129.6%</v>
      </c>
      <c r="H7" s="133">
        <f>IFERROR(_xlfn.XLOOKUP(C7,'DONNÉES BRUTES'!A$3:A$90,'DONNÉES BRUTES'!N$3:N$90),"—")</f>
        <v>0.60199999999999998</v>
      </c>
      <c r="I7" s="94">
        <f>IFERROR(_xlfn.XLOOKUP(C7,'DONNÉES BRUTES'!A$3:A$90,'DONNÉES BRUTES'!AB$3:AB$90),"—")</f>
        <v>77</v>
      </c>
      <c r="J7" s="94">
        <f>IFERROR(_xlfn.XLOOKUP(C7,'DONNÉES BRUTES'!A$3:A$90,'DONNÉES BRUTES'!Y$3:Y$90),"—")</f>
        <v>62</v>
      </c>
      <c r="K7" s="94" t="str">
        <f>IFERROR(_xlfn.XLOOKUP(C7,'DONNÉES BRUTES'!A$3:A$90,'DONNÉES BRUTES'!AC$3:AC$90),"—")</f>
        <v>2026-05-06</v>
      </c>
      <c r="L7" s="94" t="str">
        <f>IFERROR(_xlfn.XLOOKUP(C7,'DONNÉES BRUTES'!A$3:A$90,'DONNÉES BRUTES'!AD$3:AD$90),"—")</f>
        <v>Surpondérer</v>
      </c>
      <c r="M7" s="92"/>
      <c r="N7" s="92" t="s">
        <v>277</v>
      </c>
      <c r="O7" s="92">
        <v>94</v>
      </c>
      <c r="P7" s="92"/>
      <c r="Q7" s="92" t="s">
        <v>277</v>
      </c>
      <c r="R7" s="92">
        <v>264</v>
      </c>
      <c r="S7" s="92"/>
      <c r="T7" s="92" t="s">
        <v>277</v>
      </c>
      <c r="U7" s="92">
        <v>22.9</v>
      </c>
      <c r="V7" s="92"/>
      <c r="W7" s="92">
        <v>94</v>
      </c>
      <c r="X7" s="92">
        <v>73</v>
      </c>
    </row>
    <row r="8" spans="2:24" ht="13.95" customHeight="1" x14ac:dyDescent="0.3">
      <c r="B8" s="96">
        <v>2</v>
      </c>
      <c r="C8" s="96" t="str" cm="1">
        <f t="array" ref="C8">IFERROR(INDEX('DONNÉES BRUTES'!A$3:A$90,MATCH(1,('DONNÉES BRUTES'!AA$3:AA$90&gt;=LARGE('DONNÉES BRUTES'!AA$3:AA$90,2))*(COUNTIF(C$6:C7,'DONNÉES BRUTES'!A$3:A$90)=0)*('DONNÉES BRUTES'!A$3:A$90&lt;&gt;""),0)),"—")</f>
        <v>SNDK</v>
      </c>
      <c r="D8" s="98" t="str">
        <f>IFERROR(_xlfn.XLOOKUP(C8,'DONNÉES BRUTES'!A$3:A$90,'DONNÉES BRUTES'!B$3:B$90),"—")</f>
        <v>Sandisk Corporation</v>
      </c>
      <c r="E8" s="95"/>
      <c r="F8" s="96" t="str">
        <f>IFERROR(_xlfn.XLOOKUP(C8,'DONNÉES BRUTES'!A$3:A$90,'DONNÉES BRUTES'!AA$3:AA$90)&amp;"/100","—")</f>
        <v>100/100</v>
      </c>
      <c r="G8" s="132" t="str">
        <f>IFERROR(_xlfn.XLOOKUP(C8,'DONNÉES BRUTES'!A$3:A$90,'DONNÉES BRUTES'!W$3:W$90),"—")</f>
        <v>—</v>
      </c>
      <c r="H8" s="134">
        <f>IFERROR(_xlfn.XLOOKUP(C8,'DONNÉES BRUTES'!A$3:A$90,'DONNÉES BRUTES'!N$3:N$90),"—")</f>
        <v>-0.17</v>
      </c>
      <c r="I8" s="96">
        <f>IFERROR(_xlfn.XLOOKUP(C8,'DONNÉES BRUTES'!A$3:A$90,'DONNÉES BRUTES'!AB$3:AB$90),"—")</f>
        <v>40</v>
      </c>
      <c r="J8" s="96">
        <f>IFERROR(_xlfn.XLOOKUP(C8,'DONNÉES BRUTES'!A$3:A$90,'DONNÉES BRUTES'!Y$3:Y$90),"—")</f>
        <v>1</v>
      </c>
      <c r="K8" s="96" t="str">
        <f>IFERROR(_xlfn.XLOOKUP(C8,'DONNÉES BRUTES'!A$3:A$90,'DONNÉES BRUTES'!AC$3:AC$90),"—")</f>
        <v>—</v>
      </c>
      <c r="L8" s="96" t="str">
        <f>IFERROR(_xlfn.XLOOKUP(C8,'DONNÉES BRUTES'!A$3:A$90,'DONNÉES BRUTES'!AD$3:AD$90),"—")</f>
        <v>Sous-pondérer</v>
      </c>
      <c r="M8" s="92"/>
      <c r="N8" s="92" t="s">
        <v>176</v>
      </c>
      <c r="O8" s="92">
        <v>93</v>
      </c>
      <c r="P8" s="92"/>
      <c r="Q8" s="92" t="s">
        <v>176</v>
      </c>
      <c r="R8" s="92">
        <v>199</v>
      </c>
      <c r="S8" s="92"/>
      <c r="T8" s="92" t="s">
        <v>176</v>
      </c>
      <c r="U8" s="92">
        <v>23.9</v>
      </c>
      <c r="V8" s="92"/>
      <c r="W8" s="92">
        <v>93</v>
      </c>
      <c r="X8" s="92">
        <v>68</v>
      </c>
    </row>
    <row r="9" spans="2:24" ht="13.95" customHeight="1" x14ac:dyDescent="0.3">
      <c r="B9" s="94">
        <v>3</v>
      </c>
      <c r="C9" s="94" t="str" cm="1">
        <f t="array" ref="C9">IFERROR(INDEX('DONNÉES BRUTES'!A$3:A$90,MATCH(1,('DONNÉES BRUTES'!AA$3:AA$90&gt;=LARGE('DONNÉES BRUTES'!AA$3:AA$90,3))*(COUNTIF(C$6:C8,'DONNÉES BRUTES'!A$3:A$90)=0)*('DONNÉES BRUTES'!A$3:A$90&lt;&gt;""),0)),"—")</f>
        <v>CIEN</v>
      </c>
      <c r="D9" s="97" t="str">
        <f>IFERROR(_xlfn.XLOOKUP(C9,'DONNÉES BRUTES'!A$3:A$90,'DONNÉES BRUTES'!B$3:B$90),"—")</f>
        <v>Ciena Corporation</v>
      </c>
      <c r="E9" s="93"/>
      <c r="F9" s="94" t="str">
        <f>IFERROR(_xlfn.XLOOKUP(C9,'DONNÉES BRUTES'!A$3:A$90,'DONNÉES BRUTES'!AA$3:AA$90)&amp;"/100","—")</f>
        <v>98/100</v>
      </c>
      <c r="G9" s="131" t="str">
        <f>IFERROR(_xlfn.XLOOKUP(C9,'DONNÉES BRUTES'!A$3:A$90,'DONNÉES BRUTES'!W$3:W$90),"—")</f>
        <v>+454.6%</v>
      </c>
      <c r="H9" s="133">
        <f>IFERROR(_xlfn.XLOOKUP(C9,'DONNÉES BRUTES'!A$3:A$90,'DONNÉES BRUTES'!N$3:N$90),"—")</f>
        <v>8.1000000000000003E-2</v>
      </c>
      <c r="I9" s="94">
        <f>IFERROR(_xlfn.XLOOKUP(C9,'DONNÉES BRUTES'!A$3:A$90,'DONNÉES BRUTES'!AB$3:AB$90),"—")</f>
        <v>73</v>
      </c>
      <c r="J9" s="94">
        <f>IFERROR(_xlfn.XLOOKUP(C9,'DONNÉES BRUTES'!A$3:A$90,'DONNÉES BRUTES'!Y$3:Y$90),"—")</f>
        <v>59</v>
      </c>
      <c r="K9" s="94" t="str">
        <f>IFERROR(_xlfn.XLOOKUP(C9,'DONNÉES BRUTES'!A$3:A$90,'DONNÉES BRUTES'!AC$3:AC$90),"—")</f>
        <v>2026-06-04</v>
      </c>
      <c r="L9" s="94" t="str">
        <f>IFERROR(_xlfn.XLOOKUP(C9,'DONNÉES BRUTES'!A$3:A$90,'DONNÉES BRUTES'!AD$3:AD$90),"—")</f>
        <v>Neutre</v>
      </c>
      <c r="M9" s="92"/>
      <c r="N9" s="92" t="s">
        <v>122</v>
      </c>
      <c r="O9" s="92">
        <v>92</v>
      </c>
      <c r="P9" s="92"/>
      <c r="Q9" s="92" t="s">
        <v>122</v>
      </c>
      <c r="R9" s="92">
        <v>172</v>
      </c>
      <c r="S9" s="92"/>
      <c r="T9" s="92" t="s">
        <v>122</v>
      </c>
      <c r="U9" s="92">
        <v>35.4</v>
      </c>
      <c r="V9" s="92"/>
      <c r="W9" s="92">
        <v>92</v>
      </c>
      <c r="X9" s="92">
        <v>77</v>
      </c>
    </row>
    <row r="10" spans="2:24" ht="13.95" customHeight="1" x14ac:dyDescent="0.3">
      <c r="B10" s="96">
        <v>4</v>
      </c>
      <c r="C10" s="96" t="str" cm="1">
        <f t="array" ref="C10">IFERROR(INDEX('DONNÉES BRUTES'!A$3:A$90,MATCH(1,('DONNÉES BRUTES'!AA$3:AA$90&gt;=LARGE('DONNÉES BRUTES'!AA$3:AA$90,4))*(COUNTIF(C$6:C9,'DONNÉES BRUTES'!A$3:A$90)=0)*('DONNÉES BRUTES'!A$3:A$90&lt;&gt;""),0)),"—")</f>
        <v>HAL</v>
      </c>
      <c r="D10" s="98" t="str">
        <f>IFERROR(_xlfn.XLOOKUP(C10,'DONNÉES BRUTES'!A$3:A$90,'DONNÉES BRUTES'!B$3:B$90),"—")</f>
        <v>Halliburton Company</v>
      </c>
      <c r="E10" s="95"/>
      <c r="F10" s="96" t="str">
        <f>IFERROR(_xlfn.XLOOKUP(C10,'DONNÉES BRUTES'!A$3:A$90,'DONNÉES BRUTES'!AA$3:AA$90)&amp;"/100","—")</f>
        <v>96/100</v>
      </c>
      <c r="G10" s="132" t="str">
        <f>IFERROR(_xlfn.XLOOKUP(C10,'DONNÉES BRUTES'!A$3:A$90,'DONNÉES BRUTES'!W$3:W$90),"—")</f>
        <v>+99.5%</v>
      </c>
      <c r="H10" s="134">
        <f>IFERROR(_xlfn.XLOOKUP(C10,'DONNÉES BRUTES'!A$3:A$90,'DONNÉES BRUTES'!N$3:N$90),"—")</f>
        <v>0.14699999999999999</v>
      </c>
      <c r="I10" s="96">
        <f>IFERROR(_xlfn.XLOOKUP(C10,'DONNÉES BRUTES'!A$3:A$90,'DONNÉES BRUTES'!AB$3:AB$90),"—")</f>
        <v>50</v>
      </c>
      <c r="J10" s="96">
        <f>IFERROR(_xlfn.XLOOKUP(C10,'DONNÉES BRUTES'!A$3:A$90,'DONNÉES BRUTES'!Y$3:Y$90),"—")</f>
        <v>0</v>
      </c>
      <c r="K10" s="96" t="str">
        <f>IFERROR(_xlfn.XLOOKUP(C10,'DONNÉES BRUTES'!A$3:A$90,'DONNÉES BRUTES'!AC$3:AC$90),"—")</f>
        <v>2026-04-21</v>
      </c>
      <c r="L10" s="96" t="str">
        <f>IFERROR(_xlfn.XLOOKUP(C10,'DONNÉES BRUTES'!A$3:A$90,'DONNÉES BRUTES'!AD$3:AD$90),"—")</f>
        <v>Sous-pondérer</v>
      </c>
      <c r="M10" s="92"/>
      <c r="N10" s="92" t="s">
        <v>185</v>
      </c>
      <c r="O10" s="92">
        <v>91</v>
      </c>
      <c r="P10" s="92"/>
      <c r="Q10" s="92" t="s">
        <v>185</v>
      </c>
      <c r="R10" s="92">
        <v>152</v>
      </c>
      <c r="S10" s="92"/>
      <c r="T10" s="92" t="s">
        <v>185</v>
      </c>
      <c r="U10" s="92">
        <v>27.2</v>
      </c>
      <c r="V10" s="92"/>
      <c r="W10" s="92">
        <v>91</v>
      </c>
      <c r="X10" s="92">
        <v>67</v>
      </c>
    </row>
    <row r="11" spans="2:24" ht="13.95" customHeight="1" x14ac:dyDescent="0.3">
      <c r="B11" s="94">
        <v>5</v>
      </c>
      <c r="C11" s="94" t="str" cm="1">
        <f t="array" ref="C11">IFERROR(INDEX('DONNÉES BRUTES'!A$3:A$90,MATCH(1,('DONNÉES BRUTES'!AA$3:AA$90&gt;=LARGE('DONNÉES BRUTES'!AA$3:AA$90,5))*(COUNTIF(C$6:C10,'DONNÉES BRUTES'!A$3:A$90)=0)*('DONNÉES BRUTES'!A$3:A$90&lt;&gt;""),0)),"—")</f>
        <v>VLO</v>
      </c>
      <c r="D11" s="97" t="str">
        <f>IFERROR(_xlfn.XLOOKUP(C11,'DONNÉES BRUTES'!A$3:A$90,'DONNÉES BRUTES'!B$3:B$90),"—")</f>
        <v>Valero Energy Corporation</v>
      </c>
      <c r="E11" s="93"/>
      <c r="F11" s="94" t="str">
        <f>IFERROR(_xlfn.XLOOKUP(C11,'DONNÉES BRUTES'!A$3:A$90,'DONNÉES BRUTES'!AA$3:AA$90)&amp;"/100","—")</f>
        <v>92/100</v>
      </c>
      <c r="G11" s="131" t="str">
        <f>IFERROR(_xlfn.XLOOKUP(C11,'DONNÉES BRUTES'!A$3:A$90,'DONNÉES BRUTES'!W$3:W$90),"—")</f>
        <v>+92.9%</v>
      </c>
      <c r="H11" s="133">
        <f>IFERROR(_xlfn.XLOOKUP(C11,'DONNÉES BRUTES'!A$3:A$90,'DONNÉES BRUTES'!N$3:N$90),"—")</f>
        <v>5.5E-2</v>
      </c>
      <c r="I11" s="94">
        <f>IFERROR(_xlfn.XLOOKUP(C11,'DONNÉES BRUTES'!A$3:A$90,'DONNÉES BRUTES'!AB$3:AB$90),"—")</f>
        <v>55</v>
      </c>
      <c r="J11" s="94">
        <f>IFERROR(_xlfn.XLOOKUP(C11,'DONNÉES BRUTES'!A$3:A$90,'DONNÉES BRUTES'!Y$3:Y$90),"—")</f>
        <v>25</v>
      </c>
      <c r="K11" s="94" t="str">
        <f>IFERROR(_xlfn.XLOOKUP(C11,'DONNÉES BRUTES'!A$3:A$90,'DONNÉES BRUTES'!AC$3:AC$90),"—")</f>
        <v>2026-04-30</v>
      </c>
      <c r="L11" s="94" t="str">
        <f>IFERROR(_xlfn.XLOOKUP(C11,'DONNÉES BRUTES'!A$3:A$90,'DONNÉES BRUTES'!AD$3:AD$90),"—")</f>
        <v>Sous-pondérer</v>
      </c>
      <c r="M11" s="92"/>
      <c r="N11" s="92" t="s">
        <v>308</v>
      </c>
      <c r="O11" s="92">
        <v>90</v>
      </c>
      <c r="P11" s="92"/>
      <c r="Q11" s="92" t="s">
        <v>308</v>
      </c>
      <c r="R11" s="92">
        <v>125</v>
      </c>
      <c r="S11" s="92"/>
      <c r="T11" s="92" t="s">
        <v>308</v>
      </c>
      <c r="U11" s="92">
        <v>35.200000000000003</v>
      </c>
      <c r="V11" s="92"/>
      <c r="W11" s="92">
        <v>90</v>
      </c>
      <c r="X11" s="92">
        <v>60</v>
      </c>
    </row>
    <row r="12" spans="2:24" ht="13.95" customHeight="1" x14ac:dyDescent="0.3">
      <c r="B12" s="96">
        <v>6</v>
      </c>
      <c r="C12" s="96" t="str" cm="1">
        <f t="array" ref="C12">IFERROR(INDEX('DONNÉES BRUTES'!A$3:A$90,MATCH(1,('DONNÉES BRUTES'!AA$3:AA$90&gt;=LARGE('DONNÉES BRUTES'!AA$3:AA$90,6))*(COUNTIF(C$6:C11,'DONNÉES BRUTES'!A$3:A$90)=0)*('DONNÉES BRUTES'!A$3:A$90&lt;&gt;""),0)),"—")</f>
        <v>AMAT</v>
      </c>
      <c r="D12" s="98" t="str">
        <f>IFERROR(_xlfn.XLOOKUP(C12,'DONNÉES BRUTES'!A$3:A$90,'DONNÉES BRUTES'!B$3:B$90),"—")</f>
        <v>Applied Materials, Inc.</v>
      </c>
      <c r="E12" s="95"/>
      <c r="F12" s="96" t="str">
        <f>IFERROR(_xlfn.XLOOKUP(C12,'DONNÉES BRUTES'!A$3:A$90,'DONNÉES BRUTES'!AA$3:AA$90)&amp;"/100","—")</f>
        <v>90/100</v>
      </c>
      <c r="G12" s="132" t="str">
        <f>IFERROR(_xlfn.XLOOKUP(C12,'DONNÉES BRUTES'!A$3:A$90,'DONNÉES BRUTES'!W$3:W$90),"—")</f>
        <v>+124.8%</v>
      </c>
      <c r="H12" s="134">
        <f>IFERROR(_xlfn.XLOOKUP(C12,'DONNÉES BRUTES'!A$3:A$90,'DONNÉES BRUTES'!N$3:N$90),"—")</f>
        <v>0.35199999999999998</v>
      </c>
      <c r="I12" s="96">
        <f>IFERROR(_xlfn.XLOOKUP(C12,'DONNÉES BRUTES'!A$3:A$90,'DONNÉES BRUTES'!AB$3:AB$90),"—")</f>
        <v>77</v>
      </c>
      <c r="J12" s="96">
        <f>IFERROR(_xlfn.XLOOKUP(C12,'DONNÉES BRUTES'!A$3:A$90,'DONNÉES BRUTES'!Y$3:Y$90),"—")</f>
        <v>38</v>
      </c>
      <c r="K12" s="96" t="str">
        <f>IFERROR(_xlfn.XLOOKUP(C12,'DONNÉES BRUTES'!A$3:A$90,'DONNÉES BRUTES'!AC$3:AC$90),"—")</f>
        <v>2026-05-14</v>
      </c>
      <c r="L12" s="96" t="str">
        <f>IFERROR(_xlfn.XLOOKUP(C12,'DONNÉES BRUTES'!A$3:A$90,'DONNÉES BRUTES'!AD$3:AD$90),"—")</f>
        <v>Neutre</v>
      </c>
      <c r="M12" s="92"/>
      <c r="N12" s="92" t="s">
        <v>96</v>
      </c>
      <c r="O12" s="92">
        <v>88</v>
      </c>
      <c r="P12" s="92"/>
      <c r="Q12" s="92" t="s">
        <v>96</v>
      </c>
      <c r="R12" s="92">
        <v>102</v>
      </c>
      <c r="S12" s="92"/>
      <c r="T12" s="92" t="s">
        <v>96</v>
      </c>
      <c r="U12" s="92">
        <v>43.9</v>
      </c>
      <c r="V12" s="92"/>
      <c r="W12" s="92">
        <v>88</v>
      </c>
      <c r="X12" s="92">
        <v>84</v>
      </c>
    </row>
    <row r="13" spans="2:24" ht="13.95" customHeight="1" x14ac:dyDescent="0.3">
      <c r="B13" s="94">
        <v>7</v>
      </c>
      <c r="C13" s="94" t="str" cm="1">
        <f t="array" ref="C13">IFERROR(INDEX('DONNÉES BRUTES'!A$3:A$90,MATCH(1,('DONNÉES BRUTES'!AA$3:AA$90&gt;=LARGE('DONNÉES BRUTES'!AA$3:AA$90,7))*(COUNTIF(C$6:C12,'DONNÉES BRUTES'!A$3:A$90)=0)*('DONNÉES BRUTES'!A$3:A$90&lt;&gt;""),0)),"—")</f>
        <v>ENI.MI</v>
      </c>
      <c r="D13" s="97" t="str">
        <f>IFERROR(_xlfn.XLOOKUP(C13,'DONNÉES BRUTES'!A$3:A$90,'DONNÉES BRUTES'!B$3:B$90),"—")</f>
        <v>Eni S.p.A.</v>
      </c>
      <c r="E13" s="93"/>
      <c r="F13" s="94" t="str">
        <f>IFERROR(_xlfn.XLOOKUP(C13,'DONNÉES BRUTES'!A$3:A$90,'DONNÉES BRUTES'!AA$3:AA$90)&amp;"/100","—")</f>
        <v>88/100</v>
      </c>
      <c r="G13" s="131" t="str">
        <f>IFERROR(_xlfn.XLOOKUP(C13,'DONNÉES BRUTES'!A$3:A$90,'DONNÉES BRUTES'!W$3:W$90),"—")</f>
        <v>+92.3%</v>
      </c>
      <c r="H13" s="133" t="str">
        <f>IFERROR(_xlfn.XLOOKUP(C13,'DONNÉES BRUTES'!A$3:A$90,'DONNÉES BRUTES'!N$3:N$90),"—")</f>
        <v>—</v>
      </c>
      <c r="I13" s="94">
        <f>IFERROR(_xlfn.XLOOKUP(C13,'DONNÉES BRUTES'!A$3:A$90,'DONNÉES BRUTES'!AB$3:AB$90),"—")</f>
        <v>79</v>
      </c>
      <c r="J13" s="94" t="str">
        <f>IFERROR(_xlfn.XLOOKUP(C13,'DONNÉES BRUTES'!A$3:A$90,'DONNÉES BRUTES'!Y$3:Y$90),"—")</f>
        <v>—</v>
      </c>
      <c r="K13" s="94" t="str">
        <f>IFERROR(_xlfn.XLOOKUP(C13,'DONNÉES BRUTES'!A$3:A$90,'DONNÉES BRUTES'!AC$3:AC$90),"—")</f>
        <v>2026-04-24</v>
      </c>
      <c r="L13" s="94" t="str">
        <f>IFERROR(_xlfn.XLOOKUP(C13,'DONNÉES BRUTES'!A$3:A$90,'DONNÉES BRUTES'!AD$3:AD$90),"—")</f>
        <v>Neutre</v>
      </c>
      <c r="M13" s="92"/>
      <c r="N13" s="92" t="s">
        <v>148</v>
      </c>
      <c r="O13" s="92">
        <v>87</v>
      </c>
      <c r="P13" s="92"/>
      <c r="Q13" s="92" t="s">
        <v>148</v>
      </c>
      <c r="R13" s="92">
        <v>93</v>
      </c>
      <c r="S13" s="92"/>
      <c r="T13" s="92" t="s">
        <v>148</v>
      </c>
      <c r="U13" s="92">
        <v>21</v>
      </c>
      <c r="V13" s="92"/>
      <c r="W13" s="92">
        <v>87</v>
      </c>
      <c r="X13" s="92">
        <v>73</v>
      </c>
    </row>
    <row r="14" spans="2:24" ht="13.95" customHeight="1" x14ac:dyDescent="0.3">
      <c r="B14" s="96">
        <v>8</v>
      </c>
      <c r="C14" s="96" t="str" cm="1">
        <f t="array" ref="C14">IFERROR(INDEX('DONNÉES BRUTES'!A$3:A$90,MATCH(1,('DONNÉES BRUTES'!AA$3:AA$90&gt;=LARGE('DONNÉES BRUTES'!AA$3:AA$90,8))*(COUNTIF(C$6:C13,'DONNÉES BRUTES'!A$3:A$90)=0)*('DONNÉES BRUTES'!A$3:A$90&lt;&gt;""),0)),"—")</f>
        <v>BKR</v>
      </c>
      <c r="D14" s="98" t="str">
        <f>IFERROR(_xlfn.XLOOKUP(C14,'DONNÉES BRUTES'!A$3:A$90,'DONNÉES BRUTES'!B$3:B$90),"—")</f>
        <v>Baker Hughes Company</v>
      </c>
      <c r="E14" s="95"/>
      <c r="F14" s="96" t="str">
        <f>IFERROR(_xlfn.XLOOKUP(C14,'DONNÉES BRUTES'!A$3:A$90,'DONNÉES BRUTES'!AA$3:AA$90)&amp;"/100","—")</f>
        <v>85/100</v>
      </c>
      <c r="G14" s="132" t="str">
        <f>IFERROR(_xlfn.XLOOKUP(C14,'DONNÉES BRUTES'!A$3:A$90,'DONNÉES BRUTES'!W$3:W$90),"—")</f>
        <v>+66.8%</v>
      </c>
      <c r="H14" s="134">
        <f>IFERROR(_xlfn.XLOOKUP(C14,'DONNÉES BRUTES'!A$3:A$90,'DONNÉES BRUTES'!N$3:N$90),"—")</f>
        <v>0.155</v>
      </c>
      <c r="I14" s="96">
        <f>IFERROR(_xlfn.XLOOKUP(C14,'DONNÉES BRUTES'!A$3:A$90,'DONNÉES BRUTES'!AB$3:AB$90),"—")</f>
        <v>57</v>
      </c>
      <c r="J14" s="96">
        <f>IFERROR(_xlfn.XLOOKUP(C14,'DONNÉES BRUTES'!A$3:A$90,'DONNÉES BRUTES'!Y$3:Y$90),"—")</f>
        <v>33</v>
      </c>
      <c r="K14" s="96" t="str">
        <f>IFERROR(_xlfn.XLOOKUP(C14,'DONNÉES BRUTES'!A$3:A$90,'DONNÉES BRUTES'!AC$3:AC$90),"—")</f>
        <v>2026-04-23</v>
      </c>
      <c r="L14" s="96" t="str">
        <f>IFERROR(_xlfn.XLOOKUP(C14,'DONNÉES BRUTES'!A$3:A$90,'DONNÉES BRUTES'!AD$3:AD$90),"—")</f>
        <v>Neutre</v>
      </c>
      <c r="M14" s="92"/>
      <c r="N14" s="92" t="s">
        <v>194</v>
      </c>
      <c r="O14" s="92">
        <v>86</v>
      </c>
      <c r="P14" s="92"/>
      <c r="Q14" s="92" t="s">
        <v>194</v>
      </c>
      <c r="R14" s="92">
        <v>85</v>
      </c>
      <c r="S14" s="92"/>
      <c r="T14" s="92" t="s">
        <v>194</v>
      </c>
      <c r="U14" s="92">
        <v>27.1</v>
      </c>
      <c r="V14" s="92"/>
      <c r="W14" s="92">
        <v>86</v>
      </c>
      <c r="X14" s="92">
        <v>67</v>
      </c>
    </row>
    <row r="15" spans="2:24" ht="13.95" customHeight="1" x14ac:dyDescent="0.3">
      <c r="B15" s="94">
        <v>9</v>
      </c>
      <c r="C15" s="94" t="str" cm="1">
        <f t="array" ref="C15">IFERROR(INDEX('DONNÉES BRUTES'!A$3:A$90,MATCH(1,('DONNÉES BRUTES'!AA$3:AA$90&gt;=LARGE('DONNÉES BRUTES'!AA$3:AA$90,9))*(COUNTIF(C$6:C14,'DONNÉES BRUTES'!A$3:A$90)=0)*('DONNÉES BRUTES'!A$3:A$90&lt;&gt;""),0)),"—")</f>
        <v>NOKIA.HE</v>
      </c>
      <c r="D15" s="97" t="str">
        <f>IFERROR(_xlfn.XLOOKUP(C15,'DONNÉES BRUTES'!A$3:A$90,'DONNÉES BRUTES'!B$3:B$90),"—")</f>
        <v>Nokia Oyj</v>
      </c>
      <c r="E15" s="93"/>
      <c r="F15" s="94" t="str">
        <f>IFERROR(_xlfn.XLOOKUP(C15,'DONNÉES BRUTES'!A$3:A$90,'DONNÉES BRUTES'!AA$3:AA$90)&amp;"/100","—")</f>
        <v>83/100</v>
      </c>
      <c r="G15" s="131" t="str">
        <f>IFERROR(_xlfn.XLOOKUP(C15,'DONNÉES BRUTES'!A$3:A$90,'DONNÉES BRUTES'!W$3:W$90),"—")</f>
        <v>—</v>
      </c>
      <c r="H15" s="133">
        <f>IFERROR(_xlfn.XLOOKUP(C15,'DONNÉES BRUTES'!A$3:A$90,'DONNÉES BRUTES'!N$3:N$90),"—")</f>
        <v>0.113</v>
      </c>
      <c r="I15" s="94">
        <f>IFERROR(_xlfn.XLOOKUP(C15,'DONNÉES BRUTES'!A$3:A$90,'DONNÉES BRUTES'!AB$3:AB$90),"—")</f>
        <v>49</v>
      </c>
      <c r="J15" s="94">
        <f>IFERROR(_xlfn.XLOOKUP(C15,'DONNÉES BRUTES'!A$3:A$90,'DONNÉES BRUTES'!Y$3:Y$90),"—")</f>
        <v>9</v>
      </c>
      <c r="K15" s="94" t="str">
        <f>IFERROR(_xlfn.XLOOKUP(C15,'DONNÉES BRUTES'!A$3:A$90,'DONNÉES BRUTES'!AC$3:AC$90),"—")</f>
        <v>—</v>
      </c>
      <c r="L15" s="94" t="str">
        <f>IFERROR(_xlfn.XLOOKUP(C15,'DONNÉES BRUTES'!A$3:A$90,'DONNÉES BRUTES'!AD$3:AD$90),"—")</f>
        <v>Sous-pondérer</v>
      </c>
      <c r="M15" s="92"/>
      <c r="N15" s="92" t="s">
        <v>157</v>
      </c>
      <c r="O15" s="92">
        <v>85</v>
      </c>
      <c r="P15" s="92"/>
      <c r="Q15" s="92" t="s">
        <v>157</v>
      </c>
      <c r="R15" s="92">
        <v>79</v>
      </c>
      <c r="S15" s="92"/>
      <c r="T15" s="92" t="s">
        <v>157</v>
      </c>
      <c r="U15" s="92">
        <v>38.4</v>
      </c>
      <c r="V15" s="92"/>
      <c r="W15" s="92">
        <v>85</v>
      </c>
      <c r="X15" s="92">
        <v>72</v>
      </c>
    </row>
    <row r="16" spans="2:24" ht="13.95" customHeight="1" x14ac:dyDescent="0.3">
      <c r="B16" s="96">
        <v>10</v>
      </c>
      <c r="C16" s="96" t="str" cm="1">
        <f t="array" ref="C16">IFERROR(INDEX('DONNÉES BRUTES'!A$3:A$90,MATCH(1,('DONNÉES BRUTES'!AA$3:AA$90&gt;=LARGE('DONNÉES BRUTES'!AA$3:AA$90,10))*(COUNTIF(C$6:C15,'DONNÉES BRUTES'!A$3:A$90)=0)*('DONNÉES BRUTES'!A$3:A$90&lt;&gt;""),0)),"—")</f>
        <v>BP.L</v>
      </c>
      <c r="D16" s="98" t="str">
        <f>IFERROR(_xlfn.XLOOKUP(C16,'DONNÉES BRUTES'!A$3:A$90,'DONNÉES BRUTES'!B$3:B$90),"—")</f>
        <v>BP p.l.c.</v>
      </c>
      <c r="E16" s="95"/>
      <c r="F16" s="96" t="str">
        <f>IFERROR(_xlfn.XLOOKUP(C16,'DONNÉES BRUTES'!A$3:A$90,'DONNÉES BRUTES'!AA$3:AA$90)&amp;"/100","—")</f>
        <v>81/100</v>
      </c>
      <c r="G16" s="132" t="str">
        <f>IFERROR(_xlfn.XLOOKUP(C16,'DONNÉES BRUTES'!A$3:A$90,'DONNÉES BRUTES'!W$3:W$90),"—")</f>
        <v>+62.4%</v>
      </c>
      <c r="H16" s="134">
        <f>IFERROR(_xlfn.XLOOKUP(C16,'DONNÉES BRUTES'!A$3:A$90,'DONNÉES BRUTES'!N$3:N$90),"—")</f>
        <v>0.16200000000000001</v>
      </c>
      <c r="I16" s="96">
        <f>IFERROR(_xlfn.XLOOKUP(C16,'DONNÉES BRUTES'!A$3:A$90,'DONNÉES BRUTES'!AB$3:AB$90),"—")</f>
        <v>47</v>
      </c>
      <c r="J16" s="96">
        <f>IFERROR(_xlfn.XLOOKUP(C16,'DONNÉES BRUTES'!A$3:A$90,'DONNÉES BRUTES'!Y$3:Y$90),"—")</f>
        <v>46</v>
      </c>
      <c r="K16" s="96" t="str">
        <f>IFERROR(_xlfn.XLOOKUP(C16,'DONNÉES BRUTES'!A$3:A$90,'DONNÉES BRUTES'!AC$3:AC$90),"—")</f>
        <v>2026-04-28</v>
      </c>
      <c r="L16" s="96" t="str">
        <f>IFERROR(_xlfn.XLOOKUP(C16,'DONNÉES BRUTES'!A$3:A$90,'DONNÉES BRUTES'!AD$3:AD$90),"—")</f>
        <v>Sous-pondérer</v>
      </c>
      <c r="M16" s="92"/>
      <c r="N16" s="92" t="s">
        <v>113</v>
      </c>
      <c r="O16" s="92">
        <v>84</v>
      </c>
      <c r="P16" s="92"/>
      <c r="Q16" s="92" t="s">
        <v>113</v>
      </c>
      <c r="R16" s="92">
        <v>69</v>
      </c>
      <c r="S16" s="92"/>
      <c r="T16" s="92" t="s">
        <v>113</v>
      </c>
      <c r="U16" s="92">
        <v>28</v>
      </c>
      <c r="V16" s="92"/>
      <c r="W16" s="92">
        <v>84</v>
      </c>
      <c r="X16" s="92">
        <v>78</v>
      </c>
    </row>
    <row r="17" spans="2:24" ht="13.95" customHeight="1" x14ac:dyDescent="0.3">
      <c r="B17" s="94">
        <v>11</v>
      </c>
      <c r="C17" s="94" t="str" cm="1">
        <f t="array" ref="C17">IFERROR(INDEX('DONNÉES BRUTES'!A$3:A$90,MATCH(1,('DONNÉES BRUTES'!AA$3:AA$90&gt;=LARGE('DONNÉES BRUTES'!AA$3:AA$90,11))*(COUNTIF(C$6:C16,'DONNÉES BRUTES'!A$3:A$90)=0)*('DONNÉES BRUTES'!A$3:A$90&lt;&gt;""),0)),"—")</f>
        <v>JBL</v>
      </c>
      <c r="D17" s="97" t="str">
        <f>IFERROR(_xlfn.XLOOKUP(C17,'DONNÉES BRUTES'!A$3:A$90,'DONNÉES BRUTES'!B$3:B$90),"—")</f>
        <v>Jabil Inc.</v>
      </c>
      <c r="E17" s="93"/>
      <c r="F17" s="94" t="str">
        <f>IFERROR(_xlfn.XLOOKUP(C17,'DONNÉES BRUTES'!A$3:A$90,'DONNÉES BRUTES'!AA$3:AA$90)&amp;"/100","—")</f>
        <v>81/100</v>
      </c>
      <c r="G17" s="131" t="str">
        <f>IFERROR(_xlfn.XLOOKUP(C17,'DONNÉES BRUTES'!A$3:A$90,'DONNÉES BRUTES'!W$3:W$90),"—")</f>
        <v>—</v>
      </c>
      <c r="H17" s="133">
        <f>IFERROR(_xlfn.XLOOKUP(C17,'DONNÉES BRUTES'!A$3:A$90,'DONNÉES BRUTES'!N$3:N$90),"—")</f>
        <v>5.7000000000000002E-2</v>
      </c>
      <c r="I17" s="94">
        <f>IFERROR(_xlfn.XLOOKUP(C17,'DONNÉES BRUTES'!A$3:A$90,'DONNÉES BRUTES'!AB$3:AB$90),"—")</f>
        <v>43</v>
      </c>
      <c r="J17" s="94">
        <f>IFERROR(_xlfn.XLOOKUP(C17,'DONNÉES BRUTES'!A$3:A$90,'DONNÉES BRUTES'!Y$3:Y$90),"—")</f>
        <v>8</v>
      </c>
      <c r="K17" s="94" t="str">
        <f>IFERROR(_xlfn.XLOOKUP(C17,'DONNÉES BRUTES'!A$3:A$90,'DONNÉES BRUTES'!AC$3:AC$90),"—")</f>
        <v>—</v>
      </c>
      <c r="L17" s="94" t="str">
        <f>IFERROR(_xlfn.XLOOKUP(C17,'DONNÉES BRUTES'!A$3:A$90,'DONNÉES BRUTES'!AD$3:AD$90),"—")</f>
        <v>Sous-pondérer</v>
      </c>
      <c r="M17" s="92"/>
      <c r="N17" s="92" t="s">
        <v>309</v>
      </c>
      <c r="O17" s="92">
        <v>83</v>
      </c>
      <c r="P17" s="92"/>
      <c r="Q17" s="92" t="s">
        <v>309</v>
      </c>
      <c r="R17" s="92">
        <v>0</v>
      </c>
      <c r="S17" s="92"/>
      <c r="T17" s="92" t="s">
        <v>310</v>
      </c>
      <c r="U17" s="92">
        <v>11.3</v>
      </c>
      <c r="V17" s="92"/>
      <c r="W17" s="92">
        <v>83</v>
      </c>
      <c r="X17" s="92">
        <v>39</v>
      </c>
    </row>
    <row r="18" spans="2:24" ht="13.95" customHeight="1" x14ac:dyDescent="0.3">
      <c r="B18" s="96">
        <v>12</v>
      </c>
      <c r="C18" s="96" t="str" cm="1">
        <f t="array" ref="C18">IFERROR(INDEX('DONNÉES BRUTES'!A$3:A$90,MATCH(1,('DONNÉES BRUTES'!AA$3:AA$90&gt;=LARGE('DONNÉES BRUTES'!AA$3:AA$90,12))*(COUNTIF(C$6:C17,'DONNÉES BRUTES'!A$3:A$90)=0)*('DONNÉES BRUTES'!A$3:A$90&lt;&gt;""),0)),"—")</f>
        <v>AKAM</v>
      </c>
      <c r="D18" s="98" t="str">
        <f>IFERROR(_xlfn.XLOOKUP(C18,'DONNÉES BRUTES'!A$3:A$90,'DONNÉES BRUTES'!B$3:B$90),"—")</f>
        <v>Akamai Technologies, Inc.</v>
      </c>
      <c r="E18" s="95"/>
      <c r="F18" s="96" t="str">
        <f>IFERROR(_xlfn.XLOOKUP(C18,'DONNÉES BRUTES'!A$3:A$90,'DONNÉES BRUTES'!AA$3:AA$90)&amp;"/100","—")</f>
        <v>79/100</v>
      </c>
      <c r="G18" s="132" t="str">
        <f>IFERROR(_xlfn.XLOOKUP(C18,'DONNÉES BRUTES'!A$3:A$90,'DONNÉES BRUTES'!W$3:W$90),"—")</f>
        <v>—</v>
      </c>
      <c r="H18" s="134">
        <f>IFERROR(_xlfn.XLOOKUP(C18,'DONNÉES BRUTES'!A$3:A$90,'DONNÉES BRUTES'!N$3:N$90),"—")</f>
        <v>0.31900000000000001</v>
      </c>
      <c r="I18" s="96">
        <f>IFERROR(_xlfn.XLOOKUP(C18,'DONNÉES BRUTES'!A$3:A$90,'DONNÉES BRUTES'!AB$3:AB$90),"—")</f>
        <v>57</v>
      </c>
      <c r="J18" s="96">
        <f>IFERROR(_xlfn.XLOOKUP(C18,'DONNÉES BRUTES'!A$3:A$90,'DONNÉES BRUTES'!Y$3:Y$90),"—")</f>
        <v>30</v>
      </c>
      <c r="K18" s="96" t="str">
        <f>IFERROR(_xlfn.XLOOKUP(C18,'DONNÉES BRUTES'!A$3:A$90,'DONNÉES BRUTES'!AC$3:AC$90),"—")</f>
        <v>—</v>
      </c>
      <c r="L18" s="96" t="str">
        <f>IFERROR(_xlfn.XLOOKUP(C18,'DONNÉES BRUTES'!A$3:A$90,'DONNÉES BRUTES'!AD$3:AD$90),"—")</f>
        <v>Sous-pondérer</v>
      </c>
      <c r="M18" s="92"/>
      <c r="N18" s="92" t="s">
        <v>311</v>
      </c>
      <c r="O18" s="92">
        <v>81</v>
      </c>
      <c r="P18" s="92"/>
      <c r="Q18" s="92" t="s">
        <v>311</v>
      </c>
      <c r="R18" s="92">
        <v>0</v>
      </c>
      <c r="S18" s="92"/>
      <c r="T18" s="92" t="s">
        <v>311</v>
      </c>
      <c r="U18" s="92">
        <v>5.7</v>
      </c>
      <c r="V18" s="92"/>
      <c r="W18" s="92">
        <v>81</v>
      </c>
      <c r="X18" s="92">
        <v>31</v>
      </c>
    </row>
    <row r="19" spans="2:24" ht="13.95" customHeight="1" x14ac:dyDescent="0.3">
      <c r="B19" s="94">
        <v>13</v>
      </c>
      <c r="C19" s="94" t="str" cm="1">
        <f t="array" ref="C19">IFERROR(INDEX('DONNÉES BRUTES'!A$3:A$90,MATCH(1,('DONNÉES BRUTES'!AA$3:AA$90&gt;=LARGE('DONNÉES BRUTES'!AA$3:AA$90,13))*(COUNTIF(C$6:C18,'DONNÉES BRUTES'!A$3:A$90)=0)*('DONNÉES BRUTES'!A$3:A$90&lt;&gt;""),0)),"—")</f>
        <v>SLB</v>
      </c>
      <c r="D19" s="97" t="str">
        <f>IFERROR(_xlfn.XLOOKUP(C19,'DONNÉES BRUTES'!A$3:A$90,'DONNÉES BRUTES'!B$3:B$90),"—")</f>
        <v>SLB N.V.</v>
      </c>
      <c r="E19" s="93"/>
      <c r="F19" s="94" t="str">
        <f>IFERROR(_xlfn.XLOOKUP(C19,'DONNÉES BRUTES'!A$3:A$90,'DONNÉES BRUTES'!AA$3:AA$90)&amp;"/100","—")</f>
        <v>77/100</v>
      </c>
      <c r="G19" s="131" t="str">
        <f>IFERROR(_xlfn.XLOOKUP(C19,'DONNÉES BRUTES'!A$3:A$90,'DONNÉES BRUTES'!W$3:W$90),"—")</f>
        <v>+61.7%</v>
      </c>
      <c r="H19" s="133">
        <f>IFERROR(_xlfn.XLOOKUP(C19,'DONNÉES BRUTES'!A$3:A$90,'DONNÉES BRUTES'!N$3:N$90),"—")</f>
        <v>0.19500000000000001</v>
      </c>
      <c r="I19" s="94">
        <f>IFERROR(_xlfn.XLOOKUP(C19,'DONNÉES BRUTES'!A$3:A$90,'DONNÉES BRUTES'!AB$3:AB$90),"—")</f>
        <v>47</v>
      </c>
      <c r="J19" s="94">
        <f>IFERROR(_xlfn.XLOOKUP(C19,'DONNÉES BRUTES'!A$3:A$90,'DONNÉES BRUTES'!Y$3:Y$90),"—")</f>
        <v>4</v>
      </c>
      <c r="K19" s="94" t="str">
        <f>IFERROR(_xlfn.XLOOKUP(C19,'DONNÉES BRUTES'!A$3:A$90,'DONNÉES BRUTES'!AC$3:AC$90),"—")</f>
        <v>2026-05-01</v>
      </c>
      <c r="L19" s="94" t="str">
        <f>IFERROR(_xlfn.XLOOKUP(C19,'DONNÉES BRUTES'!A$3:A$90,'DONNÉES BRUTES'!AD$3:AD$90),"—")</f>
        <v>Sous-pondérer</v>
      </c>
      <c r="M19" s="92"/>
      <c r="N19" s="92" t="s">
        <v>312</v>
      </c>
      <c r="O19" s="92">
        <v>79</v>
      </c>
      <c r="P19" s="92"/>
      <c r="Q19" s="92" t="s">
        <v>312</v>
      </c>
      <c r="R19" s="92">
        <v>0</v>
      </c>
      <c r="S19" s="92"/>
      <c r="T19" s="92" t="s">
        <v>312</v>
      </c>
      <c r="U19" s="92">
        <v>31.9</v>
      </c>
      <c r="V19" s="92"/>
      <c r="W19" s="92">
        <v>79</v>
      </c>
      <c r="X19" s="92">
        <v>52</v>
      </c>
    </row>
    <row r="20" spans="2:24" ht="13.95" customHeight="1" x14ac:dyDescent="0.3">
      <c r="B20" s="96">
        <v>14</v>
      </c>
      <c r="C20" s="96" t="str" cm="1">
        <f t="array" ref="C20">IFERROR(INDEX('DONNÉES BRUTES'!A$3:A$90,MATCH(1,('DONNÉES BRUTES'!AA$3:AA$90&gt;=LARGE('DONNÉES BRUTES'!AA$3:AA$90,14))*(COUNTIF(C$6:C19,'DONNÉES BRUTES'!A$3:A$90)=0)*('DONNÉES BRUTES'!A$3:A$90&lt;&gt;""),0)),"—")</f>
        <v>ON</v>
      </c>
      <c r="D20" s="98" t="str">
        <f>IFERROR(_xlfn.XLOOKUP(C20,'DONNÉES BRUTES'!A$3:A$90,'DONNÉES BRUTES'!B$3:B$90),"—")</f>
        <v>ON Semiconductor Corporation</v>
      </c>
      <c r="E20" s="95"/>
      <c r="F20" s="96" t="str">
        <f>IFERROR(_xlfn.XLOOKUP(C20,'DONNÉES BRUTES'!A$3:A$90,'DONNÉES BRUTES'!AA$3:AA$90)&amp;"/100","—")</f>
        <v>77/100</v>
      </c>
      <c r="G20" s="132" t="str">
        <f>IFERROR(_xlfn.XLOOKUP(C20,'DONNÉES BRUTES'!A$3:A$90,'DONNÉES BRUTES'!W$3:W$90),"—")</f>
        <v>—</v>
      </c>
      <c r="H20" s="134">
        <f>IFERROR(_xlfn.XLOOKUP(C20,'DONNÉES BRUTES'!A$3:A$90,'DONNÉES BRUTES'!N$3:N$90),"—")</f>
        <v>0.14799999999999999</v>
      </c>
      <c r="I20" s="96">
        <f>IFERROR(_xlfn.XLOOKUP(C20,'DONNÉES BRUTES'!A$3:A$90,'DONNÉES BRUTES'!AB$3:AB$90),"—")</f>
        <v>45</v>
      </c>
      <c r="J20" s="96">
        <f>IFERROR(_xlfn.XLOOKUP(C20,'DONNÉES BRUTES'!A$3:A$90,'DONNÉES BRUTES'!Y$3:Y$90),"—")</f>
        <v>3</v>
      </c>
      <c r="K20" s="96" t="str">
        <f>IFERROR(_xlfn.XLOOKUP(C20,'DONNÉES BRUTES'!A$3:A$90,'DONNÉES BRUTES'!AC$3:AC$90),"—")</f>
        <v>—</v>
      </c>
      <c r="L20" s="96" t="str">
        <f>IFERROR(_xlfn.XLOOKUP(C20,'DONNÉES BRUTES'!A$3:A$90,'DONNÉES BRUTES'!AD$3:AD$90),"—")</f>
        <v>Sous-pondérer</v>
      </c>
      <c r="M20" s="92"/>
      <c r="N20" s="92" t="s">
        <v>167</v>
      </c>
      <c r="O20" s="92">
        <v>78</v>
      </c>
      <c r="P20" s="92"/>
      <c r="Q20" s="92" t="s">
        <v>167</v>
      </c>
      <c r="R20" s="92">
        <v>50</v>
      </c>
      <c r="S20" s="92"/>
      <c r="T20" s="92" t="s">
        <v>167</v>
      </c>
      <c r="U20" s="92">
        <v>45.6</v>
      </c>
      <c r="V20" s="92"/>
      <c r="W20" s="92">
        <v>78</v>
      </c>
      <c r="X20" s="92">
        <v>71</v>
      </c>
    </row>
    <row r="21" spans="2:24" ht="13.95" customHeight="1" x14ac:dyDescent="0.3">
      <c r="B21" s="94">
        <v>15</v>
      </c>
      <c r="C21" s="94" t="str" cm="1">
        <f t="array" ref="C21">IFERROR(INDEX('DONNÉES BRUTES'!A$3:A$90,MATCH(1,('DONNÉES BRUTES'!AA$3:AA$90&gt;=LARGE('DONNÉES BRUTES'!AA$3:AA$90,15))*(COUNTIF(C$6:C20,'DONNÉES BRUTES'!A$3:A$90)=0)*('DONNÉES BRUTES'!A$3:A$90&lt;&gt;""),0)),"—")</f>
        <v>HPE</v>
      </c>
      <c r="D21" s="97" t="str">
        <f>IFERROR(_xlfn.XLOOKUP(C21,'DONNÉES BRUTES'!A$3:A$90,'DONNÉES BRUTES'!B$3:B$90),"—")</f>
        <v>Hewlett Packard Enterprise Company</v>
      </c>
      <c r="E21" s="93"/>
      <c r="F21" s="94" t="str">
        <f>IFERROR(_xlfn.XLOOKUP(C21,'DONNÉES BRUTES'!A$3:A$90,'DONNÉES BRUTES'!AA$3:AA$90)&amp;"/100","—")</f>
        <v>74/100</v>
      </c>
      <c r="G21" s="131" t="str">
        <f>IFERROR(_xlfn.XLOOKUP(C21,'DONNÉES BRUTES'!A$3:A$90,'DONNÉES BRUTES'!W$3:W$90),"—")</f>
        <v>—</v>
      </c>
      <c r="H21" s="133">
        <f>IFERROR(_xlfn.XLOOKUP(C21,'DONNÉES BRUTES'!A$3:A$90,'DONNÉES BRUTES'!N$3:N$90),"—")</f>
        <v>0.128</v>
      </c>
      <c r="I21" s="94">
        <f>IFERROR(_xlfn.XLOOKUP(C21,'DONNÉES BRUTES'!A$3:A$90,'DONNÉES BRUTES'!AB$3:AB$90),"—")</f>
        <v>48</v>
      </c>
      <c r="J21" s="94">
        <f>IFERROR(_xlfn.XLOOKUP(C21,'DONNÉES BRUTES'!A$3:A$90,'DONNÉES BRUTES'!Y$3:Y$90),"—")</f>
        <v>20</v>
      </c>
      <c r="K21" s="94" t="str">
        <f>IFERROR(_xlfn.XLOOKUP(C21,'DONNÉES BRUTES'!A$3:A$90,'DONNÉES BRUTES'!AC$3:AC$90),"—")</f>
        <v>—</v>
      </c>
      <c r="L21" s="94" t="str">
        <f>IFERROR(_xlfn.XLOOKUP(C21,'DONNÉES BRUTES'!A$3:A$90,'DONNÉES BRUTES'!AD$3:AD$90),"—")</f>
        <v>Sous-pondérer</v>
      </c>
      <c r="M21" s="92"/>
      <c r="N21" s="92" t="s">
        <v>313</v>
      </c>
      <c r="O21" s="92">
        <v>77</v>
      </c>
      <c r="P21" s="92"/>
      <c r="Q21" s="92" t="s">
        <v>313</v>
      </c>
      <c r="R21" s="92">
        <v>0</v>
      </c>
      <c r="S21" s="92"/>
      <c r="T21" s="92" t="s">
        <v>313</v>
      </c>
      <c r="U21" s="92">
        <v>14.8</v>
      </c>
      <c r="V21" s="92"/>
      <c r="W21" s="92">
        <v>77</v>
      </c>
      <c r="X21" s="92">
        <v>32</v>
      </c>
    </row>
    <row r="22" spans="2:24" ht="13.95" customHeight="1" x14ac:dyDescent="0.3">
      <c r="B22" s="96">
        <v>16</v>
      </c>
      <c r="C22" s="96" t="str" cm="1">
        <f t="array" ref="C22">IFERROR(INDEX('DONNÉES BRUTES'!A$3:A$90,MATCH(1,('DONNÉES BRUTES'!AA$3:AA$90&gt;=LARGE('DONNÉES BRUTES'!AA$3:AA$90,16))*(COUNTIF(C$6:C21,'DONNÉES BRUTES'!A$3:A$90)=0)*('DONNÉES BRUTES'!A$3:A$90&lt;&gt;""),0)),"—")</f>
        <v>TTE.PA</v>
      </c>
      <c r="D22" s="98" t="str">
        <f>IFERROR(_xlfn.XLOOKUP(C22,'DONNÉES BRUTES'!A$3:A$90,'DONNÉES BRUTES'!B$3:B$90),"—")</f>
        <v>TotalEnergies SE</v>
      </c>
      <c r="E22" s="95"/>
      <c r="F22" s="96" t="str">
        <f>IFERROR(_xlfn.XLOOKUP(C22,'DONNÉES BRUTES'!A$3:A$90,'DONNÉES BRUTES'!AA$3:AA$90)&amp;"/100","—")</f>
        <v>73/100</v>
      </c>
      <c r="G22" s="132" t="str">
        <f>IFERROR(_xlfn.XLOOKUP(C22,'DONNÉES BRUTES'!A$3:A$90,'DONNÉES BRUTES'!W$3:W$90),"—")</f>
        <v>+58.2%</v>
      </c>
      <c r="H22" s="134" t="str">
        <f>IFERROR(_xlfn.XLOOKUP(C22,'DONNÉES BRUTES'!A$3:A$90,'DONNÉES BRUTES'!N$3:N$90),"—")</f>
        <v>—</v>
      </c>
      <c r="I22" s="96">
        <f>IFERROR(_xlfn.XLOOKUP(C22,'DONNÉES BRUTES'!A$3:A$90,'DONNÉES BRUTES'!AB$3:AB$90),"—")</f>
        <v>77</v>
      </c>
      <c r="J22" s="96" t="str">
        <f>IFERROR(_xlfn.XLOOKUP(C22,'DONNÉES BRUTES'!A$3:A$90,'DONNÉES BRUTES'!Y$3:Y$90),"—")</f>
        <v>—</v>
      </c>
      <c r="K22" s="96" t="str">
        <f>IFERROR(_xlfn.XLOOKUP(C22,'DONNÉES BRUTES'!A$3:A$90,'DONNÉES BRUTES'!AC$3:AC$90),"—")</f>
        <v>2026-04-29</v>
      </c>
      <c r="L22" s="96" t="str">
        <f>IFERROR(_xlfn.XLOOKUP(C22,'DONNÉES BRUTES'!A$3:A$90,'DONNÉES BRUTES'!AD$3:AD$90),"—")</f>
        <v>Sous-pondérer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2:24" ht="13.95" customHeight="1" x14ac:dyDescent="0.3">
      <c r="B23" s="94">
        <v>17</v>
      </c>
      <c r="C23" s="94" t="str" cm="1">
        <f t="array" ref="C23">IFERROR(INDEX('DONNÉES BRUTES'!A$3:A$90,MATCH(1,('DONNÉES BRUTES'!AA$3:AA$90&gt;=LARGE('DONNÉES BRUTES'!AA$3:AA$90,17))*(COUNTIF(C$6:C22,'DONNÉES BRUTES'!A$3:A$90)=0)*('DONNÉES BRUTES'!A$3:A$90&lt;&gt;""),0)),"—")</f>
        <v>STMPA.PA</v>
      </c>
      <c r="D23" s="97" t="str">
        <f>IFERROR(_xlfn.XLOOKUP(C23,'DONNÉES BRUTES'!A$3:A$90,'DONNÉES BRUTES'!B$3:B$90),"—")</f>
        <v>STMicroelectronics N.V.</v>
      </c>
      <c r="E23" s="93"/>
      <c r="F23" s="94" t="str">
        <f>IFERROR(_xlfn.XLOOKUP(C23,'DONNÉES BRUTES'!A$3:A$90,'DONNÉES BRUTES'!AA$3:AA$90)&amp;"/100","—")</f>
        <v>72/100</v>
      </c>
      <c r="G23" s="131" t="str">
        <f>IFERROR(_xlfn.XLOOKUP(C23,'DONNÉES BRUTES'!A$3:A$90,'DONNÉES BRUTES'!W$3:W$90),"—")</f>
        <v>—</v>
      </c>
      <c r="H23" s="133">
        <f>IFERROR(_xlfn.XLOOKUP(C23,'DONNÉES BRUTES'!A$3:A$90,'DONNÉES BRUTES'!N$3:N$90),"—")</f>
        <v>0.19600000000000001</v>
      </c>
      <c r="I23" s="94">
        <f>IFERROR(_xlfn.XLOOKUP(C23,'DONNÉES BRUTES'!A$3:A$90,'DONNÉES BRUTES'!AB$3:AB$90),"—")</f>
        <v>49</v>
      </c>
      <c r="J23" s="94">
        <f>IFERROR(_xlfn.XLOOKUP(C23,'DONNÉES BRUTES'!A$3:A$90,'DONNÉES BRUTES'!Y$3:Y$90),"—")</f>
        <v>7</v>
      </c>
      <c r="K23" s="94" t="str">
        <f>IFERROR(_xlfn.XLOOKUP(C23,'DONNÉES BRUTES'!A$3:A$90,'DONNÉES BRUTES'!AC$3:AC$90),"—")</f>
        <v>—</v>
      </c>
      <c r="L23" s="94" t="str">
        <f>IFERROR(_xlfn.XLOOKUP(C23,'DONNÉES BRUTES'!A$3:A$90,'DONNÉES BRUTES'!AD$3:AD$90),"—")</f>
        <v>Sous-pondérer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2:24" ht="13.95" customHeight="1" x14ac:dyDescent="0.3">
      <c r="B24" s="96">
        <v>18</v>
      </c>
      <c r="C24" s="96" t="str" cm="1">
        <f t="array" ref="C24">IFERROR(INDEX('DONNÉES BRUTES'!A$3:A$90,MATCH(1,('DONNÉES BRUTES'!AA$3:AA$90&gt;=LARGE('DONNÉES BRUTES'!AA$3:AA$90,18))*(COUNTIF(C$6:C23,'DONNÉES BRUTES'!A$3:A$90)=0)*('DONNÉES BRUTES'!A$3:A$90&lt;&gt;""),0)),"—")</f>
        <v>TEL</v>
      </c>
      <c r="D24" s="98" t="str">
        <f>IFERROR(_xlfn.XLOOKUP(C24,'DONNÉES BRUTES'!A$3:A$90,'DONNÉES BRUTES'!B$3:B$90),"—")</f>
        <v>TE Connectivity plc</v>
      </c>
      <c r="E24" s="95"/>
      <c r="F24" s="96" t="str">
        <f>IFERROR(_xlfn.XLOOKUP(C24,'DONNÉES BRUTES'!A$3:A$90,'DONNÉES BRUTES'!AA$3:AA$90)&amp;"/100","—")</f>
        <v>71/100</v>
      </c>
      <c r="G24" s="132" t="str">
        <f>IFERROR(_xlfn.XLOOKUP(C24,'DONNÉES BRUTES'!A$3:A$90,'DONNÉES BRUTES'!W$3:W$90),"—")</f>
        <v>—</v>
      </c>
      <c r="H24" s="134">
        <f>IFERROR(_xlfn.XLOOKUP(C24,'DONNÉES BRUTES'!A$3:A$90,'DONNÉES BRUTES'!N$3:N$90),"—")</f>
        <v>0.23899999999999999</v>
      </c>
      <c r="I24" s="96">
        <f>IFERROR(_xlfn.XLOOKUP(C24,'DONNÉES BRUTES'!A$3:A$90,'DONNÉES BRUTES'!AB$3:AB$90),"—")</f>
        <v>60</v>
      </c>
      <c r="J24" s="96">
        <f>IFERROR(_xlfn.XLOOKUP(C24,'DONNÉES BRUTES'!A$3:A$90,'DONNÉES BRUTES'!Y$3:Y$90),"—")</f>
        <v>45</v>
      </c>
      <c r="K24" s="96" t="str">
        <f>IFERROR(_xlfn.XLOOKUP(C24,'DONNÉES BRUTES'!A$3:A$90,'DONNÉES BRUTES'!AC$3:AC$90),"—")</f>
        <v>—</v>
      </c>
      <c r="L24" s="96" t="str">
        <f>IFERROR(_xlfn.XLOOKUP(C24,'DONNÉES BRUTES'!A$3:A$90,'DONNÉES BRUTES'!AD$3:AD$90),"—")</f>
        <v>Sous-pondérer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2:24" ht="13.95" customHeight="1" x14ac:dyDescent="0.3">
      <c r="B25" s="94">
        <v>19</v>
      </c>
      <c r="C25" s="94" t="str" cm="1">
        <f t="array" ref="C25">IFERROR(INDEX('DONNÉES BRUTES'!A$3:A$90,MATCH(1,('DONNÉES BRUTES'!AA$3:AA$90&gt;=LARGE('DONNÉES BRUTES'!AA$3:AA$90,19))*(COUNTIF(C$6:C24,'DONNÉES BRUTES'!A$3:A$90)=0)*('DONNÉES BRUTES'!A$3:A$90&lt;&gt;""),0)),"—")</f>
        <v>DVN</v>
      </c>
      <c r="D25" s="97" t="str">
        <f>IFERROR(_xlfn.XLOOKUP(C25,'DONNÉES BRUTES'!A$3:A$90,'DONNÉES BRUTES'!B$3:B$90),"—")</f>
        <v>Devon Energy Corporation</v>
      </c>
      <c r="E25" s="93"/>
      <c r="F25" s="94" t="str">
        <f>IFERROR(_xlfn.XLOOKUP(C25,'DONNÉES BRUTES'!A$3:A$90,'DONNÉES BRUTES'!AA$3:AA$90)&amp;"/100","—")</f>
        <v>69/100</v>
      </c>
      <c r="G25" s="131" t="str">
        <f>IFERROR(_xlfn.XLOOKUP(C25,'DONNÉES BRUTES'!A$3:A$90,'DONNÉES BRUTES'!W$3:W$90),"—")</f>
        <v>+55.1%</v>
      </c>
      <c r="H25" s="133">
        <f>IFERROR(_xlfn.XLOOKUP(C25,'DONNÉES BRUTES'!A$3:A$90,'DONNÉES BRUTES'!N$3:N$90),"—")</f>
        <v>0.44</v>
      </c>
      <c r="I25" s="94">
        <f>IFERROR(_xlfn.XLOOKUP(C25,'DONNÉES BRUTES'!A$3:A$90,'DONNÉES BRUTES'!AB$3:AB$90),"—")</f>
        <v>66</v>
      </c>
      <c r="J25" s="94">
        <f>IFERROR(_xlfn.XLOOKUP(C25,'DONNÉES BRUTES'!A$3:A$90,'DONNÉES BRUTES'!Y$3:Y$90),"—")</f>
        <v>50</v>
      </c>
      <c r="K25" s="94" t="str">
        <f>IFERROR(_xlfn.XLOOKUP(C25,'DONNÉES BRUTES'!A$3:A$90,'DONNÉES BRUTES'!AC$3:AC$90),"—")</f>
        <v>2026-05-05</v>
      </c>
      <c r="L25" s="94" t="str">
        <f>IFERROR(_xlfn.XLOOKUP(C25,'DONNÉES BRUTES'!A$3:A$90,'DONNÉES BRUTES'!AD$3:AD$90),"—")</f>
        <v>Surpondérer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2:24" ht="13.95" customHeight="1" x14ac:dyDescent="0.3">
      <c r="B26" s="96">
        <v>20</v>
      </c>
      <c r="C26" s="96" t="str" cm="1">
        <f t="array" ref="C26">IFERROR(INDEX('DONNÉES BRUTES'!A$3:A$90,MATCH(1,('DONNÉES BRUTES'!AA$3:AA$90&gt;=LARGE('DONNÉES BRUTES'!AA$3:AA$90,20))*(COUNTIF(C$6:C25,'DONNÉES BRUTES'!A$3:A$90)=0)*('DONNÉES BRUTES'!A$3:A$90&lt;&gt;""),0)),"—")</f>
        <v>AAPL</v>
      </c>
      <c r="D26" s="98" t="str">
        <f>IFERROR(_xlfn.XLOOKUP(C26,'DONNÉES BRUTES'!A$3:A$90,'DONNÉES BRUTES'!B$3:B$90),"—")</f>
        <v>Apple Inc.</v>
      </c>
      <c r="E26" s="95"/>
      <c r="F26" s="96" t="str">
        <f>IFERROR(_xlfn.XLOOKUP(C26,'DONNÉES BRUTES'!A$3:A$90,'DONNÉES BRUTES'!AA$3:AA$90)&amp;"/100","—")</f>
        <v>67/100</v>
      </c>
      <c r="G26" s="132" t="str">
        <f>IFERROR(_xlfn.XLOOKUP(C26,'DONNÉES BRUTES'!A$3:A$90,'DONNÉES BRUTES'!W$3:W$90),"—")</f>
        <v>—</v>
      </c>
      <c r="H26" s="134">
        <f>IFERROR(_xlfn.XLOOKUP(C26,'DONNÉES BRUTES'!A$3:A$90,'DONNÉES BRUTES'!N$3:N$90),"—")</f>
        <v>0.34799999999999998</v>
      </c>
      <c r="I26" s="96">
        <f>IFERROR(_xlfn.XLOOKUP(C26,'DONNÉES BRUTES'!A$3:A$90,'DONNÉES BRUTES'!AB$3:AB$90),"—")</f>
        <v>56</v>
      </c>
      <c r="J26" s="96">
        <f>IFERROR(_xlfn.XLOOKUP(C26,'DONNÉES BRUTES'!A$3:A$90,'DONNÉES BRUTES'!Y$3:Y$90),"—")</f>
        <v>31</v>
      </c>
      <c r="K26" s="96" t="str">
        <f>IFERROR(_xlfn.XLOOKUP(C26,'DONNÉES BRUTES'!A$3:A$90,'DONNÉES BRUTES'!AC$3:AC$90),"—")</f>
        <v>—</v>
      </c>
      <c r="L26" s="96" t="str">
        <f>IFERROR(_xlfn.XLOOKUP(C26,'DONNÉES BRUTES'!A$3:A$90,'DONNÉES BRUTES'!AD$3:AD$90),"—")</f>
        <v>Sous-pondérer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2:24" ht="13.95" customHeight="1" x14ac:dyDescent="0.3"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2:24" ht="13.95" customHeight="1" x14ac:dyDescent="0.3">
      <c r="B28" s="7" t="s">
        <v>785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2:24" ht="13.95" customHeight="1" x14ac:dyDescent="0.3"/>
    <row r="30" spans="2:24" ht="13.95" customHeight="1" x14ac:dyDescent="0.3"/>
    <row r="31" spans="2:24" ht="13.95" customHeight="1" x14ac:dyDescent="0.3"/>
    <row r="32" spans="2:24" ht="13.95" customHeight="1" x14ac:dyDescent="0.3"/>
    <row r="33" ht="13.95" customHeight="1" x14ac:dyDescent="0.3"/>
    <row r="34" ht="13.95" customHeight="1" x14ac:dyDescent="0.3"/>
    <row r="35" ht="13.95" customHeight="1" x14ac:dyDescent="0.3"/>
    <row r="36" ht="13.95" customHeight="1" x14ac:dyDescent="0.3"/>
    <row r="37" ht="13.95" customHeight="1" x14ac:dyDescent="0.3"/>
    <row r="38" ht="13.95" customHeight="1" x14ac:dyDescent="0.3"/>
    <row r="39" ht="13.95" customHeight="1" x14ac:dyDescent="0.3"/>
    <row r="40" ht="13.95" customHeight="1" x14ac:dyDescent="0.3"/>
    <row r="41" ht="13.95" customHeight="1" x14ac:dyDescent="0.3"/>
    <row r="42" ht="13.95" customHeight="1" x14ac:dyDescent="0.3"/>
    <row r="43" ht="13.95" customHeight="1" x14ac:dyDescent="0.3"/>
    <row r="45" ht="16.2" customHeight="1" x14ac:dyDescent="0.3"/>
  </sheetData>
  <conditionalFormatting sqref="M1:X28">
    <cfRule type="expression" dxfId="8" priority="1">
      <formula>VRAI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J105"/>
  <sheetViews>
    <sheetView showGridLines="0" topLeftCell="A4" zoomScale="85" zoomScaleNormal="85" workbookViewId="0">
      <selection activeCell="D44" sqref="D44"/>
    </sheetView>
  </sheetViews>
  <sheetFormatPr baseColWidth="10" defaultColWidth="8.88671875" defaultRowHeight="14.4" x14ac:dyDescent="0.3"/>
  <cols>
    <col min="1" max="1" width="1.6640625" customWidth="1"/>
    <col min="2" max="2" width="5" customWidth="1"/>
    <col min="3" max="3" width="9.88671875" customWidth="1"/>
    <col min="4" max="4" width="30.44140625" customWidth="1"/>
    <col min="5" max="5" width="7.5546875" customWidth="1"/>
    <col min="6" max="6" width="6.88671875" customWidth="1"/>
    <col min="7" max="8" width="8" customWidth="1"/>
    <col min="9" max="9" width="6.88671875" customWidth="1"/>
    <col min="10" max="10" width="9.88671875" customWidth="1"/>
    <col min="11" max="11" width="8.44140625" customWidth="1"/>
    <col min="12" max="12" width="6.88671875" customWidth="1"/>
    <col min="13" max="13" width="9.5546875" customWidth="1"/>
    <col min="14" max="15" width="10.33203125" customWidth="1"/>
    <col min="16" max="16" width="9.109375" customWidth="1"/>
    <col min="18" max="33" width="8.88671875" style="57" customWidth="1"/>
  </cols>
  <sheetData>
    <row r="1" spans="2:36" ht="21.9" customHeight="1" x14ac:dyDescent="0.3">
      <c r="B1" s="43" t="s">
        <v>791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62"/>
      <c r="R1" s="62" t="s">
        <v>0</v>
      </c>
      <c r="S1" s="62" t="s">
        <v>1</v>
      </c>
      <c r="T1" s="62"/>
      <c r="U1" s="62" t="s">
        <v>2</v>
      </c>
      <c r="V1" s="62" t="s">
        <v>3</v>
      </c>
      <c r="W1" s="62"/>
      <c r="X1" s="62" t="s">
        <v>0</v>
      </c>
      <c r="Y1" s="62" t="s">
        <v>4</v>
      </c>
      <c r="Z1" s="62" t="s">
        <v>5</v>
      </c>
      <c r="AA1" s="62" t="s">
        <v>6</v>
      </c>
      <c r="AB1" s="62"/>
      <c r="AC1" s="62" t="s">
        <v>0</v>
      </c>
      <c r="AD1" s="62" t="s">
        <v>7</v>
      </c>
      <c r="AE1" s="62"/>
      <c r="AF1" s="62"/>
      <c r="AG1" s="62"/>
      <c r="AH1" s="62"/>
      <c r="AI1" s="62"/>
      <c r="AJ1" s="62"/>
    </row>
    <row r="2" spans="2:36" ht="14.1" customHeight="1" x14ac:dyDescent="0.3">
      <c r="B2" s="44" t="s">
        <v>8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62"/>
      <c r="R2" s="62" t="s">
        <v>9</v>
      </c>
      <c r="S2" s="62">
        <v>84</v>
      </c>
      <c r="T2" s="62"/>
      <c r="U2" s="62" t="s">
        <v>10</v>
      </c>
      <c r="V2" s="62">
        <v>4</v>
      </c>
      <c r="W2" s="62"/>
      <c r="X2" s="62" t="s">
        <v>9</v>
      </c>
      <c r="Y2" s="62">
        <v>62</v>
      </c>
      <c r="Z2" s="62">
        <v>73</v>
      </c>
      <c r="AA2" s="62">
        <v>100</v>
      </c>
      <c r="AB2" s="62"/>
      <c r="AC2" s="62" t="s">
        <v>9</v>
      </c>
      <c r="AD2" s="62">
        <v>60.2</v>
      </c>
      <c r="AE2" s="62"/>
      <c r="AF2" s="62"/>
      <c r="AG2" s="62"/>
      <c r="AH2" s="62"/>
      <c r="AI2" s="62"/>
      <c r="AJ2" s="62"/>
    </row>
    <row r="3" spans="2:36" ht="8.1" customHeight="1" x14ac:dyDescent="0.3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62"/>
      <c r="R3" s="62" t="s">
        <v>11</v>
      </c>
      <c r="S3" s="62">
        <v>72</v>
      </c>
      <c r="T3" s="62"/>
      <c r="U3" s="62" t="s">
        <v>10</v>
      </c>
      <c r="V3" s="62">
        <v>4</v>
      </c>
      <c r="W3" s="62"/>
      <c r="X3" s="62" t="s">
        <v>11</v>
      </c>
      <c r="Y3" s="62">
        <v>92</v>
      </c>
      <c r="Z3" s="62">
        <v>77</v>
      </c>
      <c r="AA3" s="62">
        <v>31</v>
      </c>
      <c r="AB3" s="62"/>
      <c r="AC3" s="62" t="s">
        <v>11</v>
      </c>
      <c r="AD3" s="62">
        <v>63.5</v>
      </c>
      <c r="AE3" s="62"/>
      <c r="AF3" s="62"/>
      <c r="AG3" s="62"/>
      <c r="AH3" s="62"/>
      <c r="AI3" s="62"/>
      <c r="AJ3" s="62"/>
    </row>
    <row r="4" spans="2:36" ht="27.9" customHeight="1" x14ac:dyDescent="0.3">
      <c r="B4" s="47"/>
      <c r="C4" s="49">
        <f>COUNTIF('DONNÉES BRUTES'!C$3:C$90,"Énergie")</f>
        <v>27</v>
      </c>
      <c r="D4" s="49"/>
      <c r="E4" s="122">
        <v>30761.200000000001</v>
      </c>
      <c r="F4" s="121"/>
      <c r="G4" s="121"/>
      <c r="H4" s="123">
        <f>IFERROR(ROUND(AVERAGEIF('DONNÉES BRUTES'!C$3:C$90,"Énergie",'DONNÉES BRUTES'!AB$3:AB$90),0),"—")</f>
        <v>56</v>
      </c>
      <c r="I4" s="121"/>
      <c r="J4" s="121"/>
      <c r="K4" s="124" t="s">
        <v>12</v>
      </c>
      <c r="L4" s="121"/>
      <c r="M4" s="121"/>
      <c r="N4" s="123" t="str" cm="1">
        <f t="array" ref="N4">TEXT(MEDIAN(IF(IFERROR(_xlfn.NUMBERVALUE(SUBSTITUTE('DONNÉES BRUTES'!I$3:I$29,"x",""),".",","),0)&gt;0,IFERROR(_xlfn.NUMBERVALUE(SUBSTITUTE('DONNÉES BRUTES'!I$3:I$29,"x",""),".",","),0),FALSE)),"0,0")&amp;"x"</f>
        <v>9,8x</v>
      </c>
      <c r="O4" s="121"/>
      <c r="P4" s="121"/>
      <c r="Q4" s="62"/>
      <c r="R4" s="62" t="s">
        <v>13</v>
      </c>
      <c r="S4" s="62">
        <v>69</v>
      </c>
      <c r="T4" s="62"/>
      <c r="U4" s="62" t="s">
        <v>10</v>
      </c>
      <c r="V4" s="62">
        <v>4</v>
      </c>
      <c r="W4" s="62"/>
      <c r="X4" s="62" t="s">
        <v>13</v>
      </c>
      <c r="Y4" s="62">
        <v>50</v>
      </c>
      <c r="Z4" s="62">
        <v>62</v>
      </c>
      <c r="AA4" s="62">
        <v>69</v>
      </c>
      <c r="AB4" s="62"/>
      <c r="AC4" s="62" t="s">
        <v>13</v>
      </c>
      <c r="AD4" s="62">
        <v>44</v>
      </c>
      <c r="AE4" s="62"/>
      <c r="AF4" s="62"/>
      <c r="AG4" s="62"/>
      <c r="AH4" s="62"/>
      <c r="AI4" s="62"/>
      <c r="AJ4" s="62"/>
    </row>
    <row r="5" spans="2:36" ht="3.9" customHeight="1" x14ac:dyDescent="0.3">
      <c r="B5" s="25"/>
      <c r="C5" s="50"/>
      <c r="D5" s="50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62"/>
      <c r="R5" s="62" t="s">
        <v>14</v>
      </c>
      <c r="S5" s="62">
        <v>68</v>
      </c>
      <c r="T5" s="62"/>
      <c r="U5" s="62" t="s">
        <v>10</v>
      </c>
      <c r="V5" s="62">
        <v>4</v>
      </c>
      <c r="W5" s="62"/>
      <c r="X5" s="62" t="s">
        <v>14</v>
      </c>
      <c r="Y5" s="62">
        <v>100</v>
      </c>
      <c r="Z5" s="62">
        <v>81</v>
      </c>
      <c r="AA5" s="62">
        <v>0</v>
      </c>
      <c r="AB5" s="62"/>
      <c r="AC5" s="62" t="s">
        <v>14</v>
      </c>
      <c r="AD5" s="62">
        <v>45.1</v>
      </c>
      <c r="AE5" s="62"/>
      <c r="AF5" s="62"/>
      <c r="AG5" s="62"/>
      <c r="AH5" s="62"/>
      <c r="AI5" s="62"/>
      <c r="AJ5" s="62"/>
    </row>
    <row r="6" spans="2:36" ht="14.1" customHeight="1" x14ac:dyDescent="0.3">
      <c r="B6" s="48"/>
      <c r="C6" s="51" t="s">
        <v>15</v>
      </c>
      <c r="D6" s="51"/>
      <c r="E6" s="125" t="s">
        <v>16</v>
      </c>
      <c r="F6" s="121"/>
      <c r="G6" s="121"/>
      <c r="H6" s="120" t="s">
        <v>17</v>
      </c>
      <c r="I6" s="121"/>
      <c r="J6" s="121"/>
      <c r="K6" s="120" t="s">
        <v>18</v>
      </c>
      <c r="L6" s="121"/>
      <c r="M6" s="121"/>
      <c r="N6" s="120" t="s">
        <v>19</v>
      </c>
      <c r="O6" s="121"/>
      <c r="P6" s="121"/>
      <c r="Q6" s="62"/>
      <c r="R6" s="62" t="s">
        <v>20</v>
      </c>
      <c r="S6" s="62">
        <v>62</v>
      </c>
      <c r="T6" s="62"/>
      <c r="U6" s="62" t="s">
        <v>21</v>
      </c>
      <c r="V6" s="62">
        <v>14</v>
      </c>
      <c r="W6" s="62"/>
      <c r="X6" s="62" t="s">
        <v>20</v>
      </c>
      <c r="Y6" s="62">
        <v>96</v>
      </c>
      <c r="Z6" s="62">
        <v>85</v>
      </c>
      <c r="AA6" s="62">
        <v>4</v>
      </c>
      <c r="AB6" s="62"/>
      <c r="AC6" s="62" t="s">
        <v>20</v>
      </c>
      <c r="AD6" s="62">
        <v>72</v>
      </c>
      <c r="AE6" s="62"/>
      <c r="AF6" s="62"/>
      <c r="AG6" s="62"/>
      <c r="AH6" s="62"/>
      <c r="AI6" s="62"/>
      <c r="AJ6" s="62"/>
    </row>
    <row r="7" spans="2:36" ht="8.1" customHeight="1" x14ac:dyDescent="0.3"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62"/>
      <c r="R7" s="62" t="s">
        <v>22</v>
      </c>
      <c r="S7" s="62">
        <v>60</v>
      </c>
      <c r="T7" s="62"/>
      <c r="U7" s="62" t="s">
        <v>21</v>
      </c>
      <c r="V7" s="62">
        <v>14</v>
      </c>
      <c r="W7" s="62"/>
      <c r="X7" s="62" t="s">
        <v>22</v>
      </c>
      <c r="Y7" s="62">
        <v>83</v>
      </c>
      <c r="Z7" s="62">
        <v>15</v>
      </c>
      <c r="AA7" s="62">
        <v>58</v>
      </c>
      <c r="AB7" s="62"/>
      <c r="AC7" s="62" t="s">
        <v>22</v>
      </c>
      <c r="AD7" s="62">
        <v>7.4</v>
      </c>
      <c r="AE7" s="62"/>
      <c r="AF7" s="62"/>
      <c r="AG7" s="62"/>
      <c r="AH7" s="62"/>
      <c r="AI7" s="62"/>
      <c r="AJ7" s="62"/>
    </row>
    <row r="8" spans="2:36" ht="18" customHeight="1" x14ac:dyDescent="0.3">
      <c r="B8" s="42" t="str">
        <f>"  ANALYSE DÉTAILLÉE  ·  ÉNERGIE  ·  "&amp;COUNTA('DONNÉES BRUTES'!A$3:A$90)&amp;" sociétés"</f>
        <v xml:space="preserve">  ANALYSE DÉTAILLÉE  ·  ÉNERGIE  ·  88 sociétés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62"/>
      <c r="R8" s="62" t="s">
        <v>23</v>
      </c>
      <c r="S8" s="62">
        <v>58</v>
      </c>
      <c r="T8" s="62"/>
      <c r="U8" s="62" t="s">
        <v>21</v>
      </c>
      <c r="V8" s="62">
        <v>14</v>
      </c>
      <c r="W8" s="62"/>
      <c r="X8" s="62" t="s">
        <v>23</v>
      </c>
      <c r="Y8" s="62">
        <v>54</v>
      </c>
      <c r="Z8" s="62">
        <v>54</v>
      </c>
      <c r="AA8" s="62">
        <v>54</v>
      </c>
      <c r="AB8" s="62"/>
      <c r="AC8" s="62" t="s">
        <v>23</v>
      </c>
      <c r="AD8" s="62">
        <v>43.4</v>
      </c>
      <c r="AE8" s="62"/>
      <c r="AF8" s="62"/>
      <c r="AG8" s="62"/>
      <c r="AH8" s="62"/>
      <c r="AI8" s="62"/>
      <c r="AJ8" s="62"/>
    </row>
    <row r="9" spans="2:36" ht="15.9" customHeight="1" x14ac:dyDescent="0.3">
      <c r="B9" s="27" t="s">
        <v>24</v>
      </c>
      <c r="C9" s="27" t="s">
        <v>0</v>
      </c>
      <c r="D9" s="28" t="s">
        <v>25</v>
      </c>
      <c r="E9" s="27" t="s">
        <v>26</v>
      </c>
      <c r="F9" s="27" t="s">
        <v>27</v>
      </c>
      <c r="G9" s="27" t="s">
        <v>4</v>
      </c>
      <c r="H9" s="27" t="s">
        <v>5</v>
      </c>
      <c r="I9" s="27" t="s">
        <v>28</v>
      </c>
      <c r="J9" s="27" t="s">
        <v>29</v>
      </c>
      <c r="K9" s="27" t="s">
        <v>30</v>
      </c>
      <c r="L9" s="27" t="s">
        <v>31</v>
      </c>
      <c r="M9" s="27" t="s">
        <v>32</v>
      </c>
      <c r="N9" s="27" t="s">
        <v>33</v>
      </c>
      <c r="O9" s="27" t="s">
        <v>34</v>
      </c>
      <c r="P9" s="27" t="s">
        <v>35</v>
      </c>
      <c r="Q9" s="62"/>
      <c r="R9" s="62" t="s">
        <v>36</v>
      </c>
      <c r="S9" s="62">
        <v>54</v>
      </c>
      <c r="T9" s="62"/>
      <c r="U9" s="62" t="s">
        <v>21</v>
      </c>
      <c r="V9" s="62">
        <v>14</v>
      </c>
      <c r="W9" s="62"/>
      <c r="X9" s="62" t="s">
        <v>36</v>
      </c>
      <c r="Y9" s="62">
        <v>67</v>
      </c>
      <c r="Z9" s="62">
        <v>58</v>
      </c>
      <c r="AA9" s="62">
        <v>65</v>
      </c>
      <c r="AB9" s="62"/>
      <c r="AC9" s="62" t="s">
        <v>36</v>
      </c>
      <c r="AD9" s="62">
        <v>28.5</v>
      </c>
      <c r="AE9" s="62"/>
      <c r="AF9" s="62"/>
      <c r="AG9" s="62"/>
      <c r="AH9" s="62"/>
      <c r="AI9" s="62"/>
      <c r="AJ9" s="62"/>
    </row>
    <row r="10" spans="2:36" ht="14.1" customHeight="1" x14ac:dyDescent="0.3">
      <c r="B10" s="41" t="str">
        <f>"  ▸  SURPONDÉRER  ·  "&amp;COUNTIFS('DONNÉES BRUTES'!C$3:C$90,"Énergie",'DONNÉES BRUTES'!AD$3:AD$90,"Surpondérer")&amp;" sociétés"</f>
        <v xml:space="preserve">  ▸  SURPONDÉRER  ·  4 sociétés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62"/>
      <c r="R10" s="62" t="s">
        <v>37</v>
      </c>
      <c r="S10" s="62">
        <v>52</v>
      </c>
      <c r="T10" s="62"/>
      <c r="U10" s="62" t="s">
        <v>21</v>
      </c>
      <c r="V10" s="62">
        <v>14</v>
      </c>
      <c r="W10" s="62"/>
      <c r="X10" s="62" t="s">
        <v>37</v>
      </c>
      <c r="Y10" s="62">
        <v>8</v>
      </c>
      <c r="Z10" s="62">
        <v>96</v>
      </c>
      <c r="AA10" s="62">
        <v>27</v>
      </c>
      <c r="AB10" s="62"/>
      <c r="AC10" s="62" t="s">
        <v>37</v>
      </c>
      <c r="AD10" s="62">
        <v>49</v>
      </c>
      <c r="AE10" s="62"/>
      <c r="AF10" s="62"/>
      <c r="AG10" s="62"/>
      <c r="AH10" s="62"/>
      <c r="AI10" s="62"/>
      <c r="AJ10" s="62"/>
    </row>
    <row r="11" spans="2:36" ht="15" customHeight="1" x14ac:dyDescent="0.3">
      <c r="B11" s="37">
        <v>1</v>
      </c>
      <c r="C11" s="37" t="s">
        <v>9</v>
      </c>
      <c r="D11" s="39" t="s">
        <v>12</v>
      </c>
      <c r="E11" s="37">
        <v>84</v>
      </c>
      <c r="F11" s="38">
        <v>100</v>
      </c>
      <c r="G11" s="38">
        <v>62</v>
      </c>
      <c r="H11" s="38">
        <v>73</v>
      </c>
      <c r="I11" s="38">
        <v>100</v>
      </c>
      <c r="J11" s="38">
        <v>3.2</v>
      </c>
      <c r="K11" s="38">
        <v>1.9</v>
      </c>
      <c r="L11" s="38">
        <v>9.3000000000000007</v>
      </c>
      <c r="M11" s="40">
        <v>0.40600000000000003</v>
      </c>
      <c r="N11" s="40">
        <v>0.60199999999999998</v>
      </c>
      <c r="O11" s="40">
        <v>1.296</v>
      </c>
      <c r="P11" s="38">
        <v>1.46</v>
      </c>
      <c r="Q11" s="62"/>
      <c r="R11" s="62" t="s">
        <v>38</v>
      </c>
      <c r="S11" s="62">
        <v>52</v>
      </c>
      <c r="T11" s="62"/>
      <c r="U11" s="62" t="s">
        <v>21</v>
      </c>
      <c r="V11" s="62">
        <v>14</v>
      </c>
      <c r="W11" s="62"/>
      <c r="X11" s="62" t="s">
        <v>38</v>
      </c>
      <c r="Y11" s="62">
        <v>88</v>
      </c>
      <c r="Z11" s="62">
        <v>46</v>
      </c>
      <c r="AA11" s="62">
        <v>8</v>
      </c>
      <c r="AB11" s="62"/>
      <c r="AC11" s="62" t="s">
        <v>38</v>
      </c>
      <c r="AD11" s="62">
        <v>23.2</v>
      </c>
      <c r="AE11" s="62"/>
      <c r="AF11" s="62"/>
      <c r="AG11" s="62"/>
      <c r="AH11" s="62"/>
      <c r="AI11" s="62"/>
      <c r="AJ11" s="62"/>
    </row>
    <row r="12" spans="2:36" ht="15" customHeight="1" x14ac:dyDescent="0.3">
      <c r="B12" s="29">
        <v>2</v>
      </c>
      <c r="C12" s="29" t="s">
        <v>11</v>
      </c>
      <c r="D12" s="31" t="s">
        <v>39</v>
      </c>
      <c r="E12" s="29">
        <v>72</v>
      </c>
      <c r="F12" s="30">
        <v>88</v>
      </c>
      <c r="G12" s="30">
        <v>92</v>
      </c>
      <c r="H12" s="30">
        <v>77</v>
      </c>
      <c r="I12" s="30">
        <v>31</v>
      </c>
      <c r="J12" s="30">
        <v>5.8</v>
      </c>
      <c r="K12" s="30">
        <v>3.7</v>
      </c>
      <c r="L12" s="30">
        <v>14.2</v>
      </c>
      <c r="M12" s="32">
        <v>0.41499999999999998</v>
      </c>
      <c r="N12" s="32">
        <v>0.63500000000000001</v>
      </c>
      <c r="O12" s="32">
        <v>0.36099999999999999</v>
      </c>
      <c r="P12" s="30">
        <v>3.35</v>
      </c>
      <c r="Q12" s="62"/>
      <c r="R12" s="62" t="s">
        <v>40</v>
      </c>
      <c r="S12" s="62">
        <v>52</v>
      </c>
      <c r="T12" s="62"/>
      <c r="U12" s="62" t="s">
        <v>21</v>
      </c>
      <c r="V12" s="62">
        <v>14</v>
      </c>
      <c r="W12" s="62"/>
      <c r="X12" s="62" t="s">
        <v>40</v>
      </c>
      <c r="Y12" s="62">
        <v>79</v>
      </c>
      <c r="Z12" s="62">
        <v>100</v>
      </c>
      <c r="AA12" s="62">
        <v>15</v>
      </c>
      <c r="AB12" s="62"/>
      <c r="AC12" s="62" t="s">
        <v>40</v>
      </c>
      <c r="AD12" s="62">
        <v>84.4</v>
      </c>
      <c r="AE12" s="62"/>
      <c r="AF12" s="62"/>
      <c r="AG12" s="62"/>
      <c r="AH12" s="62"/>
      <c r="AI12" s="62"/>
      <c r="AJ12" s="62"/>
    </row>
    <row r="13" spans="2:36" ht="15" customHeight="1" x14ac:dyDescent="0.3">
      <c r="B13" s="33">
        <v>3</v>
      </c>
      <c r="C13" s="33" t="s">
        <v>13</v>
      </c>
      <c r="D13" s="35" t="s">
        <v>41</v>
      </c>
      <c r="E13" s="33">
        <v>69</v>
      </c>
      <c r="F13" s="34">
        <v>96</v>
      </c>
      <c r="G13" s="34">
        <v>50</v>
      </c>
      <c r="H13" s="34">
        <v>62</v>
      </c>
      <c r="I13" s="34">
        <v>69</v>
      </c>
      <c r="J13" s="34">
        <v>4.7</v>
      </c>
      <c r="K13" s="34">
        <v>2.1</v>
      </c>
      <c r="L13" s="34">
        <v>10.8</v>
      </c>
      <c r="M13" s="36">
        <v>0.255</v>
      </c>
      <c r="N13" s="36">
        <v>0.44</v>
      </c>
      <c r="O13" s="36">
        <v>0.55100000000000005</v>
      </c>
      <c r="P13" s="34">
        <v>2.89</v>
      </c>
      <c r="Q13" s="62"/>
      <c r="R13" s="62" t="s">
        <v>42</v>
      </c>
      <c r="S13" s="62">
        <v>51</v>
      </c>
      <c r="T13" s="62"/>
      <c r="U13" s="62" t="s">
        <v>21</v>
      </c>
      <c r="V13" s="62">
        <v>14</v>
      </c>
      <c r="W13" s="62"/>
      <c r="X13" s="62" t="s">
        <v>42</v>
      </c>
      <c r="Y13" s="62">
        <v>75</v>
      </c>
      <c r="Z13" s="62">
        <v>65</v>
      </c>
      <c r="AA13" s="62">
        <v>42</v>
      </c>
      <c r="AB13" s="62"/>
      <c r="AC13" s="62" t="s">
        <v>42</v>
      </c>
      <c r="AD13" s="62">
        <v>48.1</v>
      </c>
      <c r="AE13" s="62"/>
      <c r="AF13" s="62"/>
      <c r="AG13" s="62"/>
      <c r="AH13" s="62"/>
      <c r="AI13" s="62"/>
      <c r="AJ13" s="62"/>
    </row>
    <row r="14" spans="2:36" ht="15" customHeight="1" x14ac:dyDescent="0.3">
      <c r="B14" s="74">
        <v>4</v>
      </c>
      <c r="C14" s="74" t="s">
        <v>14</v>
      </c>
      <c r="D14" s="75" t="s">
        <v>43</v>
      </c>
      <c r="E14" s="74">
        <v>68</v>
      </c>
      <c r="F14" s="76">
        <v>92</v>
      </c>
      <c r="G14" s="76">
        <v>100</v>
      </c>
      <c r="H14" s="76">
        <v>81</v>
      </c>
      <c r="I14" s="76">
        <v>0</v>
      </c>
      <c r="J14" s="76">
        <v>5.0999999999999996</v>
      </c>
      <c r="K14" s="76">
        <v>2.2999999999999998</v>
      </c>
      <c r="L14" s="76">
        <v>12.8</v>
      </c>
      <c r="M14" s="77">
        <v>0.50800000000000001</v>
      </c>
      <c r="N14" s="77">
        <v>0.45100000000000001</v>
      </c>
      <c r="O14" s="77">
        <v>-0.13800000000000001</v>
      </c>
      <c r="P14" s="76">
        <v>3.17</v>
      </c>
      <c r="Q14" s="62"/>
      <c r="R14" s="62" t="s">
        <v>44</v>
      </c>
      <c r="S14" s="62">
        <v>51</v>
      </c>
      <c r="T14" s="62"/>
      <c r="U14" s="62" t="s">
        <v>21</v>
      </c>
      <c r="V14" s="62">
        <v>14</v>
      </c>
      <c r="W14" s="62"/>
      <c r="X14" s="62" t="s">
        <v>44</v>
      </c>
      <c r="Y14" s="62">
        <v>71</v>
      </c>
      <c r="Z14" s="62">
        <v>92</v>
      </c>
      <c r="AA14" s="62">
        <v>23</v>
      </c>
      <c r="AB14" s="62"/>
      <c r="AC14" s="62" t="s">
        <v>44</v>
      </c>
      <c r="AD14" s="62">
        <v>62</v>
      </c>
      <c r="AE14" s="62"/>
      <c r="AF14" s="62"/>
      <c r="AG14" s="62"/>
      <c r="AH14" s="62"/>
      <c r="AI14" s="62"/>
      <c r="AJ14" s="62"/>
    </row>
    <row r="15" spans="2:36" ht="15" customHeight="1" x14ac:dyDescent="0.3">
      <c r="B15" s="70"/>
      <c r="C15" s="70"/>
      <c r="D15" s="71"/>
      <c r="E15" s="70"/>
      <c r="F15" s="72"/>
      <c r="G15" s="72"/>
      <c r="H15" s="72"/>
      <c r="I15" s="72"/>
      <c r="J15" s="72"/>
      <c r="K15" s="72"/>
      <c r="L15" s="72"/>
      <c r="M15" s="73"/>
      <c r="N15" s="73"/>
      <c r="O15" s="73"/>
      <c r="P15" s="72"/>
      <c r="Q15" s="62"/>
      <c r="R15" s="62" t="s">
        <v>45</v>
      </c>
      <c r="S15" s="62">
        <v>50</v>
      </c>
      <c r="T15" s="62"/>
      <c r="U15" s="62" t="s">
        <v>21</v>
      </c>
      <c r="V15" s="62">
        <v>14</v>
      </c>
      <c r="W15" s="62"/>
      <c r="X15" s="62" t="s">
        <v>45</v>
      </c>
      <c r="Y15" s="62">
        <v>33</v>
      </c>
      <c r="Z15" s="62">
        <v>42</v>
      </c>
      <c r="AA15" s="62">
        <v>85</v>
      </c>
      <c r="AB15" s="62"/>
      <c r="AC15" s="62" t="s">
        <v>45</v>
      </c>
      <c r="AD15" s="62">
        <v>15.5</v>
      </c>
      <c r="AE15" s="62"/>
      <c r="AF15" s="62"/>
      <c r="AG15" s="62"/>
      <c r="AH15" s="62"/>
      <c r="AI15" s="62"/>
      <c r="AJ15" s="62"/>
    </row>
    <row r="16" spans="2:36" ht="15" customHeight="1" x14ac:dyDescent="0.3">
      <c r="B16" s="78" t="str">
        <f>"  ▸  NEUTRE  ·  "&amp;COUNTIFS('DONNÉES BRUTES'!C$3:C$90,"Énergie",'DONNÉES BRUTES'!AD$3:AD$90,"Neutre")&amp;" sociétés"</f>
        <v xml:space="preserve">  ▸  NEUTRE  ·  14 sociétés</v>
      </c>
      <c r="C16" s="79"/>
      <c r="D16" s="80"/>
      <c r="E16" s="79"/>
      <c r="F16" s="79"/>
      <c r="G16" s="79"/>
      <c r="H16" s="79"/>
      <c r="I16" s="79"/>
      <c r="J16" s="79"/>
      <c r="K16" s="79"/>
      <c r="L16" s="79"/>
      <c r="M16" s="81"/>
      <c r="N16" s="81"/>
      <c r="O16" s="81"/>
      <c r="P16" s="79"/>
      <c r="Q16" s="62"/>
      <c r="R16" s="62" t="s">
        <v>46</v>
      </c>
      <c r="S16" s="62">
        <v>50</v>
      </c>
      <c r="T16" s="62"/>
      <c r="U16" s="62" t="s">
        <v>21</v>
      </c>
      <c r="V16" s="62">
        <v>14</v>
      </c>
      <c r="W16" s="62"/>
      <c r="X16" s="62" t="s">
        <v>46</v>
      </c>
      <c r="Y16" s="62">
        <v>38</v>
      </c>
      <c r="Z16" s="62">
        <v>69</v>
      </c>
      <c r="AA16" s="62">
        <v>38</v>
      </c>
      <c r="AB16" s="62"/>
      <c r="AC16" s="62" t="s">
        <v>46</v>
      </c>
      <c r="AD16" s="62">
        <v>54</v>
      </c>
      <c r="AE16" s="62"/>
      <c r="AF16" s="62"/>
      <c r="AG16" s="62"/>
      <c r="AH16" s="62"/>
      <c r="AI16" s="62"/>
      <c r="AJ16" s="62"/>
    </row>
    <row r="17" spans="2:36" ht="15" customHeight="1" x14ac:dyDescent="0.3">
      <c r="B17" s="33">
        <v>5</v>
      </c>
      <c r="C17" s="33" t="s">
        <v>20</v>
      </c>
      <c r="D17" s="35" t="s">
        <v>47</v>
      </c>
      <c r="E17" s="33">
        <v>62</v>
      </c>
      <c r="F17" s="34">
        <v>62</v>
      </c>
      <c r="G17" s="34">
        <v>96</v>
      </c>
      <c r="H17" s="34">
        <v>85</v>
      </c>
      <c r="I17" s="34">
        <v>4</v>
      </c>
      <c r="J17" s="34">
        <v>7.3</v>
      </c>
      <c r="K17" s="34">
        <v>5.3</v>
      </c>
      <c r="L17" s="34">
        <v>17.8</v>
      </c>
      <c r="M17" s="36">
        <v>0.432</v>
      </c>
      <c r="N17" s="36">
        <v>0.72</v>
      </c>
      <c r="O17" s="36">
        <v>7.0999999999999994E-2</v>
      </c>
      <c r="P17" s="34">
        <v>2.52</v>
      </c>
      <c r="Q17" s="62"/>
      <c r="R17" s="62" t="s">
        <v>48</v>
      </c>
      <c r="S17" s="62">
        <v>48</v>
      </c>
      <c r="T17" s="62"/>
      <c r="U17" s="62" t="s">
        <v>21</v>
      </c>
      <c r="V17" s="62">
        <v>14</v>
      </c>
      <c r="W17" s="62"/>
      <c r="X17" s="62" t="s">
        <v>48</v>
      </c>
      <c r="Y17" s="62">
        <v>58</v>
      </c>
      <c r="Z17" s="62">
        <v>88</v>
      </c>
      <c r="AA17" s="62">
        <v>19</v>
      </c>
      <c r="AB17" s="62"/>
      <c r="AC17" s="62" t="s">
        <v>48</v>
      </c>
      <c r="AD17" s="62">
        <v>42.4</v>
      </c>
      <c r="AE17" s="62"/>
      <c r="AF17" s="62"/>
      <c r="AG17" s="62"/>
      <c r="AH17" s="62"/>
      <c r="AI17" s="62"/>
      <c r="AJ17" s="62"/>
    </row>
    <row r="18" spans="2:36" ht="15" customHeight="1" x14ac:dyDescent="0.3">
      <c r="B18" s="29">
        <v>6</v>
      </c>
      <c r="C18" s="29" t="s">
        <v>22</v>
      </c>
      <c r="D18" s="31" t="s">
        <v>49</v>
      </c>
      <c r="E18" s="29">
        <v>60</v>
      </c>
      <c r="F18" s="30">
        <v>83</v>
      </c>
      <c r="G18" s="30">
        <v>83</v>
      </c>
      <c r="H18" s="30">
        <v>15</v>
      </c>
      <c r="I18" s="30">
        <v>58</v>
      </c>
      <c r="J18" s="30">
        <v>8.6</v>
      </c>
      <c r="K18" s="30">
        <v>0.6</v>
      </c>
      <c r="L18" s="30">
        <v>14.9</v>
      </c>
      <c r="M18" s="32">
        <v>9.8000000000000004E-2</v>
      </c>
      <c r="N18" s="32">
        <v>7.3999999999999996E-2</v>
      </c>
      <c r="O18" s="32">
        <v>0.49299999999999999</v>
      </c>
      <c r="P18" s="30">
        <v>3.12</v>
      </c>
      <c r="Q18" s="62"/>
      <c r="R18" s="62" t="s">
        <v>50</v>
      </c>
      <c r="S18" s="62">
        <v>46</v>
      </c>
      <c r="T18" s="62"/>
      <c r="U18" s="62" t="s">
        <v>21</v>
      </c>
      <c r="V18" s="62">
        <v>14</v>
      </c>
      <c r="W18" s="62"/>
      <c r="X18" s="62" t="s">
        <v>50</v>
      </c>
      <c r="Y18" s="62"/>
      <c r="Z18" s="62">
        <v>4</v>
      </c>
      <c r="AA18" s="62">
        <v>88</v>
      </c>
      <c r="AB18" s="62"/>
      <c r="AC18" s="62" t="s">
        <v>50</v>
      </c>
      <c r="AD18" s="62"/>
      <c r="AE18" s="62"/>
      <c r="AF18" s="62"/>
      <c r="AG18" s="62"/>
      <c r="AH18" s="62"/>
      <c r="AI18" s="62"/>
      <c r="AJ18" s="62"/>
    </row>
    <row r="19" spans="2:36" s="18" customFormat="1" ht="13.5" customHeight="1" x14ac:dyDescent="0.3">
      <c r="B19" s="52">
        <v>7</v>
      </c>
      <c r="C19" s="52" t="s">
        <v>23</v>
      </c>
      <c r="D19" s="53" t="s">
        <v>51</v>
      </c>
      <c r="E19" s="52">
        <v>58</v>
      </c>
      <c r="F19" s="54">
        <v>71</v>
      </c>
      <c r="G19" s="54">
        <v>54</v>
      </c>
      <c r="H19" s="54">
        <v>54</v>
      </c>
      <c r="I19" s="54">
        <v>54</v>
      </c>
      <c r="J19" s="54">
        <v>6.4</v>
      </c>
      <c r="K19" s="54">
        <v>2.8</v>
      </c>
      <c r="L19" s="54">
        <v>18.600000000000001</v>
      </c>
      <c r="M19" s="55">
        <v>0.251</v>
      </c>
      <c r="N19" s="55">
        <v>0.434</v>
      </c>
      <c r="O19" s="55">
        <v>0.47</v>
      </c>
      <c r="P19" s="54">
        <v>3.98</v>
      </c>
      <c r="Q19" s="63"/>
      <c r="R19" s="62" t="s">
        <v>52</v>
      </c>
      <c r="S19" s="62">
        <v>45</v>
      </c>
      <c r="T19" s="62"/>
      <c r="U19" s="62" t="s">
        <v>21</v>
      </c>
      <c r="V19" s="62">
        <v>14</v>
      </c>
      <c r="W19" s="62"/>
      <c r="X19" s="62" t="s">
        <v>52</v>
      </c>
      <c r="Y19" s="62">
        <v>42</v>
      </c>
      <c r="Z19" s="62">
        <v>12</v>
      </c>
      <c r="AA19" s="62">
        <v>50</v>
      </c>
      <c r="AB19" s="62"/>
      <c r="AC19" s="62" t="s">
        <v>52</v>
      </c>
      <c r="AD19" s="62">
        <v>8.8000000000000007</v>
      </c>
      <c r="AE19" s="62"/>
      <c r="AF19" s="62"/>
      <c r="AG19" s="62"/>
      <c r="AH19" s="63"/>
      <c r="AI19" s="63"/>
      <c r="AJ19" s="63"/>
    </row>
    <row r="20" spans="2:36" ht="14.1" customHeight="1" x14ac:dyDescent="0.3">
      <c r="B20" s="64">
        <v>8</v>
      </c>
      <c r="C20" s="64" t="s">
        <v>36</v>
      </c>
      <c r="D20" s="65" t="s">
        <v>53</v>
      </c>
      <c r="E20" s="64">
        <v>54</v>
      </c>
      <c r="F20" s="65">
        <v>25</v>
      </c>
      <c r="G20" s="65">
        <v>67</v>
      </c>
      <c r="H20" s="65">
        <v>58</v>
      </c>
      <c r="I20" s="65">
        <v>65</v>
      </c>
      <c r="J20" s="65">
        <v>14.1</v>
      </c>
      <c r="K20" s="65">
        <v>4</v>
      </c>
      <c r="L20" s="65">
        <v>26.8</v>
      </c>
      <c r="M20" s="65">
        <v>0.29399999999999998</v>
      </c>
      <c r="N20" s="65">
        <v>0.28499999999999998</v>
      </c>
      <c r="O20" s="65">
        <v>0.54400000000000004</v>
      </c>
      <c r="P20" s="65">
        <v>1.02</v>
      </c>
      <c r="Q20" s="62"/>
      <c r="R20" s="62" t="s">
        <v>54</v>
      </c>
      <c r="S20" s="62">
        <v>44</v>
      </c>
      <c r="T20" s="62"/>
      <c r="U20" s="62" t="s">
        <v>55</v>
      </c>
      <c r="V20" s="62">
        <v>9</v>
      </c>
      <c r="W20" s="62"/>
      <c r="X20" s="62" t="s">
        <v>54</v>
      </c>
      <c r="Y20" s="62">
        <v>17</v>
      </c>
      <c r="Z20" s="62">
        <v>38</v>
      </c>
      <c r="AA20" s="62">
        <v>62</v>
      </c>
      <c r="AB20" s="62"/>
      <c r="AC20" s="62" t="s">
        <v>54</v>
      </c>
      <c r="AD20" s="62">
        <v>21</v>
      </c>
      <c r="AE20" s="62"/>
      <c r="AF20" s="62"/>
      <c r="AG20" s="62"/>
      <c r="AH20" s="62"/>
      <c r="AI20" s="62"/>
      <c r="AJ20" s="62"/>
    </row>
    <row r="21" spans="2:36" ht="15" customHeight="1" x14ac:dyDescent="0.3">
      <c r="B21" s="33">
        <v>9</v>
      </c>
      <c r="C21" s="33" t="s">
        <v>37</v>
      </c>
      <c r="D21" s="35" t="s">
        <v>56</v>
      </c>
      <c r="E21" s="33">
        <v>52</v>
      </c>
      <c r="F21" s="34">
        <v>79</v>
      </c>
      <c r="G21" s="34">
        <v>8</v>
      </c>
      <c r="H21" s="34">
        <v>96</v>
      </c>
      <c r="I21" s="34">
        <v>27</v>
      </c>
      <c r="J21" s="34">
        <v>6.9</v>
      </c>
      <c r="K21" s="34">
        <v>3.4</v>
      </c>
      <c r="L21" s="34">
        <v>14.4</v>
      </c>
      <c r="M21" s="36">
        <v>0.63400000000000001</v>
      </c>
      <c r="N21" s="36">
        <v>0.49</v>
      </c>
      <c r="O21" s="36">
        <v>0.26800000000000002</v>
      </c>
      <c r="P21" s="34">
        <v>4.53</v>
      </c>
      <c r="Q21" s="62"/>
      <c r="R21" s="62" t="s">
        <v>57</v>
      </c>
      <c r="S21" s="62">
        <v>43</v>
      </c>
      <c r="T21" s="62"/>
      <c r="U21" s="62" t="s">
        <v>55</v>
      </c>
      <c r="V21" s="62">
        <v>9</v>
      </c>
      <c r="W21" s="62"/>
      <c r="X21" s="62" t="s">
        <v>57</v>
      </c>
      <c r="Y21" s="62">
        <v>0</v>
      </c>
      <c r="Z21" s="62">
        <v>27</v>
      </c>
      <c r="AA21" s="62">
        <v>96</v>
      </c>
      <c r="AB21" s="62"/>
      <c r="AC21" s="62" t="s">
        <v>57</v>
      </c>
      <c r="AD21" s="62">
        <v>14.7</v>
      </c>
      <c r="AE21" s="62"/>
      <c r="AF21" s="62"/>
      <c r="AG21" s="62"/>
      <c r="AH21" s="62"/>
      <c r="AI21" s="62"/>
      <c r="AJ21" s="62"/>
    </row>
    <row r="22" spans="2:36" ht="15" customHeight="1" x14ac:dyDescent="0.3">
      <c r="B22" s="29">
        <v>10</v>
      </c>
      <c r="C22" s="29" t="s">
        <v>38</v>
      </c>
      <c r="D22" s="31" t="s">
        <v>58</v>
      </c>
      <c r="E22" s="29">
        <v>52</v>
      </c>
      <c r="F22" s="30">
        <v>67</v>
      </c>
      <c r="G22" s="30">
        <v>88</v>
      </c>
      <c r="H22" s="30">
        <v>46</v>
      </c>
      <c r="I22" s="30">
        <v>8</v>
      </c>
      <c r="J22" s="30">
        <v>11.1</v>
      </c>
      <c r="K22" s="30">
        <v>2.6</v>
      </c>
      <c r="L22" s="30">
        <v>15.8</v>
      </c>
      <c r="M22" s="32">
        <v>0.26</v>
      </c>
      <c r="N22" s="32">
        <v>0.23200000000000001</v>
      </c>
      <c r="O22" s="32">
        <v>0.11</v>
      </c>
      <c r="P22" s="30">
        <v>1.1000000000000001</v>
      </c>
      <c r="Q22" s="62"/>
      <c r="R22" s="62" t="s">
        <v>59</v>
      </c>
      <c r="S22" s="62">
        <v>40</v>
      </c>
      <c r="T22" s="62"/>
      <c r="U22" s="62" t="s">
        <v>55</v>
      </c>
      <c r="V22" s="62">
        <v>9</v>
      </c>
      <c r="W22" s="62"/>
      <c r="X22" s="62" t="s">
        <v>59</v>
      </c>
      <c r="Y22" s="62">
        <v>46</v>
      </c>
      <c r="Z22" s="62">
        <v>23</v>
      </c>
      <c r="AA22" s="62">
        <v>81</v>
      </c>
      <c r="AB22" s="62"/>
      <c r="AC22" s="62" t="s">
        <v>59</v>
      </c>
      <c r="AD22" s="62">
        <v>16.2</v>
      </c>
      <c r="AE22" s="62"/>
      <c r="AF22" s="62"/>
      <c r="AG22" s="62"/>
      <c r="AH22" s="62"/>
      <c r="AI22" s="62"/>
      <c r="AJ22" s="62"/>
    </row>
    <row r="23" spans="2:36" ht="15" customHeight="1" x14ac:dyDescent="0.3">
      <c r="B23" s="33">
        <v>11</v>
      </c>
      <c r="C23" s="33" t="s">
        <v>40</v>
      </c>
      <c r="D23" s="35" t="s">
        <v>60</v>
      </c>
      <c r="E23" s="33">
        <v>52</v>
      </c>
      <c r="F23" s="34">
        <v>12</v>
      </c>
      <c r="G23" s="34">
        <v>79</v>
      </c>
      <c r="H23" s="34">
        <v>100</v>
      </c>
      <c r="I23" s="34">
        <v>15</v>
      </c>
      <c r="J23" s="34">
        <v>43.6</v>
      </c>
      <c r="K23" s="34">
        <v>36.5</v>
      </c>
      <c r="L23" s="34">
        <v>61</v>
      </c>
      <c r="M23" s="36">
        <v>0.85499999999999998</v>
      </c>
      <c r="N23" s="36">
        <v>0.84399999999999997</v>
      </c>
      <c r="O23" s="36">
        <v>0.153</v>
      </c>
      <c r="P23" s="34">
        <v>16.05</v>
      </c>
      <c r="Q23" s="62"/>
      <c r="R23" s="62" t="s">
        <v>61</v>
      </c>
      <c r="S23" s="62">
        <v>40</v>
      </c>
      <c r="T23" s="62"/>
      <c r="U23" s="62" t="s">
        <v>55</v>
      </c>
      <c r="V23" s="62">
        <v>9</v>
      </c>
      <c r="W23" s="62"/>
      <c r="X23" s="62" t="s">
        <v>61</v>
      </c>
      <c r="Y23" s="62">
        <v>4</v>
      </c>
      <c r="Z23" s="62">
        <v>35</v>
      </c>
      <c r="AA23" s="62">
        <v>77</v>
      </c>
      <c r="AB23" s="62"/>
      <c r="AC23" s="62" t="s">
        <v>61</v>
      </c>
      <c r="AD23" s="62">
        <v>19.5</v>
      </c>
      <c r="AE23" s="62"/>
      <c r="AF23" s="62"/>
      <c r="AG23" s="62"/>
      <c r="AH23" s="62"/>
      <c r="AI23" s="62"/>
      <c r="AJ23" s="62"/>
    </row>
    <row r="24" spans="2:36" ht="15" customHeight="1" x14ac:dyDescent="0.3">
      <c r="B24" s="29">
        <v>12</v>
      </c>
      <c r="C24" s="29" t="s">
        <v>42</v>
      </c>
      <c r="D24" s="31" t="s">
        <v>62</v>
      </c>
      <c r="E24" s="29">
        <v>51</v>
      </c>
      <c r="F24" s="30">
        <v>21</v>
      </c>
      <c r="G24" s="30">
        <v>75</v>
      </c>
      <c r="H24" s="30">
        <v>65</v>
      </c>
      <c r="I24" s="30">
        <v>42</v>
      </c>
      <c r="J24" s="30">
        <v>9.3000000000000007</v>
      </c>
      <c r="K24" s="30">
        <v>4.5</v>
      </c>
      <c r="L24" s="30">
        <v>31.6</v>
      </c>
      <c r="M24" s="32">
        <v>0.35</v>
      </c>
      <c r="N24" s="32">
        <v>0.48099999999999998</v>
      </c>
      <c r="O24" s="32">
        <v>0.42699999999999999</v>
      </c>
      <c r="P24" s="30">
        <v>1.55</v>
      </c>
      <c r="Q24" s="62"/>
      <c r="R24" s="62" t="s">
        <v>63</v>
      </c>
      <c r="S24" s="62">
        <v>40</v>
      </c>
      <c r="T24" s="62"/>
      <c r="U24" s="62" t="s">
        <v>55</v>
      </c>
      <c r="V24" s="62">
        <v>9</v>
      </c>
      <c r="W24" s="62"/>
      <c r="X24" s="62" t="s">
        <v>63</v>
      </c>
      <c r="Y24" s="62">
        <v>25</v>
      </c>
      <c r="Z24" s="62">
        <v>8</v>
      </c>
      <c r="AA24" s="62">
        <v>92</v>
      </c>
      <c r="AB24" s="62"/>
      <c r="AC24" s="62" t="s">
        <v>63</v>
      </c>
      <c r="AD24" s="62">
        <v>5.5</v>
      </c>
      <c r="AE24" s="62"/>
      <c r="AF24" s="62"/>
      <c r="AG24" s="62"/>
      <c r="AH24" s="62"/>
      <c r="AI24" s="62"/>
      <c r="AJ24" s="62"/>
    </row>
    <row r="25" spans="2:36" ht="15" customHeight="1" x14ac:dyDescent="0.3">
      <c r="B25" s="33">
        <v>13</v>
      </c>
      <c r="C25" s="33" t="s">
        <v>44</v>
      </c>
      <c r="D25" s="35" t="s">
        <v>64</v>
      </c>
      <c r="E25" s="33">
        <v>51</v>
      </c>
      <c r="F25" s="34">
        <v>17</v>
      </c>
      <c r="G25" s="34">
        <v>71</v>
      </c>
      <c r="H25" s="34">
        <v>92</v>
      </c>
      <c r="I25" s="34">
        <v>23</v>
      </c>
      <c r="J25" s="34">
        <v>15.6</v>
      </c>
      <c r="K25" s="34">
        <v>9.6999999999999993</v>
      </c>
      <c r="L25" s="34">
        <v>33.1</v>
      </c>
      <c r="M25" s="36">
        <v>0.62</v>
      </c>
      <c r="N25" s="36">
        <v>0.62</v>
      </c>
      <c r="O25" s="36">
        <v>0.20799999999999999</v>
      </c>
      <c r="P25" s="34">
        <v>-0.11</v>
      </c>
      <c r="Q25" s="62"/>
      <c r="R25" s="62" t="s">
        <v>65</v>
      </c>
      <c r="S25" s="62">
        <v>36</v>
      </c>
      <c r="T25" s="62"/>
      <c r="U25" s="62" t="s">
        <v>55</v>
      </c>
      <c r="V25" s="62">
        <v>9</v>
      </c>
      <c r="W25" s="62"/>
      <c r="X25" s="62" t="s">
        <v>65</v>
      </c>
      <c r="Y25" s="62"/>
      <c r="Z25" s="62">
        <v>0</v>
      </c>
      <c r="AA25" s="62">
        <v>73</v>
      </c>
      <c r="AB25" s="62"/>
      <c r="AC25" s="62" t="s">
        <v>65</v>
      </c>
      <c r="AD25" s="62"/>
      <c r="AE25" s="62"/>
      <c r="AF25" s="62"/>
      <c r="AG25" s="62"/>
      <c r="AH25" s="62"/>
      <c r="AI25" s="62"/>
      <c r="AJ25" s="62"/>
    </row>
    <row r="26" spans="2:36" ht="15" customHeight="1" x14ac:dyDescent="0.3">
      <c r="B26" s="29">
        <v>14</v>
      </c>
      <c r="C26" s="29" t="s">
        <v>45</v>
      </c>
      <c r="D26" s="31" t="s">
        <v>66</v>
      </c>
      <c r="E26" s="29">
        <v>50</v>
      </c>
      <c r="F26" s="30">
        <v>42</v>
      </c>
      <c r="G26" s="30">
        <v>33</v>
      </c>
      <c r="H26" s="30">
        <v>42</v>
      </c>
      <c r="I26" s="30">
        <v>85</v>
      </c>
      <c r="J26" s="30">
        <v>14.6</v>
      </c>
      <c r="K26" s="30">
        <v>2.2999999999999998</v>
      </c>
      <c r="L26" s="30">
        <v>23.2</v>
      </c>
      <c r="M26" s="32">
        <v>0.23599999999999999</v>
      </c>
      <c r="N26" s="32">
        <v>0.155</v>
      </c>
      <c r="O26" s="32">
        <v>0.66800000000000004</v>
      </c>
      <c r="P26" s="30">
        <v>1.95</v>
      </c>
      <c r="Q26" s="62"/>
      <c r="R26" s="62" t="s">
        <v>67</v>
      </c>
      <c r="S26" s="62">
        <v>36</v>
      </c>
      <c r="T26" s="62"/>
      <c r="U26" s="62" t="s">
        <v>55</v>
      </c>
      <c r="V26" s="62">
        <v>9</v>
      </c>
      <c r="W26" s="62"/>
      <c r="X26" s="62" t="s">
        <v>67</v>
      </c>
      <c r="Y26" s="62">
        <v>12</v>
      </c>
      <c r="Z26" s="62">
        <v>50</v>
      </c>
      <c r="AA26" s="62">
        <v>46</v>
      </c>
      <c r="AB26" s="62"/>
      <c r="AC26" s="62" t="s">
        <v>67</v>
      </c>
      <c r="AD26" s="62">
        <v>22.5</v>
      </c>
      <c r="AE26" s="62"/>
      <c r="AF26" s="62"/>
      <c r="AG26" s="62"/>
      <c r="AH26" s="62"/>
      <c r="AI26" s="62"/>
      <c r="AJ26" s="62"/>
    </row>
    <row r="27" spans="2:36" ht="15" customHeight="1" x14ac:dyDescent="0.3">
      <c r="B27" s="33">
        <v>15</v>
      </c>
      <c r="C27" s="33" t="s">
        <v>46</v>
      </c>
      <c r="D27" s="35" t="s">
        <v>68</v>
      </c>
      <c r="E27" s="33">
        <v>50</v>
      </c>
      <c r="F27" s="34">
        <v>54</v>
      </c>
      <c r="G27" s="34">
        <v>38</v>
      </c>
      <c r="H27" s="34">
        <v>69</v>
      </c>
      <c r="I27" s="34">
        <v>38</v>
      </c>
      <c r="J27" s="34">
        <v>6.5</v>
      </c>
      <c r="K27" s="34">
        <v>3.5</v>
      </c>
      <c r="L27" s="34">
        <v>24.2</v>
      </c>
      <c r="M27" s="36">
        <v>0.34899999999999998</v>
      </c>
      <c r="N27" s="36">
        <v>0.54</v>
      </c>
      <c r="O27" s="36">
        <v>0.42599999999999999</v>
      </c>
      <c r="P27" s="34">
        <v>1.74</v>
      </c>
      <c r="Q27" s="62"/>
      <c r="R27" s="62" t="s">
        <v>69</v>
      </c>
      <c r="S27" s="62">
        <v>25</v>
      </c>
      <c r="T27" s="62"/>
      <c r="U27" s="62" t="s">
        <v>55</v>
      </c>
      <c r="V27" s="62">
        <v>9</v>
      </c>
      <c r="W27" s="62"/>
      <c r="X27" s="62" t="s">
        <v>69</v>
      </c>
      <c r="Y27" s="62">
        <v>29</v>
      </c>
      <c r="Z27" s="62">
        <v>31</v>
      </c>
      <c r="AA27" s="62">
        <v>35</v>
      </c>
      <c r="AB27" s="62"/>
      <c r="AC27" s="62" t="s">
        <v>69</v>
      </c>
      <c r="AD27" s="62">
        <v>21.2</v>
      </c>
      <c r="AE27" s="62"/>
      <c r="AF27" s="62"/>
      <c r="AG27" s="62"/>
      <c r="AH27" s="62"/>
      <c r="AI27" s="62"/>
      <c r="AJ27" s="62"/>
    </row>
    <row r="28" spans="2:36" ht="15" customHeight="1" x14ac:dyDescent="0.3">
      <c r="B28" s="29">
        <v>16</v>
      </c>
      <c r="C28" s="29" t="s">
        <v>48</v>
      </c>
      <c r="D28" s="31" t="s">
        <v>70</v>
      </c>
      <c r="E28" s="29">
        <v>48</v>
      </c>
      <c r="F28" s="30">
        <v>29</v>
      </c>
      <c r="G28" s="30">
        <v>58</v>
      </c>
      <c r="H28" s="30">
        <v>88</v>
      </c>
      <c r="I28" s="30">
        <v>19</v>
      </c>
      <c r="J28" s="30">
        <v>14.3</v>
      </c>
      <c r="K28" s="30">
        <v>6</v>
      </c>
      <c r="L28" s="30">
        <v>23.2</v>
      </c>
      <c r="M28" s="32">
        <v>0.52900000000000003</v>
      </c>
      <c r="N28" s="32">
        <v>0.42399999999999999</v>
      </c>
      <c r="O28" s="32">
        <v>0.16900000000000001</v>
      </c>
      <c r="P28" s="30">
        <v>0.65</v>
      </c>
      <c r="Q28" s="62"/>
      <c r="R28" s="62" t="s">
        <v>71</v>
      </c>
      <c r="S28" s="62">
        <v>13</v>
      </c>
      <c r="T28" s="62"/>
      <c r="U28" s="62" t="s">
        <v>55</v>
      </c>
      <c r="V28" s="62">
        <v>9</v>
      </c>
      <c r="W28" s="62"/>
      <c r="X28" s="62" t="s">
        <v>71</v>
      </c>
      <c r="Y28" s="62">
        <v>21</v>
      </c>
      <c r="Z28" s="62">
        <v>19</v>
      </c>
      <c r="AA28" s="62">
        <v>12</v>
      </c>
      <c r="AB28" s="62"/>
      <c r="AC28" s="62" t="s">
        <v>71</v>
      </c>
      <c r="AD28" s="62">
        <v>4.3</v>
      </c>
      <c r="AE28" s="62"/>
      <c r="AF28" s="62"/>
      <c r="AG28" s="62"/>
      <c r="AH28" s="62"/>
      <c r="AI28" s="62"/>
      <c r="AJ28" s="62"/>
    </row>
    <row r="29" spans="2:36" ht="15" customHeight="1" x14ac:dyDescent="0.3">
      <c r="B29" s="33">
        <v>17</v>
      </c>
      <c r="C29" s="33" t="s">
        <v>50</v>
      </c>
      <c r="D29" s="35" t="s">
        <v>72</v>
      </c>
      <c r="E29" s="33">
        <v>46</v>
      </c>
      <c r="F29" s="34" t="s">
        <v>73</v>
      </c>
      <c r="G29" s="34"/>
      <c r="H29" s="34">
        <v>4</v>
      </c>
      <c r="I29" s="34">
        <v>88</v>
      </c>
      <c r="J29" s="34" t="s">
        <v>73</v>
      </c>
      <c r="K29" s="34" t="s">
        <v>73</v>
      </c>
      <c r="L29" s="34" t="s">
        <v>73</v>
      </c>
      <c r="M29" s="36" t="s">
        <v>73</v>
      </c>
      <c r="N29" s="36" t="s">
        <v>73</v>
      </c>
      <c r="O29" s="36">
        <v>0.92300000000000004</v>
      </c>
      <c r="P29" s="34" t="s">
        <v>73</v>
      </c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</row>
    <row r="30" spans="2:36" ht="15" customHeight="1" x14ac:dyDescent="0.3">
      <c r="B30" s="74">
        <v>18</v>
      </c>
      <c r="C30" s="74" t="s">
        <v>52</v>
      </c>
      <c r="D30" s="75" t="s">
        <v>74</v>
      </c>
      <c r="E30" s="74">
        <v>45</v>
      </c>
      <c r="F30" s="76">
        <v>75</v>
      </c>
      <c r="G30" s="76">
        <v>42</v>
      </c>
      <c r="H30" s="76">
        <v>12</v>
      </c>
      <c r="I30" s="76">
        <v>50</v>
      </c>
      <c r="J30" s="76">
        <v>8.1999999999999993</v>
      </c>
      <c r="K30" s="76">
        <v>0.7</v>
      </c>
      <c r="L30" s="76">
        <v>16.5</v>
      </c>
      <c r="M30" s="77">
        <v>7.4999999999999997E-2</v>
      </c>
      <c r="N30" s="77">
        <v>8.7999999999999995E-2</v>
      </c>
      <c r="O30" s="77">
        <v>0.441</v>
      </c>
      <c r="P30" s="76">
        <v>2.92</v>
      </c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</row>
    <row r="31" spans="2:36" ht="15" customHeight="1" x14ac:dyDescent="0.3">
      <c r="B31" s="70"/>
      <c r="C31" s="70"/>
      <c r="D31" s="71"/>
      <c r="E31" s="70"/>
      <c r="F31" s="72"/>
      <c r="G31" s="72"/>
      <c r="H31" s="72"/>
      <c r="I31" s="72"/>
      <c r="J31" s="72"/>
      <c r="K31" s="72"/>
      <c r="L31" s="72"/>
      <c r="M31" s="73"/>
      <c r="N31" s="73"/>
      <c r="O31" s="73"/>
      <c r="P31" s="7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</row>
    <row r="32" spans="2:36" ht="15" customHeight="1" x14ac:dyDescent="0.3">
      <c r="B32" s="82" t="str">
        <f>"  ▸  SOUS-PONDÉRER  ·  "&amp;COUNTIFS('DONNÉES BRUTES'!C$3:C$90,"Énergie",'DONNÉES BRUTES'!AD$3:AD$90,"Sous-pondérer")&amp;" sociétés"</f>
        <v xml:space="preserve">  ▸  SOUS-PONDÉRER  ·  9 sociétés</v>
      </c>
      <c r="C32" s="83"/>
      <c r="D32" s="84"/>
      <c r="E32" s="83"/>
      <c r="F32" s="83"/>
      <c r="G32" s="83"/>
      <c r="H32" s="83"/>
      <c r="I32" s="83"/>
      <c r="J32" s="83"/>
      <c r="K32" s="83"/>
      <c r="L32" s="83"/>
      <c r="M32" s="85"/>
      <c r="N32" s="85"/>
      <c r="O32" s="85"/>
      <c r="P32" s="83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</row>
    <row r="33" spans="2:36" ht="15" customHeight="1" x14ac:dyDescent="0.3">
      <c r="B33" s="33">
        <v>19</v>
      </c>
      <c r="C33" s="33" t="s">
        <v>54</v>
      </c>
      <c r="D33" s="35" t="s">
        <v>75</v>
      </c>
      <c r="E33" s="33">
        <v>44</v>
      </c>
      <c r="F33" s="34">
        <v>58</v>
      </c>
      <c r="G33" s="34">
        <v>17</v>
      </c>
      <c r="H33" s="34">
        <v>38</v>
      </c>
      <c r="I33" s="34">
        <v>62</v>
      </c>
      <c r="J33" s="34">
        <v>9.6999999999999993</v>
      </c>
      <c r="K33" s="34">
        <v>2</v>
      </c>
      <c r="L33" s="34">
        <v>21.9</v>
      </c>
      <c r="M33" s="36">
        <v>0.22</v>
      </c>
      <c r="N33" s="36">
        <v>0.21</v>
      </c>
      <c r="O33" s="36">
        <v>0.53500000000000003</v>
      </c>
      <c r="P33" s="34">
        <v>5.79</v>
      </c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</row>
    <row r="34" spans="2:36" ht="15" customHeight="1" x14ac:dyDescent="0.3">
      <c r="B34" s="29">
        <v>20</v>
      </c>
      <c r="C34" s="29" t="s">
        <v>57</v>
      </c>
      <c r="D34" s="31" t="s">
        <v>76</v>
      </c>
      <c r="E34" s="29">
        <v>43</v>
      </c>
      <c r="F34" s="30">
        <v>50</v>
      </c>
      <c r="G34" s="30">
        <v>0</v>
      </c>
      <c r="H34" s="30">
        <v>27</v>
      </c>
      <c r="I34" s="30">
        <v>96</v>
      </c>
      <c r="J34" s="30">
        <v>11.3</v>
      </c>
      <c r="K34" s="30">
        <v>1.7</v>
      </c>
      <c r="L34" s="30">
        <v>24.7</v>
      </c>
      <c r="M34" s="32">
        <v>0.157</v>
      </c>
      <c r="N34" s="32">
        <v>0.14699999999999999</v>
      </c>
      <c r="O34" s="32">
        <v>0.995</v>
      </c>
      <c r="P34" s="30">
        <v>4.8099999999999996</v>
      </c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</row>
    <row r="35" spans="2:36" ht="15" customHeight="1" x14ac:dyDescent="0.3">
      <c r="B35" s="33">
        <v>21</v>
      </c>
      <c r="C35" s="33" t="s">
        <v>59</v>
      </c>
      <c r="D35" s="35" t="s">
        <v>77</v>
      </c>
      <c r="E35" s="33">
        <v>40</v>
      </c>
      <c r="F35" s="34">
        <v>8</v>
      </c>
      <c r="G35" s="34">
        <v>46</v>
      </c>
      <c r="H35" s="34">
        <v>23</v>
      </c>
      <c r="I35" s="34">
        <v>81</v>
      </c>
      <c r="J35" s="34">
        <v>294.7</v>
      </c>
      <c r="K35" s="34">
        <v>47.8</v>
      </c>
      <c r="L35" s="34" t="s">
        <v>73</v>
      </c>
      <c r="M35" s="36">
        <v>0.17699999999999999</v>
      </c>
      <c r="N35" s="36">
        <v>0.16200000000000001</v>
      </c>
      <c r="O35" s="36">
        <v>0.624</v>
      </c>
      <c r="P35" s="34">
        <v>1.25</v>
      </c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</row>
    <row r="36" spans="2:36" ht="15" customHeight="1" x14ac:dyDescent="0.3">
      <c r="B36" s="29">
        <v>22</v>
      </c>
      <c r="C36" s="29" t="s">
        <v>61</v>
      </c>
      <c r="D36" s="31" t="s">
        <v>78</v>
      </c>
      <c r="E36" s="29">
        <v>40</v>
      </c>
      <c r="F36" s="30">
        <v>46</v>
      </c>
      <c r="G36" s="30">
        <v>4</v>
      </c>
      <c r="H36" s="30">
        <v>35</v>
      </c>
      <c r="I36" s="30">
        <v>77</v>
      </c>
      <c r="J36" s="30">
        <v>12.4</v>
      </c>
      <c r="K36" s="30">
        <v>2.4</v>
      </c>
      <c r="L36" s="30">
        <v>23</v>
      </c>
      <c r="M36" s="32">
        <v>0.182</v>
      </c>
      <c r="N36" s="32">
        <v>0.19500000000000001</v>
      </c>
      <c r="O36" s="32">
        <v>0.61699999999999999</v>
      </c>
      <c r="P36" s="30">
        <v>3.23</v>
      </c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</row>
    <row r="37" spans="2:36" ht="15" customHeight="1" x14ac:dyDescent="0.3">
      <c r="B37" s="33">
        <v>23</v>
      </c>
      <c r="C37" s="33" t="s">
        <v>63</v>
      </c>
      <c r="D37" s="35" t="s">
        <v>79</v>
      </c>
      <c r="E37" s="33">
        <v>40</v>
      </c>
      <c r="F37" s="34">
        <v>33</v>
      </c>
      <c r="G37" s="34">
        <v>25</v>
      </c>
      <c r="H37" s="34">
        <v>8</v>
      </c>
      <c r="I37" s="34">
        <v>92</v>
      </c>
      <c r="J37" s="34">
        <v>11.6</v>
      </c>
      <c r="K37" s="34">
        <v>0.6</v>
      </c>
      <c r="L37" s="34">
        <v>30.8</v>
      </c>
      <c r="M37" s="36">
        <v>4.3999999999999997E-2</v>
      </c>
      <c r="N37" s="36">
        <v>5.5E-2</v>
      </c>
      <c r="O37" s="36">
        <v>0.92900000000000005</v>
      </c>
      <c r="P37" s="34">
        <v>4.93</v>
      </c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</row>
    <row r="38" spans="2:36" ht="15" customHeight="1" x14ac:dyDescent="0.3">
      <c r="B38" s="29">
        <v>24</v>
      </c>
      <c r="C38" s="29" t="s">
        <v>65</v>
      </c>
      <c r="D38" s="31" t="s">
        <v>80</v>
      </c>
      <c r="E38" s="29">
        <v>36</v>
      </c>
      <c r="F38" s="30" t="s">
        <v>73</v>
      </c>
      <c r="G38" s="30"/>
      <c r="H38" s="30">
        <v>0</v>
      </c>
      <c r="I38" s="30">
        <v>73</v>
      </c>
      <c r="J38" s="30" t="s">
        <v>73</v>
      </c>
      <c r="K38" s="30" t="s">
        <v>73</v>
      </c>
      <c r="L38" s="30" t="s">
        <v>73</v>
      </c>
      <c r="M38" s="32" t="s">
        <v>73</v>
      </c>
      <c r="N38" s="32" t="s">
        <v>73</v>
      </c>
      <c r="O38" s="32">
        <v>0.58199999999999996</v>
      </c>
      <c r="P38" s="30" t="s">
        <v>73</v>
      </c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</row>
    <row r="39" spans="2:36" ht="15" customHeight="1" x14ac:dyDescent="0.3">
      <c r="B39" s="33">
        <v>25</v>
      </c>
      <c r="C39" s="33" t="s">
        <v>67</v>
      </c>
      <c r="D39" s="35" t="s">
        <v>81</v>
      </c>
      <c r="E39" s="33">
        <v>36</v>
      </c>
      <c r="F39" s="34">
        <v>38</v>
      </c>
      <c r="G39" s="34">
        <v>12</v>
      </c>
      <c r="H39" s="34">
        <v>50</v>
      </c>
      <c r="I39" s="34">
        <v>46</v>
      </c>
      <c r="J39" s="34">
        <v>9.8000000000000007</v>
      </c>
      <c r="K39" s="34">
        <v>2.2000000000000002</v>
      </c>
      <c r="L39" s="34">
        <v>30.4</v>
      </c>
      <c r="M39" s="36">
        <v>0.30399999999999999</v>
      </c>
      <c r="N39" s="36">
        <v>0.22500000000000001</v>
      </c>
      <c r="O39" s="36">
        <v>0.434</v>
      </c>
      <c r="P39" s="34">
        <v>4.09</v>
      </c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</row>
    <row r="40" spans="2:36" ht="15" customHeight="1" x14ac:dyDescent="0.3">
      <c r="B40" s="29">
        <v>26</v>
      </c>
      <c r="C40" s="29" t="s">
        <v>69</v>
      </c>
      <c r="D40" s="31" t="s">
        <v>82</v>
      </c>
      <c r="E40" s="29">
        <v>25</v>
      </c>
      <c r="F40" s="30">
        <v>4</v>
      </c>
      <c r="G40" s="30">
        <v>29</v>
      </c>
      <c r="H40" s="30">
        <v>31</v>
      </c>
      <c r="I40" s="30">
        <v>35</v>
      </c>
      <c r="J40" s="30">
        <v>334.5</v>
      </c>
      <c r="K40" s="30">
        <v>71</v>
      </c>
      <c r="L40" s="30">
        <v>1061</v>
      </c>
      <c r="M40" s="32">
        <v>0.159</v>
      </c>
      <c r="N40" s="32">
        <v>0.21199999999999999</v>
      </c>
      <c r="O40" s="32">
        <v>0.38200000000000001</v>
      </c>
      <c r="P40" s="30">
        <v>3.35</v>
      </c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</row>
    <row r="41" spans="2:36" ht="15" customHeight="1" x14ac:dyDescent="0.3">
      <c r="B41" s="66">
        <v>27</v>
      </c>
      <c r="C41" s="66" t="s">
        <v>71</v>
      </c>
      <c r="D41" s="67" t="s">
        <v>83</v>
      </c>
      <c r="E41" s="66">
        <v>13</v>
      </c>
      <c r="F41" s="68">
        <v>0</v>
      </c>
      <c r="G41" s="68">
        <v>21</v>
      </c>
      <c r="H41" s="68">
        <v>19</v>
      </c>
      <c r="I41" s="68">
        <v>12</v>
      </c>
      <c r="J41" s="68">
        <v>579.70000000000005</v>
      </c>
      <c r="K41" s="68">
        <v>24.8</v>
      </c>
      <c r="L41" s="68">
        <v>2155</v>
      </c>
      <c r="M41" s="69">
        <v>0.13300000000000001</v>
      </c>
      <c r="N41" s="69">
        <v>4.2999999999999997E-2</v>
      </c>
      <c r="O41" s="69">
        <v>0.125</v>
      </c>
      <c r="P41" s="68">
        <v>2.78</v>
      </c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</row>
    <row r="42" spans="2:36" ht="15" customHeight="1" x14ac:dyDescent="0.3">
      <c r="B42" s="86"/>
      <c r="C42" s="86"/>
      <c r="D42" s="87"/>
      <c r="E42" s="86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</row>
    <row r="43" spans="2:36" ht="15" customHeight="1" x14ac:dyDescent="0.3"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</row>
    <row r="44" spans="2:36" ht="15" customHeight="1" x14ac:dyDescent="0.3"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</row>
    <row r="45" spans="2:36" ht="15" customHeight="1" x14ac:dyDescent="0.3"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</row>
    <row r="46" spans="2:36" ht="15" customHeight="1" x14ac:dyDescent="0.3"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</row>
    <row r="47" spans="2:36" ht="15" customHeight="1" x14ac:dyDescent="0.3"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</row>
    <row r="48" spans="2:36" ht="15" customHeight="1" x14ac:dyDescent="0.3"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</row>
    <row r="49" spans="2:36" ht="15" customHeight="1" x14ac:dyDescent="0.3"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</row>
    <row r="50" spans="2:36" s="18" customFormat="1" ht="12" customHeight="1" x14ac:dyDescent="0.3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</row>
    <row r="51" spans="2:36" ht="14.1" customHeight="1" x14ac:dyDescent="0.3"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</row>
    <row r="52" spans="2:36" ht="15" customHeight="1" x14ac:dyDescent="0.3"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</row>
    <row r="53" spans="2:36" ht="15" customHeight="1" x14ac:dyDescent="0.3"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</row>
    <row r="54" spans="2:36" ht="15" customHeight="1" x14ac:dyDescent="0.3"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</row>
    <row r="55" spans="2:36" ht="15" customHeight="1" x14ac:dyDescent="0.3"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</row>
    <row r="56" spans="2:36" ht="15" customHeight="1" x14ac:dyDescent="0.3"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</row>
    <row r="57" spans="2:36" ht="15" customHeight="1" x14ac:dyDescent="0.3"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</row>
    <row r="58" spans="2:36" ht="15" customHeight="1" x14ac:dyDescent="0.3"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</row>
    <row r="59" spans="2:36" ht="15" customHeight="1" x14ac:dyDescent="0.3"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</row>
    <row r="60" spans="2:36" ht="15" customHeight="1" x14ac:dyDescent="0.3"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</row>
    <row r="61" spans="2:36" ht="15" customHeight="1" x14ac:dyDescent="0.3"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</row>
    <row r="62" spans="2:36" ht="15" customHeight="1" x14ac:dyDescent="0.3"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</row>
    <row r="63" spans="2:36" ht="15" customHeight="1" x14ac:dyDescent="0.3"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</row>
    <row r="64" spans="2:36" ht="15" customHeight="1" x14ac:dyDescent="0.3"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</row>
    <row r="65" spans="17:36" ht="15" customHeight="1" x14ac:dyDescent="0.3"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</row>
    <row r="66" spans="17:36" ht="15" customHeight="1" x14ac:dyDescent="0.3"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</row>
    <row r="67" spans="17:36" ht="15" customHeight="1" x14ac:dyDescent="0.3"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</row>
    <row r="68" spans="17:36" ht="15" customHeight="1" x14ac:dyDescent="0.3"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</row>
    <row r="69" spans="17:36" ht="15" customHeight="1" x14ac:dyDescent="0.3"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</row>
    <row r="70" spans="17:36" ht="15" customHeight="1" x14ac:dyDescent="0.3"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</row>
    <row r="71" spans="17:36" ht="15" customHeight="1" x14ac:dyDescent="0.3"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</row>
    <row r="72" spans="17:36" ht="15" customHeight="1" x14ac:dyDescent="0.3"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</row>
    <row r="73" spans="17:36" ht="15" customHeight="1" x14ac:dyDescent="0.3"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</row>
    <row r="74" spans="17:36" ht="15" customHeight="1" x14ac:dyDescent="0.3"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</row>
    <row r="75" spans="17:36" ht="15" customHeight="1" x14ac:dyDescent="0.3"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</row>
    <row r="76" spans="17:36" ht="15" customHeight="1" x14ac:dyDescent="0.3"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</row>
    <row r="77" spans="17:36" ht="15" customHeight="1" x14ac:dyDescent="0.3"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</row>
    <row r="78" spans="17:36" ht="15" customHeight="1" x14ac:dyDescent="0.3"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</row>
    <row r="79" spans="17:36" ht="15" customHeight="1" x14ac:dyDescent="0.3"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</row>
    <row r="80" spans="17:36" ht="15" customHeight="1" x14ac:dyDescent="0.3"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</row>
    <row r="81" spans="17:36" ht="15" customHeight="1" x14ac:dyDescent="0.3"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</row>
    <row r="82" spans="17:36" ht="15" customHeight="1" x14ac:dyDescent="0.3"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</row>
    <row r="83" spans="17:36" ht="15" customHeight="1" x14ac:dyDescent="0.3"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</row>
    <row r="84" spans="17:36" ht="15" customHeight="1" x14ac:dyDescent="0.3"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</row>
    <row r="85" spans="17:36" ht="15" customHeight="1" x14ac:dyDescent="0.3"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</row>
    <row r="86" spans="17:36" ht="15" customHeight="1" x14ac:dyDescent="0.3"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</row>
    <row r="87" spans="17:36" ht="15" customHeight="1" x14ac:dyDescent="0.3"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</row>
    <row r="88" spans="17:36" ht="15" customHeight="1" x14ac:dyDescent="0.3"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</row>
    <row r="89" spans="17:36" ht="15" customHeight="1" x14ac:dyDescent="0.3"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</row>
    <row r="90" spans="17:36" ht="15" customHeight="1" x14ac:dyDescent="0.3"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</row>
    <row r="91" spans="17:36" ht="15" customHeight="1" x14ac:dyDescent="0.3"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</row>
    <row r="92" spans="17:36" ht="15" customHeight="1" x14ac:dyDescent="0.3"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</row>
    <row r="93" spans="17:36" ht="15" customHeight="1" x14ac:dyDescent="0.3"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</row>
    <row r="94" spans="17:36" ht="15" customHeight="1" x14ac:dyDescent="0.3"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</row>
    <row r="95" spans="17:36" ht="15" customHeight="1" x14ac:dyDescent="0.3"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</row>
    <row r="96" spans="17:36" ht="15" customHeight="1" x14ac:dyDescent="0.3"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</row>
    <row r="97" spans="2:36" ht="15" customHeight="1" x14ac:dyDescent="0.3"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</row>
    <row r="98" spans="2:36" ht="15" customHeight="1" x14ac:dyDescent="0.3"/>
    <row r="99" spans="2:36" ht="15" customHeight="1" x14ac:dyDescent="0.3"/>
    <row r="100" spans="2:36" ht="15" customHeight="1" x14ac:dyDescent="0.3"/>
    <row r="101" spans="2:36" ht="15" customHeight="1" x14ac:dyDescent="0.3"/>
    <row r="102" spans="2:36" ht="15" customHeight="1" x14ac:dyDescent="0.3"/>
    <row r="104" spans="2:36" ht="8.1" customHeight="1" x14ac:dyDescent="0.3"/>
    <row r="105" spans="2:36" ht="14.1" customHeight="1" x14ac:dyDescent="0.3">
      <c r="B105" s="46"/>
    </row>
  </sheetData>
  <mergeCells count="8">
    <mergeCell ref="K6:M6"/>
    <mergeCell ref="N6:P6"/>
    <mergeCell ref="E4:G5"/>
    <mergeCell ref="H4:J5"/>
    <mergeCell ref="N4:P5"/>
    <mergeCell ref="K4:M5"/>
    <mergeCell ref="E6:G6"/>
    <mergeCell ref="H6:J6"/>
  </mergeCells>
  <conditionalFormatting sqref="B10:P41">
    <cfRule type="expression" dxfId="7" priority="7">
      <formula>ET($C10="",$B10="")</formula>
    </cfRule>
    <cfRule type="expression" dxfId="6" priority="8">
      <formula>ISNUMBER(SEARCH("SURPONDÉRER",$B10))</formula>
    </cfRule>
    <cfRule type="expression" dxfId="5" priority="9">
      <formula>ISNUMBER(SEARCH("NEUTRE",$B10))</formula>
    </cfRule>
    <cfRule type="expression" dxfId="4" priority="10">
      <formula>ISNUMBER(SEARCH("SOUS-PONDÉRER",$B10))</formula>
    </cfRule>
  </conditionalFormatting>
  <conditionalFormatting sqref="B42:P103">
    <cfRule type="expression" dxfId="3" priority="11">
      <formula>AND($C42="",$B42="")</formula>
    </cfRule>
    <cfRule type="expression" dxfId="2" priority="12">
      <formula>AND($C42&lt;&gt;"",MOD(ROW(),2)=0)</formula>
    </cfRule>
    <cfRule type="expression" dxfId="1" priority="13">
      <formula>AND($C42&lt;&gt;"",MOD(ROW(),2)=1)</formula>
    </cfRule>
  </conditionalFormatting>
  <conditionalFormatting sqref="Q1:AJ97">
    <cfRule type="expression" dxfId="0" priority="6">
      <formula>VRAI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90"/>
  <sheetViews>
    <sheetView showGridLines="0" zoomScale="90" workbookViewId="0"/>
  </sheetViews>
  <sheetFormatPr baseColWidth="10" defaultColWidth="8.88671875" defaultRowHeight="14.4" x14ac:dyDescent="0.3"/>
  <cols>
    <col min="1" max="1" width="14.6640625" customWidth="1"/>
    <col min="2" max="2" width="25.88671875" customWidth="1"/>
    <col min="3" max="3" width="21.33203125" customWidth="1"/>
    <col min="4" max="4" width="13.88671875" customWidth="1"/>
    <col min="5" max="5" width="14.6640625" customWidth="1"/>
    <col min="6" max="6" width="13.88671875" customWidth="1"/>
    <col min="7" max="7" width="15.6640625" customWidth="1"/>
    <col min="8" max="8" width="17.5546875" customWidth="1"/>
    <col min="9" max="9" width="17" customWidth="1"/>
    <col min="10" max="10" width="14.109375" customWidth="1"/>
    <col min="11" max="12" width="12.5546875" customWidth="1"/>
    <col min="13" max="13" width="15.33203125" customWidth="1"/>
    <col min="14" max="14" width="16.6640625" customWidth="1"/>
    <col min="15" max="15" width="15.33203125" customWidth="1"/>
    <col min="16" max="16" width="14.109375" customWidth="1"/>
    <col min="17" max="18" width="12.5546875" customWidth="1"/>
    <col min="19" max="19" width="14.6640625" customWidth="1"/>
    <col min="20" max="20" width="17.5546875" customWidth="1"/>
    <col min="21" max="21" width="14.6640625" customWidth="1"/>
    <col min="22" max="22" width="16.33203125" customWidth="1"/>
    <col min="23" max="24" width="15.33203125" customWidth="1"/>
    <col min="25" max="25" width="14.109375" customWidth="1"/>
    <col min="26" max="27" width="15.88671875" customWidth="1"/>
    <col min="28" max="28" width="17.44140625" customWidth="1"/>
    <col min="29" max="29" width="17" customWidth="1"/>
    <col min="30" max="30" width="15.33203125" customWidth="1"/>
    <col min="31" max="36" width="11.44140625" customWidth="1"/>
    <col min="37" max="41" width="11.88671875" customWidth="1"/>
  </cols>
  <sheetData>
    <row r="1" spans="1:41" ht="28.2" customHeight="1" x14ac:dyDescent="0.3">
      <c r="A1" s="126" t="s">
        <v>792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</row>
    <row r="2" spans="1:41" x14ac:dyDescent="0.3">
      <c r="A2" s="1" t="s">
        <v>0</v>
      </c>
      <c r="B2" s="1" t="s">
        <v>25</v>
      </c>
      <c r="C2" s="1" t="s">
        <v>314</v>
      </c>
      <c r="D2" s="1" t="s">
        <v>315</v>
      </c>
      <c r="E2" s="1" t="s">
        <v>316</v>
      </c>
      <c r="F2" s="1" t="s">
        <v>317</v>
      </c>
      <c r="G2" s="1" t="s">
        <v>318</v>
      </c>
      <c r="H2" s="1" t="s">
        <v>319</v>
      </c>
      <c r="I2" s="1" t="s">
        <v>29</v>
      </c>
      <c r="J2" s="1" t="s">
        <v>102</v>
      </c>
      <c r="K2" s="1" t="s">
        <v>31</v>
      </c>
      <c r="L2" s="1" t="s">
        <v>320</v>
      </c>
      <c r="M2" s="1" t="s">
        <v>32</v>
      </c>
      <c r="N2" s="1" t="s">
        <v>33</v>
      </c>
      <c r="O2" s="1" t="s">
        <v>278</v>
      </c>
      <c r="P2" s="1" t="s">
        <v>321</v>
      </c>
      <c r="Q2" s="1" t="s">
        <v>279</v>
      </c>
      <c r="R2" s="1" t="s">
        <v>322</v>
      </c>
      <c r="S2" s="1" t="s">
        <v>323</v>
      </c>
      <c r="T2" s="1" t="s">
        <v>293</v>
      </c>
      <c r="U2" s="1" t="s">
        <v>35</v>
      </c>
      <c r="V2" s="1" t="s">
        <v>286</v>
      </c>
      <c r="W2" s="1" t="s">
        <v>91</v>
      </c>
      <c r="X2" s="1" t="s">
        <v>324</v>
      </c>
      <c r="Y2" s="1" t="s">
        <v>325</v>
      </c>
      <c r="Z2" s="1" t="s">
        <v>326</v>
      </c>
      <c r="AA2" s="1" t="s">
        <v>327</v>
      </c>
      <c r="AB2" s="1" t="s">
        <v>1</v>
      </c>
      <c r="AC2" s="1" t="s">
        <v>328</v>
      </c>
      <c r="AD2" s="1" t="s">
        <v>2</v>
      </c>
      <c r="AE2" s="117" t="s">
        <v>793</v>
      </c>
      <c r="AF2" s="118" t="s">
        <v>794</v>
      </c>
      <c r="AG2" s="118" t="s">
        <v>795</v>
      </c>
      <c r="AH2" s="118" t="s">
        <v>796</v>
      </c>
      <c r="AI2" s="118" t="s">
        <v>797</v>
      </c>
      <c r="AJ2" s="118" t="s">
        <v>798</v>
      </c>
      <c r="AK2" s="118" t="s">
        <v>103</v>
      </c>
      <c r="AL2" s="118" t="s">
        <v>799</v>
      </c>
      <c r="AM2" s="118" t="s">
        <v>800</v>
      </c>
      <c r="AN2" s="118" t="s">
        <v>801</v>
      </c>
      <c r="AO2" s="118" t="s">
        <v>802</v>
      </c>
    </row>
    <row r="3" spans="1:41" ht="13.2" customHeight="1" x14ac:dyDescent="0.3">
      <c r="A3" s="2" t="s">
        <v>9</v>
      </c>
      <c r="B3" s="2" t="s">
        <v>12</v>
      </c>
      <c r="C3" s="2" t="s">
        <v>329</v>
      </c>
      <c r="D3" s="2" t="s">
        <v>330</v>
      </c>
      <c r="E3" s="2" t="s">
        <v>331</v>
      </c>
      <c r="F3" s="2" t="s">
        <v>332</v>
      </c>
      <c r="G3" s="2" t="s">
        <v>333</v>
      </c>
      <c r="H3" s="2" t="s">
        <v>334</v>
      </c>
      <c r="I3" s="2" t="s">
        <v>106</v>
      </c>
      <c r="J3" s="2" t="s">
        <v>107</v>
      </c>
      <c r="K3" s="2" t="s">
        <v>108</v>
      </c>
      <c r="L3" s="2" t="s">
        <v>335</v>
      </c>
      <c r="M3" s="109">
        <v>0.40600000000000003</v>
      </c>
      <c r="N3" s="109">
        <v>0.60199999999999998</v>
      </c>
      <c r="O3" s="109">
        <v>0.161</v>
      </c>
      <c r="P3" s="109">
        <v>-8.4000000000000005E-2</v>
      </c>
      <c r="Q3" s="109">
        <v>0.23499999999999999</v>
      </c>
      <c r="R3" s="109">
        <v>8.1000000000000003E-2</v>
      </c>
      <c r="S3" s="2" t="s">
        <v>336</v>
      </c>
      <c r="T3" s="2" t="s">
        <v>161</v>
      </c>
      <c r="U3" s="2" t="s">
        <v>111</v>
      </c>
      <c r="V3" s="2" t="s">
        <v>337</v>
      </c>
      <c r="W3" s="2" t="s">
        <v>338</v>
      </c>
      <c r="X3" s="2">
        <v>75</v>
      </c>
      <c r="Y3" s="2">
        <v>62</v>
      </c>
      <c r="Z3" s="2">
        <v>77</v>
      </c>
      <c r="AA3" s="2">
        <v>100</v>
      </c>
      <c r="AB3" s="2">
        <v>77</v>
      </c>
      <c r="AC3" s="2" t="s">
        <v>339</v>
      </c>
      <c r="AD3" s="2" t="s">
        <v>10</v>
      </c>
      <c r="AE3" s="119">
        <v>1.43</v>
      </c>
      <c r="AF3" s="119">
        <v>5.2</v>
      </c>
      <c r="AG3" s="119">
        <v>8</v>
      </c>
      <c r="AH3" s="119">
        <v>4</v>
      </c>
      <c r="AI3" s="119">
        <v>1.2</v>
      </c>
      <c r="AJ3" s="119">
        <v>2.4</v>
      </c>
      <c r="AK3" s="113">
        <v>0.09</v>
      </c>
      <c r="AL3" s="119">
        <v>1.54</v>
      </c>
      <c r="AM3" s="119">
        <v>0.84</v>
      </c>
      <c r="AN3" s="113">
        <v>0.27</v>
      </c>
      <c r="AO3" s="119">
        <v>4</v>
      </c>
    </row>
    <row r="4" spans="1:41" ht="13.2" customHeight="1" x14ac:dyDescent="0.3">
      <c r="A4" s="3" t="s">
        <v>11</v>
      </c>
      <c r="B4" s="3" t="s">
        <v>39</v>
      </c>
      <c r="C4" s="3" t="s">
        <v>329</v>
      </c>
      <c r="D4" s="3" t="s">
        <v>340</v>
      </c>
      <c r="E4" s="3" t="s">
        <v>341</v>
      </c>
      <c r="F4" s="3" t="s">
        <v>342</v>
      </c>
      <c r="G4" s="3" t="s">
        <v>343</v>
      </c>
      <c r="H4" s="3" t="s">
        <v>344</v>
      </c>
      <c r="I4" s="3" t="s">
        <v>133</v>
      </c>
      <c r="J4" s="3" t="s">
        <v>134</v>
      </c>
      <c r="K4" s="3" t="s">
        <v>135</v>
      </c>
      <c r="L4" s="3" t="s">
        <v>345</v>
      </c>
      <c r="M4" s="110">
        <v>0.41499999999999998</v>
      </c>
      <c r="N4" s="110">
        <v>0.63500000000000001</v>
      </c>
      <c r="O4" s="110">
        <v>0.22500000000000001</v>
      </c>
      <c r="P4" s="110">
        <v>0.40100000000000002</v>
      </c>
      <c r="Q4" s="110">
        <v>0.11600000000000001</v>
      </c>
      <c r="R4" s="110">
        <v>7.0999999999999994E-2</v>
      </c>
      <c r="S4" s="3" t="s">
        <v>347</v>
      </c>
      <c r="T4" s="3" t="s">
        <v>348</v>
      </c>
      <c r="U4" s="3" t="s">
        <v>138</v>
      </c>
      <c r="V4" s="3" t="s">
        <v>349</v>
      </c>
      <c r="W4" s="3" t="s">
        <v>350</v>
      </c>
      <c r="X4" s="3">
        <v>63</v>
      </c>
      <c r="Y4" s="3">
        <v>92</v>
      </c>
      <c r="Z4" s="3">
        <v>74</v>
      </c>
      <c r="AA4" s="3">
        <v>31</v>
      </c>
      <c r="AB4" s="3">
        <v>69</v>
      </c>
      <c r="AC4" s="3" t="s">
        <v>351</v>
      </c>
      <c r="AD4" s="3" t="s">
        <v>10</v>
      </c>
      <c r="AE4" s="119">
        <v>1.71</v>
      </c>
      <c r="AF4" s="119">
        <v>9.8000000000000007</v>
      </c>
      <c r="AG4" s="119">
        <v>5.5</v>
      </c>
      <c r="AH4" s="119">
        <v>3.2</v>
      </c>
      <c r="AI4" s="119">
        <v>1.5</v>
      </c>
      <c r="AJ4" s="119">
        <v>1.8</v>
      </c>
      <c r="AK4" s="113">
        <v>6.2E-2</v>
      </c>
      <c r="AL4" s="119">
        <v>0.56000000000000005</v>
      </c>
      <c r="AM4" s="119">
        <v>0.88</v>
      </c>
      <c r="AN4" s="113">
        <v>0.23699999999999999</v>
      </c>
      <c r="AO4" s="119">
        <v>2.2999999999999998</v>
      </c>
    </row>
    <row r="5" spans="1:41" ht="13.2" customHeight="1" x14ac:dyDescent="0.3">
      <c r="A5" s="2" t="s">
        <v>13</v>
      </c>
      <c r="B5" s="2" t="s">
        <v>41</v>
      </c>
      <c r="C5" s="2" t="s">
        <v>329</v>
      </c>
      <c r="D5" s="2" t="s">
        <v>352</v>
      </c>
      <c r="E5" s="2" t="s">
        <v>353</v>
      </c>
      <c r="F5" s="2" t="s">
        <v>354</v>
      </c>
      <c r="G5" s="2" t="s">
        <v>355</v>
      </c>
      <c r="H5" s="2" t="s">
        <v>343</v>
      </c>
      <c r="I5" s="2" t="s">
        <v>115</v>
      </c>
      <c r="J5" s="2" t="s">
        <v>116</v>
      </c>
      <c r="K5" s="2" t="s">
        <v>117</v>
      </c>
      <c r="L5" s="2" t="s">
        <v>356</v>
      </c>
      <c r="M5" s="109">
        <v>0.255</v>
      </c>
      <c r="N5" s="109">
        <v>0.44</v>
      </c>
      <c r="O5" s="109">
        <v>0.154</v>
      </c>
      <c r="P5" s="109">
        <v>7.8E-2</v>
      </c>
      <c r="Q5" s="109">
        <v>0.17</v>
      </c>
      <c r="R5" s="109">
        <v>8.4000000000000005E-2</v>
      </c>
      <c r="S5" s="2" t="s">
        <v>357</v>
      </c>
      <c r="T5" s="2" t="s">
        <v>358</v>
      </c>
      <c r="U5" s="2" t="s">
        <v>120</v>
      </c>
      <c r="V5" s="2" t="s">
        <v>359</v>
      </c>
      <c r="W5" s="2" t="s">
        <v>360</v>
      </c>
      <c r="X5" s="2">
        <v>71</v>
      </c>
      <c r="Y5" s="2">
        <v>50</v>
      </c>
      <c r="Z5" s="2">
        <v>75</v>
      </c>
      <c r="AA5" s="2">
        <v>69</v>
      </c>
      <c r="AB5" s="2">
        <v>66</v>
      </c>
      <c r="AC5" s="2" t="s">
        <v>361</v>
      </c>
      <c r="AD5" s="2" t="s">
        <v>10</v>
      </c>
      <c r="AE5" s="119">
        <v>2.65</v>
      </c>
      <c r="AF5" s="119">
        <v>11.4</v>
      </c>
      <c r="AG5" s="119">
        <v>9.8000000000000007</v>
      </c>
      <c r="AH5" s="119">
        <v>3.8</v>
      </c>
      <c r="AI5" s="119">
        <v>2.2999999999999998</v>
      </c>
      <c r="AJ5" s="119">
        <v>3.5</v>
      </c>
      <c r="AK5" s="113">
        <v>8.1000000000000003E-2</v>
      </c>
      <c r="AL5" s="119">
        <v>0.86</v>
      </c>
      <c r="AM5" s="119">
        <v>0.87</v>
      </c>
      <c r="AN5" s="113">
        <v>0.20300000000000001</v>
      </c>
      <c r="AO5" s="119">
        <v>6</v>
      </c>
    </row>
    <row r="6" spans="1:41" ht="13.2" customHeight="1" x14ac:dyDescent="0.3">
      <c r="A6" s="3" t="s">
        <v>14</v>
      </c>
      <c r="B6" s="3" t="s">
        <v>43</v>
      </c>
      <c r="C6" s="3" t="s">
        <v>329</v>
      </c>
      <c r="D6" s="3" t="s">
        <v>362</v>
      </c>
      <c r="E6" s="3" t="s">
        <v>363</v>
      </c>
      <c r="F6" s="3" t="s">
        <v>364</v>
      </c>
      <c r="G6" s="3" t="s">
        <v>365</v>
      </c>
      <c r="H6" s="3" t="s">
        <v>366</v>
      </c>
      <c r="I6" s="3" t="s">
        <v>124</v>
      </c>
      <c r="J6" s="3" t="s">
        <v>125</v>
      </c>
      <c r="K6" s="3" t="s">
        <v>126</v>
      </c>
      <c r="L6" s="3" t="s">
        <v>367</v>
      </c>
      <c r="M6" s="110">
        <v>0.50800000000000001</v>
      </c>
      <c r="N6" s="110">
        <v>0.45100000000000001</v>
      </c>
      <c r="O6" s="110">
        <v>0.14899999999999999</v>
      </c>
      <c r="P6" s="110">
        <v>1.8880000000000001</v>
      </c>
      <c r="Q6" s="110">
        <v>9.8000000000000004E-2</v>
      </c>
      <c r="R6" s="110">
        <v>6.4000000000000001E-2</v>
      </c>
      <c r="S6" s="3" t="s">
        <v>368</v>
      </c>
      <c r="T6" s="3" t="s">
        <v>348</v>
      </c>
      <c r="U6" s="3" t="s">
        <v>129</v>
      </c>
      <c r="V6" s="3" t="s">
        <v>369</v>
      </c>
      <c r="W6" s="3" t="s">
        <v>370</v>
      </c>
      <c r="X6" s="3">
        <v>68</v>
      </c>
      <c r="Y6" s="3">
        <v>100</v>
      </c>
      <c r="Z6" s="3">
        <v>64</v>
      </c>
      <c r="AA6" s="3">
        <v>0</v>
      </c>
      <c r="AB6" s="3">
        <v>63</v>
      </c>
      <c r="AC6" s="3" t="s">
        <v>371</v>
      </c>
      <c r="AD6" s="3" t="s">
        <v>10</v>
      </c>
      <c r="AE6" s="119">
        <v>1.82</v>
      </c>
      <c r="AF6" s="119">
        <v>9.1999999999999993</v>
      </c>
      <c r="AG6" s="119">
        <v>8.1</v>
      </c>
      <c r="AH6" s="119">
        <v>2.9</v>
      </c>
      <c r="AI6" s="119">
        <v>1.6</v>
      </c>
      <c r="AJ6" s="119">
        <v>2.6</v>
      </c>
      <c r="AK6" s="113">
        <v>6.8000000000000005E-2</v>
      </c>
      <c r="AL6" s="119">
        <v>0.88</v>
      </c>
      <c r="AM6" s="119">
        <v>0.88</v>
      </c>
      <c r="AN6" s="113">
        <v>0.21299999999999999</v>
      </c>
      <c r="AO6" s="119">
        <v>5.2</v>
      </c>
    </row>
    <row r="7" spans="1:41" ht="13.2" customHeight="1" x14ac:dyDescent="0.3">
      <c r="A7" s="2" t="s">
        <v>20</v>
      </c>
      <c r="B7" s="2" t="s">
        <v>47</v>
      </c>
      <c r="C7" s="2" t="s">
        <v>329</v>
      </c>
      <c r="D7" s="2" t="s">
        <v>372</v>
      </c>
      <c r="E7" s="2" t="s">
        <v>373</v>
      </c>
      <c r="F7" s="2" t="s">
        <v>374</v>
      </c>
      <c r="G7" s="2" t="s">
        <v>375</v>
      </c>
      <c r="H7" s="2" t="s">
        <v>376</v>
      </c>
      <c r="I7" s="2" t="s">
        <v>187</v>
      </c>
      <c r="J7" s="2" t="s">
        <v>188</v>
      </c>
      <c r="K7" s="2" t="s">
        <v>189</v>
      </c>
      <c r="L7" s="2" t="s">
        <v>377</v>
      </c>
      <c r="M7" s="109">
        <v>0.43200000000000005</v>
      </c>
      <c r="N7" s="109">
        <v>0.72</v>
      </c>
      <c r="O7" s="109">
        <v>0.24399999999999999</v>
      </c>
      <c r="P7" s="109">
        <v>0.6</v>
      </c>
      <c r="Q7" s="109">
        <v>8.5999999999999993E-2</v>
      </c>
      <c r="R7" s="109">
        <v>4.9000000000000002E-2</v>
      </c>
      <c r="S7" s="2" t="s">
        <v>378</v>
      </c>
      <c r="T7" s="2" t="s">
        <v>379</v>
      </c>
      <c r="U7" s="2" t="s">
        <v>192</v>
      </c>
      <c r="V7" s="2" t="s">
        <v>380</v>
      </c>
      <c r="W7" s="2" t="s">
        <v>346</v>
      </c>
      <c r="X7" s="2">
        <v>50</v>
      </c>
      <c r="Y7" s="2">
        <v>96</v>
      </c>
      <c r="Z7" s="2">
        <v>69</v>
      </c>
      <c r="AA7" s="2">
        <v>4</v>
      </c>
      <c r="AB7" s="2">
        <v>60</v>
      </c>
      <c r="AC7" s="2" t="s">
        <v>381</v>
      </c>
      <c r="AD7" s="2" t="s">
        <v>21</v>
      </c>
      <c r="AE7" s="119">
        <v>2.0299999999999998</v>
      </c>
      <c r="AF7" s="119">
        <v>14.8</v>
      </c>
      <c r="AG7" s="119">
        <v>11.2</v>
      </c>
      <c r="AH7" s="119">
        <v>4.0999999999999996</v>
      </c>
      <c r="AI7" s="119">
        <v>1.7</v>
      </c>
      <c r="AJ7" s="119">
        <v>1.9</v>
      </c>
      <c r="AK7" s="113">
        <v>4.7E-2</v>
      </c>
      <c r="AL7" s="119">
        <v>0.76</v>
      </c>
      <c r="AM7" s="119">
        <v>0.84</v>
      </c>
      <c r="AN7" s="113">
        <v>0.22900000000000001</v>
      </c>
      <c r="AO7" s="119">
        <v>7.1</v>
      </c>
    </row>
    <row r="8" spans="1:41" ht="13.2" customHeight="1" x14ac:dyDescent="0.3">
      <c r="A8" s="3" t="s">
        <v>22</v>
      </c>
      <c r="B8" s="3" t="s">
        <v>49</v>
      </c>
      <c r="C8" s="3" t="s">
        <v>329</v>
      </c>
      <c r="D8" s="3" t="s">
        <v>382</v>
      </c>
      <c r="E8" s="3" t="s">
        <v>383</v>
      </c>
      <c r="F8" s="3" t="s">
        <v>384</v>
      </c>
      <c r="G8" s="3" t="s">
        <v>385</v>
      </c>
      <c r="H8" s="3" t="s">
        <v>386</v>
      </c>
      <c r="I8" s="3" t="s">
        <v>142</v>
      </c>
      <c r="J8" s="3" t="s">
        <v>143</v>
      </c>
      <c r="K8" s="3" t="s">
        <v>144</v>
      </c>
      <c r="L8" s="3" t="s">
        <v>387</v>
      </c>
      <c r="M8" s="110">
        <v>9.8000000000000004E-2</v>
      </c>
      <c r="N8" s="110">
        <v>7.3999999999999996E-2</v>
      </c>
      <c r="O8" s="110">
        <v>3.3000000000000002E-2</v>
      </c>
      <c r="P8" s="110">
        <v>-7.4999999999999997E-2</v>
      </c>
      <c r="Q8" s="110">
        <v>0.151</v>
      </c>
      <c r="R8" s="110">
        <v>0.06</v>
      </c>
      <c r="S8" s="3" t="s">
        <v>388</v>
      </c>
      <c r="T8" s="3" t="s">
        <v>107</v>
      </c>
      <c r="U8" s="3" t="s">
        <v>146</v>
      </c>
      <c r="V8" s="3" t="s">
        <v>389</v>
      </c>
      <c r="W8" s="3" t="s">
        <v>390</v>
      </c>
      <c r="X8" s="3">
        <v>88</v>
      </c>
      <c r="Y8" s="3">
        <v>83</v>
      </c>
      <c r="Z8" s="3">
        <v>57</v>
      </c>
      <c r="AA8" s="3">
        <v>58</v>
      </c>
      <c r="AB8" s="3">
        <v>71</v>
      </c>
      <c r="AC8" s="3" t="s">
        <v>391</v>
      </c>
      <c r="AD8" s="3" t="s">
        <v>21</v>
      </c>
      <c r="AE8" s="119">
        <v>4.37</v>
      </c>
      <c r="AF8" s="119">
        <v>21.6</v>
      </c>
      <c r="AG8" s="119">
        <v>18.7</v>
      </c>
      <c r="AH8" s="119">
        <v>3.2</v>
      </c>
      <c r="AI8" s="119">
        <v>3.8</v>
      </c>
      <c r="AJ8" s="119">
        <v>2</v>
      </c>
      <c r="AK8" s="113">
        <v>5.8000000000000003E-2</v>
      </c>
      <c r="AL8" s="119">
        <v>0.87</v>
      </c>
      <c r="AM8" s="119">
        <v>0.87</v>
      </c>
      <c r="AN8" s="113">
        <v>1.4999999999999999E-2</v>
      </c>
      <c r="AO8" s="119">
        <v>15.5</v>
      </c>
    </row>
    <row r="9" spans="1:41" ht="13.2" customHeight="1" x14ac:dyDescent="0.3">
      <c r="A9" s="2" t="s">
        <v>23</v>
      </c>
      <c r="B9" s="2" t="s">
        <v>51</v>
      </c>
      <c r="C9" s="2" t="s">
        <v>329</v>
      </c>
      <c r="D9" s="2" t="s">
        <v>392</v>
      </c>
      <c r="E9" s="2" t="s">
        <v>393</v>
      </c>
      <c r="F9" s="2" t="s">
        <v>394</v>
      </c>
      <c r="G9" s="2" t="s">
        <v>395</v>
      </c>
      <c r="H9" s="2" t="s">
        <v>396</v>
      </c>
      <c r="I9" s="2" t="s">
        <v>169</v>
      </c>
      <c r="J9" s="2" t="s">
        <v>170</v>
      </c>
      <c r="K9" s="2" t="s">
        <v>171</v>
      </c>
      <c r="L9" s="2" t="s">
        <v>397</v>
      </c>
      <c r="M9" s="109">
        <v>0.251</v>
      </c>
      <c r="N9" s="109">
        <v>0.434</v>
      </c>
      <c r="O9" s="109">
        <v>0.13600000000000001</v>
      </c>
      <c r="P9" s="109">
        <v>7.6999999999999999E-2</v>
      </c>
      <c r="Q9" s="109">
        <v>0.124</v>
      </c>
      <c r="R9" s="109">
        <v>6.6000000000000003E-2</v>
      </c>
      <c r="S9" s="2" t="s">
        <v>388</v>
      </c>
      <c r="T9" s="2" t="s">
        <v>143</v>
      </c>
      <c r="U9" s="2" t="s">
        <v>174</v>
      </c>
      <c r="V9" s="2" t="s">
        <v>398</v>
      </c>
      <c r="W9" s="2" t="s">
        <v>399</v>
      </c>
      <c r="X9" s="2">
        <v>63</v>
      </c>
      <c r="Y9" s="2">
        <v>54</v>
      </c>
      <c r="Z9" s="2">
        <v>69</v>
      </c>
      <c r="AA9" s="2">
        <v>54</v>
      </c>
      <c r="AB9" s="2">
        <v>60</v>
      </c>
      <c r="AC9" s="2" t="s">
        <v>400</v>
      </c>
      <c r="AD9" s="2" t="s">
        <v>21</v>
      </c>
      <c r="AE9" s="119">
        <v>8.01</v>
      </c>
      <c r="AF9" s="119">
        <v>45.2</v>
      </c>
      <c r="AG9" s="119">
        <v>18.3</v>
      </c>
      <c r="AH9" s="119">
        <v>7.9</v>
      </c>
      <c r="AI9" s="119">
        <v>6.8</v>
      </c>
      <c r="AJ9" s="119">
        <v>9.1999999999999993</v>
      </c>
      <c r="AK9" s="113">
        <v>4.5999999999999999E-2</v>
      </c>
      <c r="AL9" s="119">
        <v>0.4</v>
      </c>
      <c r="AM9" s="119">
        <v>0.85</v>
      </c>
      <c r="AN9" s="113">
        <v>0.156</v>
      </c>
      <c r="AO9" s="119">
        <v>10.4</v>
      </c>
    </row>
    <row r="10" spans="1:41" ht="13.2" customHeight="1" x14ac:dyDescent="0.3">
      <c r="A10" s="3" t="s">
        <v>36</v>
      </c>
      <c r="B10" s="3" t="s">
        <v>53</v>
      </c>
      <c r="C10" s="3" t="s">
        <v>329</v>
      </c>
      <c r="D10" s="3" t="s">
        <v>401</v>
      </c>
      <c r="E10" s="3" t="s">
        <v>402</v>
      </c>
      <c r="F10" s="3" t="s">
        <v>403</v>
      </c>
      <c r="G10" s="3" t="s">
        <v>404</v>
      </c>
      <c r="H10" s="3" t="s">
        <v>344</v>
      </c>
      <c r="I10" s="3" t="s">
        <v>259</v>
      </c>
      <c r="J10" s="3" t="s">
        <v>260</v>
      </c>
      <c r="K10" s="3" t="s">
        <v>261</v>
      </c>
      <c r="L10" s="3" t="s">
        <v>405</v>
      </c>
      <c r="M10" s="110">
        <v>0.29399999999999998</v>
      </c>
      <c r="N10" s="110">
        <v>0.28499999999999998</v>
      </c>
      <c r="O10" s="110">
        <v>0.113</v>
      </c>
      <c r="P10" s="110">
        <v>3.9E-2</v>
      </c>
      <c r="Q10" s="110">
        <v>0.627</v>
      </c>
      <c r="R10" s="110">
        <v>7.5999999999999998E-2</v>
      </c>
      <c r="S10" s="3" t="s">
        <v>406</v>
      </c>
      <c r="T10" s="3" t="s">
        <v>206</v>
      </c>
      <c r="U10" s="3" t="s">
        <v>264</v>
      </c>
      <c r="V10" s="3" t="s">
        <v>407</v>
      </c>
      <c r="W10" s="3" t="s">
        <v>408</v>
      </c>
      <c r="X10" s="3">
        <v>45</v>
      </c>
      <c r="Y10" s="3">
        <v>67</v>
      </c>
      <c r="Z10" s="3">
        <v>64</v>
      </c>
      <c r="AA10" s="3">
        <v>65</v>
      </c>
      <c r="AB10" s="3">
        <v>61</v>
      </c>
      <c r="AC10" s="3" t="s">
        <v>400</v>
      </c>
      <c r="AD10" s="3" t="s">
        <v>21</v>
      </c>
      <c r="AE10" s="119">
        <v>1.92</v>
      </c>
      <c r="AF10" s="119">
        <v>7.4</v>
      </c>
      <c r="AG10" s="119">
        <v>17.8</v>
      </c>
      <c r="AH10" s="119">
        <v>2.1</v>
      </c>
      <c r="AI10" s="119">
        <v>1.6</v>
      </c>
      <c r="AJ10" s="119">
        <v>2.2999999999999998</v>
      </c>
      <c r="AK10" s="113">
        <v>3.1E-2</v>
      </c>
      <c r="AL10" s="119">
        <v>2.41</v>
      </c>
      <c r="AM10" s="119">
        <v>0.83</v>
      </c>
      <c r="AN10" s="113">
        <v>0.13500000000000001</v>
      </c>
      <c r="AO10" s="119">
        <v>15.7</v>
      </c>
    </row>
    <row r="11" spans="1:41" ht="13.2" customHeight="1" x14ac:dyDescent="0.3">
      <c r="A11" s="2" t="s">
        <v>37</v>
      </c>
      <c r="B11" s="2" t="s">
        <v>56</v>
      </c>
      <c r="C11" s="2" t="s">
        <v>329</v>
      </c>
      <c r="D11" s="2" t="s">
        <v>409</v>
      </c>
      <c r="E11" s="2" t="s">
        <v>410</v>
      </c>
      <c r="F11" s="2" t="s">
        <v>411</v>
      </c>
      <c r="G11" s="2" t="s">
        <v>412</v>
      </c>
      <c r="H11" s="2" t="s">
        <v>413</v>
      </c>
      <c r="I11" s="2" t="s">
        <v>150</v>
      </c>
      <c r="J11" s="2" t="s">
        <v>151</v>
      </c>
      <c r="K11" s="2" t="s">
        <v>152</v>
      </c>
      <c r="L11" s="2" t="s">
        <v>414</v>
      </c>
      <c r="M11" s="109">
        <v>0.63400000000000001</v>
      </c>
      <c r="N11" s="109">
        <v>0.49</v>
      </c>
      <c r="O11" s="109">
        <v>0.221</v>
      </c>
      <c r="P11" s="109">
        <v>-3.4000000000000002E-2</v>
      </c>
      <c r="Q11" s="109">
        <v>0.16700000000000001</v>
      </c>
      <c r="R11" s="109">
        <v>9.6000000000000002E-2</v>
      </c>
      <c r="S11" s="2" t="s">
        <v>415</v>
      </c>
      <c r="T11" s="2" t="s">
        <v>416</v>
      </c>
      <c r="U11" s="2" t="s">
        <v>155</v>
      </c>
      <c r="V11" s="2" t="s">
        <v>417</v>
      </c>
      <c r="W11" s="2" t="s">
        <v>418</v>
      </c>
      <c r="X11" s="2">
        <v>63</v>
      </c>
      <c r="Y11" s="2">
        <v>8</v>
      </c>
      <c r="Z11" s="2">
        <v>78</v>
      </c>
      <c r="AA11" s="2">
        <v>27</v>
      </c>
      <c r="AB11" s="2">
        <v>44</v>
      </c>
      <c r="AC11" s="2" t="s">
        <v>400</v>
      </c>
      <c r="AD11" s="2" t="s">
        <v>21</v>
      </c>
      <c r="AE11" s="119">
        <v>4.99</v>
      </c>
      <c r="AF11" s="119">
        <v>18.3</v>
      </c>
      <c r="AG11" s="119">
        <v>4.8</v>
      </c>
      <c r="AH11" s="119">
        <v>5.2</v>
      </c>
      <c r="AI11" s="119">
        <v>4.4000000000000004</v>
      </c>
      <c r="AJ11" s="119">
        <v>3.8</v>
      </c>
      <c r="AK11" s="113">
        <v>6.0999999999999999E-2</v>
      </c>
      <c r="AL11" s="119">
        <v>0.26</v>
      </c>
      <c r="AM11" s="119">
        <v>0.88</v>
      </c>
      <c r="AN11" s="113">
        <v>0.16800000000000001</v>
      </c>
      <c r="AO11" s="119">
        <v>-0.4</v>
      </c>
    </row>
    <row r="12" spans="1:41" ht="13.2" customHeight="1" x14ac:dyDescent="0.3">
      <c r="A12" s="3" t="s">
        <v>38</v>
      </c>
      <c r="B12" s="3" t="s">
        <v>58</v>
      </c>
      <c r="C12" s="3" t="s">
        <v>329</v>
      </c>
      <c r="D12" s="3" t="s">
        <v>419</v>
      </c>
      <c r="E12" s="3" t="s">
        <v>420</v>
      </c>
      <c r="F12" s="3" t="s">
        <v>421</v>
      </c>
      <c r="G12" s="3" t="s">
        <v>422</v>
      </c>
      <c r="H12" s="3" t="s">
        <v>423</v>
      </c>
      <c r="I12" s="3" t="s">
        <v>178</v>
      </c>
      <c r="J12" s="3" t="s">
        <v>179</v>
      </c>
      <c r="K12" s="3" t="s">
        <v>180</v>
      </c>
      <c r="L12" s="3" t="s">
        <v>424</v>
      </c>
      <c r="M12" s="110">
        <v>0.26</v>
      </c>
      <c r="N12" s="110">
        <v>0.23200000000000001</v>
      </c>
      <c r="O12" s="110">
        <v>0.10099999999999999</v>
      </c>
      <c r="P12" s="110">
        <v>0.55000000000000004</v>
      </c>
      <c r="Q12" s="110">
        <v>0.151</v>
      </c>
      <c r="R12" s="110">
        <v>5.0999999999999997E-2</v>
      </c>
      <c r="S12" s="3" t="s">
        <v>425</v>
      </c>
      <c r="T12" s="3" t="s">
        <v>426</v>
      </c>
      <c r="U12" s="3" t="s">
        <v>183</v>
      </c>
      <c r="V12" s="3" t="s">
        <v>427</v>
      </c>
      <c r="W12" s="3" t="s">
        <v>428</v>
      </c>
      <c r="X12" s="3">
        <v>68</v>
      </c>
      <c r="Y12" s="3">
        <v>88</v>
      </c>
      <c r="Z12" s="3">
        <v>61</v>
      </c>
      <c r="AA12" s="3">
        <v>8</v>
      </c>
      <c r="AB12" s="3">
        <v>60</v>
      </c>
      <c r="AC12" s="3" t="s">
        <v>371</v>
      </c>
      <c r="AD12" s="3" t="s">
        <v>21</v>
      </c>
      <c r="AE12" s="119">
        <v>3.39</v>
      </c>
      <c r="AF12" s="119">
        <v>13.8</v>
      </c>
      <c r="AG12" s="119">
        <v>30.8</v>
      </c>
      <c r="AH12" s="119">
        <v>3.4</v>
      </c>
      <c r="AI12" s="119">
        <v>2.9</v>
      </c>
      <c r="AJ12" s="119">
        <v>2.2000000000000002</v>
      </c>
      <c r="AK12" s="113">
        <v>5.3999999999999999E-2</v>
      </c>
      <c r="AL12" s="119">
        <v>2.23</v>
      </c>
      <c r="AM12" s="119">
        <v>0.86</v>
      </c>
      <c r="AN12" s="113">
        <v>6.5000000000000002E-2</v>
      </c>
      <c r="AO12" s="119">
        <v>27.4</v>
      </c>
    </row>
    <row r="13" spans="1:41" ht="13.2" customHeight="1" x14ac:dyDescent="0.3">
      <c r="A13" s="2" t="s">
        <v>40</v>
      </c>
      <c r="B13" s="2" t="s">
        <v>60</v>
      </c>
      <c r="C13" s="2" t="s">
        <v>329</v>
      </c>
      <c r="D13" s="2" t="s">
        <v>429</v>
      </c>
      <c r="E13" s="2" t="s">
        <v>430</v>
      </c>
      <c r="F13" s="2" t="s">
        <v>431</v>
      </c>
      <c r="G13" s="2" t="s">
        <v>432</v>
      </c>
      <c r="H13" s="2" t="s">
        <v>433</v>
      </c>
      <c r="I13" s="2" t="s">
        <v>434</v>
      </c>
      <c r="J13" s="2" t="s">
        <v>435</v>
      </c>
      <c r="K13" s="2" t="s">
        <v>436</v>
      </c>
      <c r="L13" s="2" t="s">
        <v>437</v>
      </c>
      <c r="M13" s="109">
        <v>0.85499999999999998</v>
      </c>
      <c r="N13" s="109">
        <v>0.84399999999999997</v>
      </c>
      <c r="O13" s="109">
        <v>0.60299999999999998</v>
      </c>
      <c r="P13" s="109">
        <v>0.13100000000000001</v>
      </c>
      <c r="Q13" s="109">
        <v>0.33</v>
      </c>
      <c r="R13" s="109">
        <v>0.29699999999999999</v>
      </c>
      <c r="S13" s="2" t="s">
        <v>438</v>
      </c>
      <c r="T13" s="2" t="s">
        <v>439</v>
      </c>
      <c r="U13" s="2" t="s">
        <v>440</v>
      </c>
      <c r="V13" s="2" t="s">
        <v>441</v>
      </c>
      <c r="W13" s="2" t="s">
        <v>442</v>
      </c>
      <c r="X13" s="2">
        <v>25</v>
      </c>
      <c r="Y13" s="2">
        <v>79</v>
      </c>
      <c r="Z13" s="2">
        <v>91</v>
      </c>
      <c r="AA13" s="2">
        <v>15</v>
      </c>
      <c r="AB13" s="2">
        <v>59</v>
      </c>
      <c r="AC13" s="2" t="s">
        <v>339</v>
      </c>
      <c r="AD13" s="2" t="s">
        <v>21</v>
      </c>
      <c r="AE13" s="119">
        <v>0.48</v>
      </c>
      <c r="AF13" s="119">
        <v>2.1</v>
      </c>
      <c r="AG13" s="119">
        <v>0</v>
      </c>
      <c r="AH13" s="119">
        <v>0.8</v>
      </c>
      <c r="AI13" s="119">
        <v>0.45</v>
      </c>
      <c r="AJ13" s="119">
        <v>0.05</v>
      </c>
      <c r="AK13" s="113">
        <v>1.4999999999999999E-2</v>
      </c>
      <c r="AL13" s="119">
        <v>0</v>
      </c>
      <c r="AM13" s="119">
        <v>0.94</v>
      </c>
      <c r="AN13" s="113">
        <v>6.3E-2</v>
      </c>
      <c r="AO13" s="119">
        <v>-0.8</v>
      </c>
    </row>
    <row r="14" spans="1:41" ht="13.2" customHeight="1" x14ac:dyDescent="0.3">
      <c r="A14" s="3" t="s">
        <v>42</v>
      </c>
      <c r="B14" s="3" t="s">
        <v>62</v>
      </c>
      <c r="C14" s="3" t="s">
        <v>329</v>
      </c>
      <c r="D14" s="3" t="s">
        <v>443</v>
      </c>
      <c r="E14" s="3" t="s">
        <v>444</v>
      </c>
      <c r="F14" s="3" t="s">
        <v>445</v>
      </c>
      <c r="G14" s="3" t="s">
        <v>446</v>
      </c>
      <c r="H14" s="3" t="s">
        <v>447</v>
      </c>
      <c r="I14" s="3" t="s">
        <v>108</v>
      </c>
      <c r="J14" s="3" t="s">
        <v>267</v>
      </c>
      <c r="K14" s="3" t="s">
        <v>268</v>
      </c>
      <c r="L14" s="3" t="s">
        <v>448</v>
      </c>
      <c r="M14" s="110">
        <v>0.35</v>
      </c>
      <c r="N14" s="110">
        <v>0.48099999999999998</v>
      </c>
      <c r="O14" s="110">
        <v>0.111</v>
      </c>
      <c r="P14" s="110">
        <v>0.35399999999999998</v>
      </c>
      <c r="Q14" s="110">
        <v>4.4999999999999998E-2</v>
      </c>
      <c r="R14" s="110">
        <v>2.3E-2</v>
      </c>
      <c r="S14" s="3" t="s">
        <v>449</v>
      </c>
      <c r="T14" s="3" t="s">
        <v>197</v>
      </c>
      <c r="U14" s="3" t="s">
        <v>271</v>
      </c>
      <c r="V14" s="3" t="s">
        <v>450</v>
      </c>
      <c r="W14" s="3" t="s">
        <v>451</v>
      </c>
      <c r="X14" s="3">
        <v>41</v>
      </c>
      <c r="Y14" s="3">
        <v>75</v>
      </c>
      <c r="Z14" s="3">
        <v>58</v>
      </c>
      <c r="AA14" s="3">
        <v>42</v>
      </c>
      <c r="AB14" s="3">
        <v>57</v>
      </c>
      <c r="AC14" s="3" t="s">
        <v>351</v>
      </c>
      <c r="AD14" s="3" t="s">
        <v>21</v>
      </c>
      <c r="AE14" s="119">
        <v>1.65</v>
      </c>
      <c r="AF14" s="119">
        <v>16.8</v>
      </c>
      <c r="AG14" s="119">
        <v>16.2</v>
      </c>
      <c r="AH14" s="119">
        <v>2.1</v>
      </c>
      <c r="AI14" s="119">
        <v>1.4</v>
      </c>
      <c r="AJ14" s="119">
        <v>3.2</v>
      </c>
      <c r="AK14" s="113">
        <v>2.7E-2</v>
      </c>
      <c r="AL14" s="119">
        <v>0.96</v>
      </c>
      <c r="AM14" s="119">
        <v>0.85</v>
      </c>
      <c r="AN14" s="113">
        <v>0.215</v>
      </c>
      <c r="AO14" s="119">
        <v>14.1</v>
      </c>
    </row>
    <row r="15" spans="1:41" ht="13.2" customHeight="1" x14ac:dyDescent="0.3">
      <c r="A15" s="2" t="s">
        <v>44</v>
      </c>
      <c r="B15" s="2" t="s">
        <v>64</v>
      </c>
      <c r="C15" s="2" t="s">
        <v>329</v>
      </c>
      <c r="D15" s="2" t="s">
        <v>452</v>
      </c>
      <c r="E15" s="2" t="s">
        <v>453</v>
      </c>
      <c r="F15" s="2" t="s">
        <v>454</v>
      </c>
      <c r="G15" s="2" t="s">
        <v>455</v>
      </c>
      <c r="H15" s="2" t="s">
        <v>456</v>
      </c>
      <c r="I15" s="2" t="s">
        <v>457</v>
      </c>
      <c r="J15" s="2" t="s">
        <v>196</v>
      </c>
      <c r="K15" s="2" t="s">
        <v>458</v>
      </c>
      <c r="L15" s="2" t="s">
        <v>459</v>
      </c>
      <c r="M15" s="109">
        <v>0.62</v>
      </c>
      <c r="N15" s="109">
        <v>0.62</v>
      </c>
      <c r="O15" s="109">
        <v>0.21899999999999997</v>
      </c>
      <c r="P15" s="109">
        <v>0.13800000000000001</v>
      </c>
      <c r="Q15" s="109">
        <v>0.20499999999999999</v>
      </c>
      <c r="R15" s="109">
        <v>4.4999999999999998E-2</v>
      </c>
      <c r="S15" s="2" t="s">
        <v>460</v>
      </c>
      <c r="T15" s="2" t="s">
        <v>260</v>
      </c>
      <c r="U15" s="2" t="s">
        <v>461</v>
      </c>
      <c r="V15" s="2" t="s">
        <v>462</v>
      </c>
      <c r="W15" s="2" t="s">
        <v>463</v>
      </c>
      <c r="X15" s="2">
        <v>28</v>
      </c>
      <c r="Y15" s="2">
        <v>71</v>
      </c>
      <c r="Z15" s="2">
        <v>71</v>
      </c>
      <c r="AA15" s="2">
        <v>23</v>
      </c>
      <c r="AB15" s="2">
        <v>53</v>
      </c>
      <c r="AC15" s="2" t="s">
        <v>351</v>
      </c>
      <c r="AD15" s="2" t="s">
        <v>21</v>
      </c>
      <c r="AE15" s="119">
        <v>2.61</v>
      </c>
      <c r="AF15" s="119">
        <v>22.4</v>
      </c>
      <c r="AG15" s="119">
        <v>26.8</v>
      </c>
      <c r="AH15" s="119">
        <v>3.5</v>
      </c>
      <c r="AI15" s="119">
        <v>2.2000000000000002</v>
      </c>
      <c r="AJ15" s="119">
        <v>2</v>
      </c>
      <c r="AK15" s="113">
        <v>2.5000000000000001E-2</v>
      </c>
      <c r="AL15" s="119">
        <v>1.2</v>
      </c>
      <c r="AM15" s="119">
        <v>0.84</v>
      </c>
      <c r="AN15" s="113">
        <v>0.16800000000000001</v>
      </c>
      <c r="AO15" s="119">
        <v>23.3</v>
      </c>
    </row>
    <row r="16" spans="1:41" ht="13.2" customHeight="1" x14ac:dyDescent="0.3">
      <c r="A16" s="3" t="s">
        <v>45</v>
      </c>
      <c r="B16" s="3" t="s">
        <v>66</v>
      </c>
      <c r="C16" s="3" t="s">
        <v>329</v>
      </c>
      <c r="D16" s="3" t="s">
        <v>464</v>
      </c>
      <c r="E16" s="3" t="s">
        <v>465</v>
      </c>
      <c r="F16" s="3" t="s">
        <v>466</v>
      </c>
      <c r="G16" s="3" t="s">
        <v>467</v>
      </c>
      <c r="H16" s="3" t="s">
        <v>468</v>
      </c>
      <c r="I16" s="3" t="s">
        <v>232</v>
      </c>
      <c r="J16" s="3" t="s">
        <v>125</v>
      </c>
      <c r="K16" s="3" t="s">
        <v>233</v>
      </c>
      <c r="L16" s="3" t="s">
        <v>469</v>
      </c>
      <c r="M16" s="110">
        <v>0.23600000000000002</v>
      </c>
      <c r="N16" s="110">
        <v>0.155</v>
      </c>
      <c r="O16" s="110">
        <v>9.3000000000000013E-2</v>
      </c>
      <c r="P16" s="110">
        <v>-3.0000000000000001E-3</v>
      </c>
      <c r="Q16" s="110">
        <v>0.13700000000000001</v>
      </c>
      <c r="R16" s="110">
        <v>6.3E-2</v>
      </c>
      <c r="S16" s="3" t="s">
        <v>470</v>
      </c>
      <c r="T16" s="3" t="s">
        <v>143</v>
      </c>
      <c r="U16" s="3" t="s">
        <v>236</v>
      </c>
      <c r="V16" s="3" t="s">
        <v>471</v>
      </c>
      <c r="W16" s="3" t="s">
        <v>472</v>
      </c>
      <c r="X16" s="3">
        <v>55</v>
      </c>
      <c r="Y16" s="3">
        <v>33</v>
      </c>
      <c r="Z16" s="3">
        <v>64</v>
      </c>
      <c r="AA16" s="3">
        <v>85</v>
      </c>
      <c r="AB16" s="3">
        <v>57</v>
      </c>
      <c r="AC16" s="3" t="s">
        <v>473</v>
      </c>
      <c r="AD16" s="3" t="s">
        <v>21</v>
      </c>
      <c r="AE16" s="119">
        <v>2.58</v>
      </c>
      <c r="AF16" s="119">
        <v>19.600000000000001</v>
      </c>
      <c r="AG16" s="119">
        <v>6.9</v>
      </c>
      <c r="AH16" s="119">
        <v>3.8</v>
      </c>
      <c r="AI16" s="119">
        <v>2.2000000000000002</v>
      </c>
      <c r="AJ16" s="119">
        <v>1.4</v>
      </c>
      <c r="AK16" s="113">
        <v>3.6999999999999998E-2</v>
      </c>
      <c r="AL16" s="119">
        <v>0.35</v>
      </c>
      <c r="AM16" s="119">
        <v>0.85</v>
      </c>
      <c r="AN16" s="113">
        <v>5.0999999999999997E-2</v>
      </c>
      <c r="AO16" s="119">
        <v>3.1</v>
      </c>
    </row>
    <row r="17" spans="1:41" ht="13.2" customHeight="1" x14ac:dyDescent="0.3">
      <c r="A17" s="2" t="s">
        <v>46</v>
      </c>
      <c r="B17" s="2" t="s">
        <v>68</v>
      </c>
      <c r="C17" s="2" t="s">
        <v>329</v>
      </c>
      <c r="D17" s="2" t="s">
        <v>474</v>
      </c>
      <c r="E17" s="2" t="s">
        <v>475</v>
      </c>
      <c r="F17" s="2" t="s">
        <v>476</v>
      </c>
      <c r="G17" s="2" t="s">
        <v>477</v>
      </c>
      <c r="H17" s="2" t="s">
        <v>478</v>
      </c>
      <c r="I17" s="2" t="s">
        <v>205</v>
      </c>
      <c r="J17" s="2" t="s">
        <v>206</v>
      </c>
      <c r="K17" s="2" t="s">
        <v>207</v>
      </c>
      <c r="L17" s="2" t="s">
        <v>479</v>
      </c>
      <c r="M17" s="109">
        <v>0.34899999999999998</v>
      </c>
      <c r="N17" s="109">
        <v>0.54</v>
      </c>
      <c r="O17" s="109">
        <v>0.10800000000000001</v>
      </c>
      <c r="P17" s="109">
        <v>-1.9E-2</v>
      </c>
      <c r="Q17" s="109">
        <v>8.4000000000000005E-2</v>
      </c>
      <c r="R17" s="109">
        <v>2.7999999999999997E-2</v>
      </c>
      <c r="S17" s="2" t="s">
        <v>480</v>
      </c>
      <c r="T17" s="2" t="s">
        <v>215</v>
      </c>
      <c r="U17" s="2" t="s">
        <v>210</v>
      </c>
      <c r="V17" s="2" t="s">
        <v>481</v>
      </c>
      <c r="W17" s="2" t="s">
        <v>482</v>
      </c>
      <c r="X17" s="2">
        <v>51</v>
      </c>
      <c r="Y17" s="2">
        <v>38</v>
      </c>
      <c r="Z17" s="2">
        <v>60</v>
      </c>
      <c r="AA17" s="2">
        <v>38</v>
      </c>
      <c r="AB17" s="2">
        <v>47</v>
      </c>
      <c r="AC17" s="2" t="s">
        <v>339</v>
      </c>
      <c r="AD17" s="2" t="s">
        <v>21</v>
      </c>
      <c r="AE17" s="119">
        <v>2.33</v>
      </c>
      <c r="AF17" s="119">
        <v>15.8</v>
      </c>
      <c r="AG17" s="119">
        <v>18.8</v>
      </c>
      <c r="AH17" s="119">
        <v>3.2</v>
      </c>
      <c r="AI17" s="119">
        <v>2</v>
      </c>
      <c r="AJ17" s="119">
        <v>3.8</v>
      </c>
      <c r="AK17" s="113">
        <v>3.5000000000000003E-2</v>
      </c>
      <c r="AL17" s="119">
        <v>1.19</v>
      </c>
      <c r="AM17" s="119">
        <v>0.86</v>
      </c>
      <c r="AN17" s="113">
        <v>0.17599999999999999</v>
      </c>
      <c r="AO17" s="119">
        <v>15.6</v>
      </c>
    </row>
    <row r="18" spans="1:41" ht="13.2" customHeight="1" x14ac:dyDescent="0.3">
      <c r="A18" s="3" t="s">
        <v>48</v>
      </c>
      <c r="B18" s="3" t="s">
        <v>70</v>
      </c>
      <c r="C18" s="3" t="s">
        <v>329</v>
      </c>
      <c r="D18" s="3" t="s">
        <v>483</v>
      </c>
      <c r="E18" s="3" t="s">
        <v>484</v>
      </c>
      <c r="F18" s="3" t="s">
        <v>485</v>
      </c>
      <c r="G18" s="3" t="s">
        <v>486</v>
      </c>
      <c r="H18" s="3" t="s">
        <v>447</v>
      </c>
      <c r="I18" s="3" t="s">
        <v>252</v>
      </c>
      <c r="J18" s="3" t="s">
        <v>253</v>
      </c>
      <c r="K18" s="3" t="s">
        <v>233</v>
      </c>
      <c r="L18" s="3" t="s">
        <v>487</v>
      </c>
      <c r="M18" s="110">
        <v>0.52900000000000003</v>
      </c>
      <c r="N18" s="110">
        <v>0.42399999999999999</v>
      </c>
      <c r="O18" s="110">
        <v>0.18</v>
      </c>
      <c r="P18" s="110">
        <v>0.122</v>
      </c>
      <c r="Q18" s="110">
        <v>9.8000000000000004E-2</v>
      </c>
      <c r="R18" s="110">
        <v>4.2000000000000003E-2</v>
      </c>
      <c r="S18" s="3" t="s">
        <v>488</v>
      </c>
      <c r="T18" s="3" t="s">
        <v>489</v>
      </c>
      <c r="U18" s="3" t="s">
        <v>256</v>
      </c>
      <c r="V18" s="3" t="s">
        <v>490</v>
      </c>
      <c r="W18" s="3" t="s">
        <v>491</v>
      </c>
      <c r="X18" s="3">
        <v>43</v>
      </c>
      <c r="Y18" s="3">
        <v>58</v>
      </c>
      <c r="Z18" s="3">
        <v>64</v>
      </c>
      <c r="AA18" s="3">
        <v>19</v>
      </c>
      <c r="AB18" s="3">
        <v>49</v>
      </c>
      <c r="AC18" s="3" t="s">
        <v>492</v>
      </c>
      <c r="AD18" s="3" t="s">
        <v>21</v>
      </c>
      <c r="AE18" s="119">
        <v>3.04</v>
      </c>
      <c r="AF18" s="119">
        <v>21.4</v>
      </c>
      <c r="AG18" s="119">
        <v>29.8</v>
      </c>
      <c r="AH18" s="119">
        <v>2.8</v>
      </c>
      <c r="AI18" s="119">
        <v>2.6</v>
      </c>
      <c r="AJ18" s="119">
        <v>1.6</v>
      </c>
      <c r="AK18" s="113">
        <v>3.6999999999999998E-2</v>
      </c>
      <c r="AL18" s="119">
        <v>1.39</v>
      </c>
      <c r="AM18" s="119">
        <v>0.86</v>
      </c>
      <c r="AN18" s="113">
        <v>9.5000000000000001E-2</v>
      </c>
      <c r="AO18" s="119">
        <v>27</v>
      </c>
    </row>
    <row r="19" spans="1:41" ht="13.2" customHeight="1" x14ac:dyDescent="0.3">
      <c r="A19" s="2" t="s">
        <v>50</v>
      </c>
      <c r="B19" s="2" t="s">
        <v>72</v>
      </c>
      <c r="C19" s="2" t="s">
        <v>329</v>
      </c>
      <c r="D19" s="2" t="s">
        <v>493</v>
      </c>
      <c r="E19" s="2" t="s">
        <v>494</v>
      </c>
      <c r="F19" s="2" t="s">
        <v>495</v>
      </c>
      <c r="G19" s="2" t="s">
        <v>73</v>
      </c>
      <c r="H19" s="2" t="s">
        <v>73</v>
      </c>
      <c r="I19" s="2" t="s">
        <v>73</v>
      </c>
      <c r="J19" s="2" t="s">
        <v>73</v>
      </c>
      <c r="K19" s="2" t="s">
        <v>73</v>
      </c>
      <c r="L19" s="2" t="s">
        <v>73</v>
      </c>
      <c r="M19" s="111" t="s">
        <v>73</v>
      </c>
      <c r="N19" s="111" t="s">
        <v>73</v>
      </c>
      <c r="O19" s="111" t="s">
        <v>73</v>
      </c>
      <c r="P19" s="111" t="s">
        <v>73</v>
      </c>
      <c r="Q19" s="111" t="s">
        <v>73</v>
      </c>
      <c r="R19" s="111" t="s">
        <v>73</v>
      </c>
      <c r="S19" s="2" t="s">
        <v>496</v>
      </c>
      <c r="T19" s="2" t="s">
        <v>73</v>
      </c>
      <c r="U19" s="2" t="s">
        <v>73</v>
      </c>
      <c r="V19" s="2" t="s">
        <v>73</v>
      </c>
      <c r="W19" s="2" t="s">
        <v>497</v>
      </c>
      <c r="X19" s="2" t="s">
        <v>73</v>
      </c>
      <c r="Y19" s="2" t="s">
        <v>73</v>
      </c>
      <c r="Z19" s="2">
        <v>73</v>
      </c>
      <c r="AA19" s="2">
        <v>88</v>
      </c>
      <c r="AB19" s="2">
        <v>79</v>
      </c>
      <c r="AC19" s="2" t="s">
        <v>391</v>
      </c>
      <c r="AD19" s="2" t="s">
        <v>21</v>
      </c>
      <c r="AE19" s="119">
        <v>5.8</v>
      </c>
      <c r="AF19" s="119">
        <v>48.2</v>
      </c>
      <c r="AG19" s="119">
        <v>19.399999999999999</v>
      </c>
      <c r="AH19" s="119">
        <v>12.6</v>
      </c>
      <c r="AI19" s="119">
        <v>5.0999999999999996</v>
      </c>
      <c r="AJ19" s="119">
        <v>8.9</v>
      </c>
      <c r="AK19" s="113">
        <v>7.3999999999999996E-2</v>
      </c>
      <c r="AL19" s="119">
        <v>0.4</v>
      </c>
      <c r="AM19" s="119">
        <v>0.88</v>
      </c>
      <c r="AN19" s="113" t="s">
        <v>73</v>
      </c>
      <c r="AO19" s="119">
        <v>6.8</v>
      </c>
    </row>
    <row r="20" spans="1:41" ht="13.2" customHeight="1" x14ac:dyDescent="0.3">
      <c r="A20" s="3" t="s">
        <v>52</v>
      </c>
      <c r="B20" s="3" t="s">
        <v>74</v>
      </c>
      <c r="C20" s="3" t="s">
        <v>329</v>
      </c>
      <c r="D20" s="3" t="s">
        <v>498</v>
      </c>
      <c r="E20" s="3" t="s">
        <v>499</v>
      </c>
      <c r="F20" s="3" t="s">
        <v>500</v>
      </c>
      <c r="G20" s="3" t="s">
        <v>501</v>
      </c>
      <c r="H20" s="3" t="s">
        <v>478</v>
      </c>
      <c r="I20" s="3" t="s">
        <v>160</v>
      </c>
      <c r="J20" s="3" t="s">
        <v>161</v>
      </c>
      <c r="K20" s="3" t="s">
        <v>162</v>
      </c>
      <c r="L20" s="3" t="s">
        <v>502</v>
      </c>
      <c r="M20" s="110">
        <v>7.4999999999999997E-2</v>
      </c>
      <c r="N20" s="110">
        <v>8.7999999999999995E-2</v>
      </c>
      <c r="O20" s="110">
        <v>0.03</v>
      </c>
      <c r="P20" s="110">
        <v>-4.4000000000000004E-2</v>
      </c>
      <c r="Q20" s="110">
        <v>0.23400000000000001</v>
      </c>
      <c r="R20" s="110">
        <v>4.8000000000000001E-2</v>
      </c>
      <c r="S20" s="3" t="s">
        <v>504</v>
      </c>
      <c r="T20" s="3" t="s">
        <v>505</v>
      </c>
      <c r="U20" s="3" t="s">
        <v>165</v>
      </c>
      <c r="V20" s="3" t="s">
        <v>506</v>
      </c>
      <c r="W20" s="3" t="s">
        <v>507</v>
      </c>
      <c r="X20" s="3">
        <v>83</v>
      </c>
      <c r="Y20" s="3">
        <v>42</v>
      </c>
      <c r="Z20" s="3">
        <v>60</v>
      </c>
      <c r="AA20" s="3">
        <v>50</v>
      </c>
      <c r="AB20" s="3">
        <v>57</v>
      </c>
      <c r="AC20" s="3" t="s">
        <v>361</v>
      </c>
      <c r="AD20" s="3" t="s">
        <v>21</v>
      </c>
      <c r="AE20" s="119">
        <v>3.98</v>
      </c>
      <c r="AF20" s="119">
        <v>18.2</v>
      </c>
      <c r="AG20" s="119">
        <v>25.4</v>
      </c>
      <c r="AH20" s="119">
        <v>4.5999999999999996</v>
      </c>
      <c r="AI20" s="119">
        <v>3.4</v>
      </c>
      <c r="AJ20" s="119">
        <v>2.1</v>
      </c>
      <c r="AK20" s="113">
        <v>5.0999999999999997E-2</v>
      </c>
      <c r="AL20" s="119">
        <v>1.4</v>
      </c>
      <c r="AM20" s="119">
        <v>0.85</v>
      </c>
      <c r="AN20" s="113">
        <v>1.6E-2</v>
      </c>
      <c r="AO20" s="119">
        <v>20.8</v>
      </c>
    </row>
    <row r="21" spans="1:41" ht="13.2" customHeight="1" x14ac:dyDescent="0.3">
      <c r="A21" s="2" t="s">
        <v>54</v>
      </c>
      <c r="B21" s="2" t="s">
        <v>75</v>
      </c>
      <c r="C21" s="2" t="s">
        <v>329</v>
      </c>
      <c r="D21" s="2" t="s">
        <v>508</v>
      </c>
      <c r="E21" s="2" t="s">
        <v>509</v>
      </c>
      <c r="F21" s="2" t="s">
        <v>510</v>
      </c>
      <c r="G21" s="2" t="s">
        <v>511</v>
      </c>
      <c r="H21" s="2" t="s">
        <v>512</v>
      </c>
      <c r="I21" s="2" t="s">
        <v>196</v>
      </c>
      <c r="J21" s="2" t="s">
        <v>197</v>
      </c>
      <c r="K21" s="2" t="s">
        <v>198</v>
      </c>
      <c r="L21" s="2" t="s">
        <v>513</v>
      </c>
      <c r="M21" s="109">
        <v>0.22</v>
      </c>
      <c r="N21" s="109">
        <v>0.21</v>
      </c>
      <c r="O21" s="109">
        <v>8.900000000000001E-2</v>
      </c>
      <c r="P21" s="109">
        <v>-4.4999999999999998E-2</v>
      </c>
      <c r="Q21" s="109">
        <v>0.111</v>
      </c>
      <c r="R21" s="109">
        <v>6.4000000000000001E-2</v>
      </c>
      <c r="S21" s="2" t="s">
        <v>514</v>
      </c>
      <c r="T21" s="2" t="s">
        <v>416</v>
      </c>
      <c r="U21" s="2" t="s">
        <v>201</v>
      </c>
      <c r="V21" s="2" t="s">
        <v>515</v>
      </c>
      <c r="W21" s="2" t="s">
        <v>516</v>
      </c>
      <c r="X21" s="2">
        <v>61</v>
      </c>
      <c r="Y21" s="2">
        <v>17</v>
      </c>
      <c r="Z21" s="2">
        <v>66</v>
      </c>
      <c r="AA21" s="2">
        <v>62</v>
      </c>
      <c r="AB21" s="2">
        <v>50</v>
      </c>
      <c r="AC21" s="2" t="s">
        <v>517</v>
      </c>
      <c r="AD21" s="2" t="s">
        <v>55</v>
      </c>
      <c r="AE21" s="119">
        <v>28.83</v>
      </c>
      <c r="AF21" s="119">
        <v>167.4</v>
      </c>
      <c r="AG21" s="119">
        <v>37.1</v>
      </c>
      <c r="AH21" s="119">
        <v>22.3</v>
      </c>
      <c r="AI21" s="119">
        <v>24.6</v>
      </c>
      <c r="AJ21" s="119">
        <v>16.8</v>
      </c>
      <c r="AK21" s="113">
        <v>3.9E-2</v>
      </c>
      <c r="AL21" s="119">
        <v>0.22</v>
      </c>
      <c r="AM21" s="119">
        <v>0.85</v>
      </c>
      <c r="AN21" s="113">
        <v>5.1999999999999998E-2</v>
      </c>
      <c r="AO21" s="119">
        <v>14.8</v>
      </c>
    </row>
    <row r="22" spans="1:41" ht="13.2" customHeight="1" x14ac:dyDescent="0.3">
      <c r="A22" s="3" t="s">
        <v>57</v>
      </c>
      <c r="B22" s="3" t="s">
        <v>76</v>
      </c>
      <c r="C22" s="3" t="s">
        <v>329</v>
      </c>
      <c r="D22" s="3" t="s">
        <v>518</v>
      </c>
      <c r="E22" s="3" t="s">
        <v>519</v>
      </c>
      <c r="F22" s="3" t="s">
        <v>520</v>
      </c>
      <c r="G22" s="3" t="s">
        <v>521</v>
      </c>
      <c r="H22" s="3" t="s">
        <v>522</v>
      </c>
      <c r="I22" s="3" t="s">
        <v>214</v>
      </c>
      <c r="J22" s="3" t="s">
        <v>215</v>
      </c>
      <c r="K22" s="3" t="s">
        <v>216</v>
      </c>
      <c r="L22" s="3" t="s">
        <v>523</v>
      </c>
      <c r="M22" s="110">
        <v>0.157</v>
      </c>
      <c r="N22" s="110">
        <v>0.14699999999999999</v>
      </c>
      <c r="O22" s="110">
        <v>5.7999999999999996E-2</v>
      </c>
      <c r="P22" s="110">
        <v>-3.3000000000000002E-2</v>
      </c>
      <c r="Q22" s="110">
        <v>0.123</v>
      </c>
      <c r="R22" s="110">
        <v>5.0999999999999997E-2</v>
      </c>
      <c r="S22" s="3" t="s">
        <v>524</v>
      </c>
      <c r="T22" s="3" t="s">
        <v>525</v>
      </c>
      <c r="U22" s="3" t="s">
        <v>219</v>
      </c>
      <c r="V22" s="3" t="s">
        <v>526</v>
      </c>
      <c r="W22" s="3" t="s">
        <v>527</v>
      </c>
      <c r="X22" s="3">
        <v>71</v>
      </c>
      <c r="Y22" s="3">
        <v>0</v>
      </c>
      <c r="Z22" s="3">
        <v>54</v>
      </c>
      <c r="AA22" s="3">
        <v>96</v>
      </c>
      <c r="AB22" s="3">
        <v>50</v>
      </c>
      <c r="AC22" s="3" t="s">
        <v>381</v>
      </c>
      <c r="AD22" s="3" t="s">
        <v>55</v>
      </c>
      <c r="AE22" s="119">
        <v>1.29</v>
      </c>
      <c r="AF22" s="119">
        <v>10.199999999999999</v>
      </c>
      <c r="AG22" s="119">
        <v>7.4</v>
      </c>
      <c r="AH22" s="119">
        <v>2.6</v>
      </c>
      <c r="AI22" s="119">
        <v>1.1000000000000001</v>
      </c>
      <c r="AJ22" s="119">
        <v>1</v>
      </c>
      <c r="AK22" s="113">
        <v>3.5000000000000003E-2</v>
      </c>
      <c r="AL22" s="119">
        <v>0.73</v>
      </c>
      <c r="AM22" s="119">
        <v>0.85</v>
      </c>
      <c r="AN22" s="113">
        <v>4.4999999999999998E-2</v>
      </c>
      <c r="AO22" s="119">
        <v>4.8</v>
      </c>
    </row>
    <row r="23" spans="1:41" ht="13.2" customHeight="1" x14ac:dyDescent="0.3">
      <c r="A23" s="2" t="s">
        <v>59</v>
      </c>
      <c r="B23" s="2" t="s">
        <v>77</v>
      </c>
      <c r="C23" s="2" t="s">
        <v>329</v>
      </c>
      <c r="D23" s="2" t="s">
        <v>528</v>
      </c>
      <c r="E23" s="2" t="s">
        <v>529</v>
      </c>
      <c r="F23" s="2" t="s">
        <v>530</v>
      </c>
      <c r="G23" s="2" t="s">
        <v>531</v>
      </c>
      <c r="H23" s="2" t="s">
        <v>532</v>
      </c>
      <c r="I23" s="2" t="s">
        <v>533</v>
      </c>
      <c r="J23" s="2" t="s">
        <v>534</v>
      </c>
      <c r="K23" s="2" t="s">
        <v>73</v>
      </c>
      <c r="L23" s="2" t="s">
        <v>535</v>
      </c>
      <c r="M23" s="109">
        <v>0.17699999999999999</v>
      </c>
      <c r="N23" s="109">
        <v>0.16200000000000001</v>
      </c>
      <c r="O23" s="109">
        <v>0</v>
      </c>
      <c r="P23" s="109">
        <v>1E-3</v>
      </c>
      <c r="Q23" s="109">
        <v>1E-3</v>
      </c>
      <c r="R23" s="109">
        <v>0</v>
      </c>
      <c r="S23" s="2" t="s">
        <v>504</v>
      </c>
      <c r="T23" s="2" t="s">
        <v>358</v>
      </c>
      <c r="U23" s="2" t="s">
        <v>536</v>
      </c>
      <c r="V23" s="2" t="s">
        <v>506</v>
      </c>
      <c r="W23" s="2" t="s">
        <v>537</v>
      </c>
      <c r="X23" s="2">
        <v>32</v>
      </c>
      <c r="Y23" s="2">
        <v>46</v>
      </c>
      <c r="Z23" s="2">
        <v>36</v>
      </c>
      <c r="AA23" s="2">
        <v>81</v>
      </c>
      <c r="AB23" s="2">
        <v>47</v>
      </c>
      <c r="AC23" s="2" t="s">
        <v>371</v>
      </c>
      <c r="AD23" s="2" t="s">
        <v>55</v>
      </c>
      <c r="AE23" s="119">
        <v>0</v>
      </c>
      <c r="AF23" s="119">
        <v>82.4</v>
      </c>
      <c r="AG23" s="119">
        <v>51.8</v>
      </c>
      <c r="AH23" s="119">
        <v>14.2</v>
      </c>
      <c r="AI23" s="119">
        <v>2.8</v>
      </c>
      <c r="AJ23" s="119">
        <v>12.6</v>
      </c>
      <c r="AK23" s="113">
        <v>0</v>
      </c>
      <c r="AL23" s="119">
        <v>0.63</v>
      </c>
      <c r="AM23" s="119" t="s">
        <v>73</v>
      </c>
      <c r="AN23" s="113">
        <v>6.7000000000000004E-2</v>
      </c>
      <c r="AO23" s="119">
        <v>37.6</v>
      </c>
    </row>
    <row r="24" spans="1:41" ht="13.2" customHeight="1" x14ac:dyDescent="0.3">
      <c r="A24" s="3" t="s">
        <v>61</v>
      </c>
      <c r="B24" s="3" t="s">
        <v>78</v>
      </c>
      <c r="C24" s="3" t="s">
        <v>329</v>
      </c>
      <c r="D24" s="3" t="s">
        <v>538</v>
      </c>
      <c r="E24" s="3" t="s">
        <v>539</v>
      </c>
      <c r="F24" s="3" t="s">
        <v>540</v>
      </c>
      <c r="G24" s="3" t="s">
        <v>541</v>
      </c>
      <c r="H24" s="3" t="s">
        <v>542</v>
      </c>
      <c r="I24" s="3" t="s">
        <v>223</v>
      </c>
      <c r="J24" s="3" t="s">
        <v>224</v>
      </c>
      <c r="K24" s="3" t="s">
        <v>225</v>
      </c>
      <c r="L24" s="3" t="s">
        <v>543</v>
      </c>
      <c r="M24" s="110">
        <v>0.182</v>
      </c>
      <c r="N24" s="110">
        <v>0.19500000000000001</v>
      </c>
      <c r="O24" s="110">
        <v>9.4E-2</v>
      </c>
      <c r="P24" s="110">
        <v>-1.6E-2</v>
      </c>
      <c r="Q24" s="110">
        <v>0.129</v>
      </c>
      <c r="R24" s="110">
        <v>6.0999999999999999E-2</v>
      </c>
      <c r="S24" s="3" t="s">
        <v>544</v>
      </c>
      <c r="T24" s="3" t="s">
        <v>545</v>
      </c>
      <c r="U24" s="3" t="s">
        <v>228</v>
      </c>
      <c r="V24" s="3" t="s">
        <v>546</v>
      </c>
      <c r="W24" s="3" t="s">
        <v>547</v>
      </c>
      <c r="X24" s="3">
        <v>55</v>
      </c>
      <c r="Y24" s="3">
        <v>4</v>
      </c>
      <c r="Z24" s="3">
        <v>64</v>
      </c>
      <c r="AA24" s="3">
        <v>77</v>
      </c>
      <c r="AB24" s="3">
        <v>47</v>
      </c>
      <c r="AC24" s="3" t="s">
        <v>517</v>
      </c>
      <c r="AD24" s="3" t="s">
        <v>55</v>
      </c>
      <c r="AE24" s="119">
        <v>3.36</v>
      </c>
      <c r="AF24" s="119">
        <v>22.8</v>
      </c>
      <c r="AG24" s="119">
        <v>12.4</v>
      </c>
      <c r="AH24" s="119">
        <v>4.8</v>
      </c>
      <c r="AI24" s="119">
        <v>2.9</v>
      </c>
      <c r="AJ24" s="119">
        <v>2.1</v>
      </c>
      <c r="AK24" s="113">
        <v>3.6999999999999998E-2</v>
      </c>
      <c r="AL24" s="119">
        <v>0.54</v>
      </c>
      <c r="AM24" s="119">
        <v>0.86</v>
      </c>
      <c r="AN24" s="113">
        <v>5.8999999999999997E-2</v>
      </c>
      <c r="AO24" s="119">
        <v>7.6</v>
      </c>
    </row>
    <row r="25" spans="1:41" ht="13.2" customHeight="1" x14ac:dyDescent="0.3">
      <c r="A25" s="2" t="s">
        <v>63</v>
      </c>
      <c r="B25" s="2" t="s">
        <v>79</v>
      </c>
      <c r="C25" s="2" t="s">
        <v>329</v>
      </c>
      <c r="D25" s="2" t="s">
        <v>548</v>
      </c>
      <c r="E25" s="2" t="s">
        <v>549</v>
      </c>
      <c r="F25" s="2" t="s">
        <v>550</v>
      </c>
      <c r="G25" s="2" t="s">
        <v>551</v>
      </c>
      <c r="H25" s="2" t="s">
        <v>552</v>
      </c>
      <c r="I25" s="2" t="s">
        <v>247</v>
      </c>
      <c r="J25" s="2" t="s">
        <v>143</v>
      </c>
      <c r="K25" s="2" t="s">
        <v>248</v>
      </c>
      <c r="L25" s="2" t="s">
        <v>553</v>
      </c>
      <c r="M25" s="109">
        <v>4.4000000000000004E-2</v>
      </c>
      <c r="N25" s="109">
        <v>5.5E-2</v>
      </c>
      <c r="O25" s="109">
        <v>1.9E-2</v>
      </c>
      <c r="P25" s="109">
        <v>-5.5E-2</v>
      </c>
      <c r="Q25" s="109">
        <v>9.9000000000000005E-2</v>
      </c>
      <c r="R25" s="109">
        <v>0.04</v>
      </c>
      <c r="S25" s="2" t="s">
        <v>554</v>
      </c>
      <c r="T25" s="2" t="s">
        <v>358</v>
      </c>
      <c r="U25" s="2" t="s">
        <v>250</v>
      </c>
      <c r="V25" s="2" t="s">
        <v>555</v>
      </c>
      <c r="W25" s="2" t="s">
        <v>556</v>
      </c>
      <c r="X25" s="2">
        <v>71</v>
      </c>
      <c r="Y25" s="2">
        <v>25</v>
      </c>
      <c r="Z25" s="2">
        <v>51</v>
      </c>
      <c r="AA25" s="2">
        <v>92</v>
      </c>
      <c r="AB25" s="2">
        <v>55</v>
      </c>
      <c r="AC25" s="2" t="s">
        <v>400</v>
      </c>
      <c r="AD25" s="2" t="s">
        <v>55</v>
      </c>
      <c r="AE25" s="119">
        <v>2.33</v>
      </c>
      <c r="AF25" s="119">
        <v>20.399999999999999</v>
      </c>
      <c r="AG25" s="119">
        <v>13.6</v>
      </c>
      <c r="AH25" s="119">
        <v>4.2</v>
      </c>
      <c r="AI25" s="119">
        <v>2</v>
      </c>
      <c r="AJ25" s="119">
        <v>1.8</v>
      </c>
      <c r="AK25" s="113">
        <v>2.8000000000000001E-2</v>
      </c>
      <c r="AL25" s="119">
        <v>0.67</v>
      </c>
      <c r="AM25" s="119">
        <v>0.86</v>
      </c>
      <c r="AN25" s="113">
        <v>1.4999999999999999E-2</v>
      </c>
      <c r="AO25" s="119">
        <v>9.4</v>
      </c>
    </row>
    <row r="26" spans="1:41" ht="13.2" customHeight="1" x14ac:dyDescent="0.3">
      <c r="A26" s="3" t="s">
        <v>65</v>
      </c>
      <c r="B26" s="3" t="s">
        <v>80</v>
      </c>
      <c r="C26" s="3" t="s">
        <v>329</v>
      </c>
      <c r="D26" s="3" t="s">
        <v>557</v>
      </c>
      <c r="E26" s="3" t="s">
        <v>558</v>
      </c>
      <c r="F26" s="3" t="s">
        <v>559</v>
      </c>
      <c r="G26" s="3" t="s">
        <v>73</v>
      </c>
      <c r="H26" s="3" t="s">
        <v>73</v>
      </c>
      <c r="I26" s="3" t="s">
        <v>73</v>
      </c>
      <c r="J26" s="3" t="s">
        <v>73</v>
      </c>
      <c r="K26" s="3" t="s">
        <v>73</v>
      </c>
      <c r="L26" s="3" t="s">
        <v>73</v>
      </c>
      <c r="M26" s="112" t="s">
        <v>73</v>
      </c>
      <c r="N26" s="112" t="s">
        <v>73</v>
      </c>
      <c r="O26" s="112" t="s">
        <v>73</v>
      </c>
      <c r="P26" s="112" t="s">
        <v>73</v>
      </c>
      <c r="Q26" s="112" t="s">
        <v>73</v>
      </c>
      <c r="R26" s="112" t="s">
        <v>73</v>
      </c>
      <c r="S26" s="3" t="s">
        <v>183</v>
      </c>
      <c r="T26" s="3" t="s">
        <v>73</v>
      </c>
      <c r="U26" s="3" t="s">
        <v>73</v>
      </c>
      <c r="V26" s="3" t="s">
        <v>73</v>
      </c>
      <c r="W26" s="3" t="s">
        <v>560</v>
      </c>
      <c r="X26" s="3" t="s">
        <v>73</v>
      </c>
      <c r="Y26" s="3" t="s">
        <v>73</v>
      </c>
      <c r="Z26" s="3">
        <v>80</v>
      </c>
      <c r="AA26" s="3">
        <v>73</v>
      </c>
      <c r="AB26" s="3">
        <v>77</v>
      </c>
      <c r="AC26" s="3" t="s">
        <v>561</v>
      </c>
      <c r="AD26" s="3" t="s">
        <v>55</v>
      </c>
      <c r="AE26" s="119">
        <v>15.6</v>
      </c>
      <c r="AF26" s="119">
        <v>119.4</v>
      </c>
      <c r="AG26" s="119">
        <v>51.2</v>
      </c>
      <c r="AH26" s="119">
        <v>34.799999999999997</v>
      </c>
      <c r="AI26" s="119">
        <v>13.8</v>
      </c>
      <c r="AJ26" s="119">
        <v>16.399999999999999</v>
      </c>
      <c r="AK26" s="113">
        <v>8.4000000000000005E-2</v>
      </c>
      <c r="AL26" s="119">
        <v>0.43</v>
      </c>
      <c r="AM26" s="119">
        <v>0.88</v>
      </c>
      <c r="AN26" s="113" t="s">
        <v>73</v>
      </c>
      <c r="AO26" s="119">
        <v>16.399999999999999</v>
      </c>
    </row>
    <row r="27" spans="1:41" ht="13.2" customHeight="1" x14ac:dyDescent="0.3">
      <c r="A27" s="2" t="s">
        <v>67</v>
      </c>
      <c r="B27" s="2" t="s">
        <v>81</v>
      </c>
      <c r="C27" s="2" t="s">
        <v>329</v>
      </c>
      <c r="D27" s="2" t="s">
        <v>562</v>
      </c>
      <c r="E27" s="2" t="s">
        <v>563</v>
      </c>
      <c r="F27" s="2" t="s">
        <v>564</v>
      </c>
      <c r="G27" s="2" t="s">
        <v>565</v>
      </c>
      <c r="H27" s="2" t="s">
        <v>566</v>
      </c>
      <c r="I27" s="2" t="s">
        <v>239</v>
      </c>
      <c r="J27" s="2" t="s">
        <v>240</v>
      </c>
      <c r="K27" s="2" t="s">
        <v>241</v>
      </c>
      <c r="L27" s="2" t="s">
        <v>567</v>
      </c>
      <c r="M27" s="109">
        <v>0.30399999999999999</v>
      </c>
      <c r="N27" s="109">
        <v>0.22500000000000001</v>
      </c>
      <c r="O27" s="109">
        <v>6.7000000000000004E-2</v>
      </c>
      <c r="P27" s="109">
        <v>-4.5999999999999999E-2</v>
      </c>
      <c r="Q27" s="109">
        <v>6.6000000000000003E-2</v>
      </c>
      <c r="R27" s="109">
        <v>3.7999999999999999E-2</v>
      </c>
      <c r="S27" s="2" t="s">
        <v>514</v>
      </c>
      <c r="T27" s="2" t="s">
        <v>348</v>
      </c>
      <c r="U27" s="2" t="s">
        <v>244</v>
      </c>
      <c r="V27" s="2" t="s">
        <v>568</v>
      </c>
      <c r="W27" s="2" t="s">
        <v>569</v>
      </c>
      <c r="X27" s="2">
        <v>56</v>
      </c>
      <c r="Y27" s="2">
        <v>12</v>
      </c>
      <c r="Z27" s="2">
        <v>58</v>
      </c>
      <c r="AA27" s="2">
        <v>46</v>
      </c>
      <c r="AB27" s="2">
        <v>41</v>
      </c>
      <c r="AC27" s="2" t="s">
        <v>517</v>
      </c>
      <c r="AD27" s="2" t="s">
        <v>55</v>
      </c>
      <c r="AE27" s="119">
        <v>12.35</v>
      </c>
      <c r="AF27" s="119">
        <v>142.6</v>
      </c>
      <c r="AG27" s="119">
        <v>29.8</v>
      </c>
      <c r="AH27" s="119">
        <v>16.399999999999999</v>
      </c>
      <c r="AI27" s="119">
        <v>10.8</v>
      </c>
      <c r="AJ27" s="119">
        <v>13.2</v>
      </c>
      <c r="AK27" s="113">
        <v>2.9000000000000001E-2</v>
      </c>
      <c r="AL27" s="119">
        <v>0.21</v>
      </c>
      <c r="AM27" s="119">
        <v>0.87</v>
      </c>
      <c r="AN27" s="113">
        <v>7.1999999999999995E-2</v>
      </c>
      <c r="AO27" s="119">
        <v>13.4</v>
      </c>
    </row>
    <row r="28" spans="1:41" ht="13.2" customHeight="1" x14ac:dyDescent="0.3">
      <c r="A28" s="3" t="s">
        <v>69</v>
      </c>
      <c r="B28" s="3" t="s">
        <v>82</v>
      </c>
      <c r="C28" s="3" t="s">
        <v>329</v>
      </c>
      <c r="D28" s="3" t="s">
        <v>570</v>
      </c>
      <c r="E28" s="3" t="s">
        <v>571</v>
      </c>
      <c r="F28" s="3" t="s">
        <v>572</v>
      </c>
      <c r="G28" s="3" t="s">
        <v>573</v>
      </c>
      <c r="H28" s="3" t="s">
        <v>574</v>
      </c>
      <c r="I28" s="3" t="s">
        <v>575</v>
      </c>
      <c r="J28" s="3" t="s">
        <v>576</v>
      </c>
      <c r="K28" s="3" t="s">
        <v>577</v>
      </c>
      <c r="L28" s="3" t="s">
        <v>578</v>
      </c>
      <c r="M28" s="110">
        <v>0.159</v>
      </c>
      <c r="N28" s="110">
        <v>0.21199999999999999</v>
      </c>
      <c r="O28" s="110">
        <v>6.7000000000000004E-2</v>
      </c>
      <c r="P28" s="110">
        <v>-6.0999999999999999E-2</v>
      </c>
      <c r="Q28" s="110">
        <v>0.10199999999999999</v>
      </c>
      <c r="R28" s="110">
        <v>4.8000000000000001E-2</v>
      </c>
      <c r="S28" s="3" t="s">
        <v>388</v>
      </c>
      <c r="T28" s="3" t="s">
        <v>579</v>
      </c>
      <c r="U28" s="3" t="s">
        <v>138</v>
      </c>
      <c r="V28" s="3" t="s">
        <v>580</v>
      </c>
      <c r="W28" s="3" t="s">
        <v>581</v>
      </c>
      <c r="X28" s="3">
        <v>25</v>
      </c>
      <c r="Y28" s="3">
        <v>29</v>
      </c>
      <c r="Z28" s="3">
        <v>58</v>
      </c>
      <c r="AA28" s="3">
        <v>35</v>
      </c>
      <c r="AB28" s="3">
        <v>38</v>
      </c>
      <c r="AC28" s="3" t="s">
        <v>582</v>
      </c>
      <c r="AD28" s="3" t="s">
        <v>55</v>
      </c>
      <c r="AE28" s="119">
        <v>17.88</v>
      </c>
      <c r="AF28" s="119">
        <v>162.80000000000001</v>
      </c>
      <c r="AG28" s="119">
        <v>82.4</v>
      </c>
      <c r="AH28" s="119">
        <v>28.6</v>
      </c>
      <c r="AI28" s="119">
        <v>15.2</v>
      </c>
      <c r="AJ28" s="119">
        <v>18.8</v>
      </c>
      <c r="AK28" s="113">
        <v>1E-3</v>
      </c>
      <c r="AL28" s="119">
        <v>0.51</v>
      </c>
      <c r="AM28" s="119">
        <v>0.85</v>
      </c>
      <c r="AN28" s="113">
        <v>7.0000000000000007E-2</v>
      </c>
      <c r="AO28" s="119">
        <v>53.8</v>
      </c>
    </row>
    <row r="29" spans="1:41" ht="13.2" customHeight="1" x14ac:dyDescent="0.3">
      <c r="A29" s="2" t="s">
        <v>71</v>
      </c>
      <c r="B29" s="2" t="s">
        <v>83</v>
      </c>
      <c r="C29" s="2" t="s">
        <v>329</v>
      </c>
      <c r="D29" s="2" t="s">
        <v>583</v>
      </c>
      <c r="E29" s="2" t="s">
        <v>584</v>
      </c>
      <c r="F29" s="2" t="s">
        <v>585</v>
      </c>
      <c r="G29" s="2" t="s">
        <v>586</v>
      </c>
      <c r="H29" s="2" t="s">
        <v>432</v>
      </c>
      <c r="I29" s="2" t="s">
        <v>587</v>
      </c>
      <c r="J29" s="2" t="s">
        <v>588</v>
      </c>
      <c r="K29" s="2" t="s">
        <v>589</v>
      </c>
      <c r="L29" s="2" t="s">
        <v>590</v>
      </c>
      <c r="M29" s="109">
        <v>0.13300000000000001</v>
      </c>
      <c r="N29" s="109">
        <v>4.2999999999999997E-2</v>
      </c>
      <c r="O29" s="109">
        <v>1.1000000000000001E-2</v>
      </c>
      <c r="P29" s="109">
        <v>-4.4999999999999998E-2</v>
      </c>
      <c r="Q29" s="109">
        <v>6.7000000000000004E-2</v>
      </c>
      <c r="R29" s="109">
        <v>2.2000000000000002E-2</v>
      </c>
      <c r="S29" s="2" t="s">
        <v>592</v>
      </c>
      <c r="T29" s="2" t="s">
        <v>593</v>
      </c>
      <c r="U29" s="2" t="s">
        <v>594</v>
      </c>
      <c r="V29" s="2" t="s">
        <v>595</v>
      </c>
      <c r="W29" s="2" t="s">
        <v>596</v>
      </c>
      <c r="X29" s="2">
        <v>30</v>
      </c>
      <c r="Y29" s="2">
        <v>21</v>
      </c>
      <c r="Z29" s="2">
        <v>38</v>
      </c>
      <c r="AA29" s="2">
        <v>12</v>
      </c>
      <c r="AB29" s="2">
        <v>26</v>
      </c>
      <c r="AC29" s="2" t="s">
        <v>73</v>
      </c>
      <c r="AD29" s="2" t="s">
        <v>55</v>
      </c>
      <c r="AE29" s="119">
        <v>0.2</v>
      </c>
      <c r="AF29" s="119">
        <v>2.8</v>
      </c>
      <c r="AG29" s="119">
        <v>2.6</v>
      </c>
      <c r="AH29" s="119">
        <v>1.1000000000000001</v>
      </c>
      <c r="AI29" s="119">
        <v>0.18</v>
      </c>
      <c r="AJ29" s="119">
        <v>0.4</v>
      </c>
      <c r="AK29" s="113">
        <v>0</v>
      </c>
      <c r="AL29" s="119">
        <v>0.93</v>
      </c>
      <c r="AM29" s="119">
        <v>0.9</v>
      </c>
      <c r="AN29" s="113">
        <v>2.1999999999999999E-2</v>
      </c>
      <c r="AO29" s="119">
        <v>1.5</v>
      </c>
    </row>
    <row r="30" spans="1:41" ht="13.2" customHeight="1" x14ac:dyDescent="0.3">
      <c r="A30" s="3" t="s">
        <v>308</v>
      </c>
      <c r="B30" s="3" t="s">
        <v>597</v>
      </c>
      <c r="C30" s="3" t="s">
        <v>598</v>
      </c>
      <c r="D30" s="3" t="s">
        <v>73</v>
      </c>
      <c r="E30" s="3" t="s">
        <v>73</v>
      </c>
      <c r="F30" s="3" t="s">
        <v>73</v>
      </c>
      <c r="G30" s="3" t="s">
        <v>353</v>
      </c>
      <c r="H30" s="3" t="s">
        <v>599</v>
      </c>
      <c r="I30" s="3" t="s">
        <v>73</v>
      </c>
      <c r="J30" s="3" t="s">
        <v>73</v>
      </c>
      <c r="K30" s="3" t="s">
        <v>73</v>
      </c>
      <c r="L30" s="3" t="s">
        <v>73</v>
      </c>
      <c r="M30" s="110">
        <v>0.48700000000000004</v>
      </c>
      <c r="N30" s="110">
        <v>0.35199999999999998</v>
      </c>
      <c r="O30" s="110">
        <v>0.247</v>
      </c>
      <c r="P30" s="110">
        <v>4.4000000000000004E-2</v>
      </c>
      <c r="Q30" s="110">
        <v>0.34300000000000003</v>
      </c>
      <c r="R30" s="110">
        <v>0.193</v>
      </c>
      <c r="S30" s="3" t="s">
        <v>600</v>
      </c>
      <c r="T30" s="3" t="s">
        <v>601</v>
      </c>
      <c r="U30" s="3" t="s">
        <v>602</v>
      </c>
      <c r="V30" s="3" t="s">
        <v>462</v>
      </c>
      <c r="W30" s="3" t="s">
        <v>603</v>
      </c>
      <c r="X30" s="3">
        <v>100</v>
      </c>
      <c r="Y30" s="3">
        <v>38</v>
      </c>
      <c r="Z30" s="3">
        <v>91</v>
      </c>
      <c r="AA30" s="3">
        <v>90</v>
      </c>
      <c r="AB30" s="3">
        <v>77</v>
      </c>
      <c r="AC30" s="3" t="s">
        <v>604</v>
      </c>
      <c r="AD30" s="3" t="s">
        <v>21</v>
      </c>
      <c r="AE30" s="119">
        <v>7.01</v>
      </c>
      <c r="AF30" s="119">
        <v>26.4</v>
      </c>
      <c r="AG30" s="119">
        <v>6.2</v>
      </c>
      <c r="AH30" s="119">
        <v>8.4</v>
      </c>
      <c r="AI30" s="119">
        <v>7.8</v>
      </c>
      <c r="AJ30" s="119">
        <v>0.9</v>
      </c>
      <c r="AK30" s="113" t="s">
        <v>73</v>
      </c>
      <c r="AL30" s="119">
        <v>0.23</v>
      </c>
      <c r="AM30" s="119">
        <v>1.1100000000000001</v>
      </c>
      <c r="AN30" s="113">
        <v>3.2000000000000001E-2</v>
      </c>
      <c r="AO30" s="119">
        <v>-2.2000000000000002</v>
      </c>
    </row>
    <row r="31" spans="1:41" ht="13.2" customHeight="1" x14ac:dyDescent="0.3">
      <c r="A31" s="2" t="s">
        <v>300</v>
      </c>
      <c r="B31" s="2" t="s">
        <v>605</v>
      </c>
      <c r="C31" s="2" t="s">
        <v>598</v>
      </c>
      <c r="D31" s="2" t="s">
        <v>73</v>
      </c>
      <c r="E31" s="2" t="s">
        <v>73</v>
      </c>
      <c r="F31" s="2" t="s">
        <v>73</v>
      </c>
      <c r="G31" s="2" t="s">
        <v>606</v>
      </c>
      <c r="H31" s="2" t="s">
        <v>607</v>
      </c>
      <c r="I31" s="2" t="s">
        <v>73</v>
      </c>
      <c r="J31" s="2" t="s">
        <v>73</v>
      </c>
      <c r="K31" s="2" t="s">
        <v>73</v>
      </c>
      <c r="L31" s="2" t="s">
        <v>73</v>
      </c>
      <c r="M31" s="109">
        <v>0.78599999999999992</v>
      </c>
      <c r="N31" s="109">
        <v>0.51600000000000001</v>
      </c>
      <c r="O31" s="109">
        <v>0.23600000000000002</v>
      </c>
      <c r="P31" s="109">
        <v>0.13900000000000001</v>
      </c>
      <c r="Q31" s="109">
        <v>0.27500000000000002</v>
      </c>
      <c r="R31" s="109">
        <v>4.0999999999999995E-2</v>
      </c>
      <c r="S31" s="2" t="s">
        <v>357</v>
      </c>
      <c r="T31" s="2" t="s">
        <v>106</v>
      </c>
      <c r="U31" s="2" t="s">
        <v>608</v>
      </c>
      <c r="V31" s="2" t="s">
        <v>609</v>
      </c>
      <c r="W31" s="2" t="s">
        <v>610</v>
      </c>
      <c r="X31" s="2">
        <v>100</v>
      </c>
      <c r="Y31" s="2">
        <v>53</v>
      </c>
      <c r="Z31" s="2">
        <v>77</v>
      </c>
      <c r="AA31" s="2">
        <v>44</v>
      </c>
      <c r="AB31" s="2">
        <v>68</v>
      </c>
      <c r="AC31" s="2" t="s">
        <v>339</v>
      </c>
      <c r="AD31" s="2" t="s">
        <v>21</v>
      </c>
      <c r="AE31" s="119">
        <v>1.06</v>
      </c>
      <c r="AF31" s="119">
        <v>6.8</v>
      </c>
      <c r="AG31" s="119">
        <v>9.1999999999999993</v>
      </c>
      <c r="AH31" s="119">
        <v>1.4</v>
      </c>
      <c r="AI31" s="119">
        <v>1.2</v>
      </c>
      <c r="AJ31" s="119">
        <v>0.2</v>
      </c>
      <c r="AK31" s="113" t="s">
        <v>73</v>
      </c>
      <c r="AL31" s="119">
        <v>1.35</v>
      </c>
      <c r="AM31" s="119">
        <v>1.1299999999999999</v>
      </c>
      <c r="AN31" s="113">
        <v>4.3999999999999997E-2</v>
      </c>
      <c r="AO31" s="119">
        <v>7.8</v>
      </c>
    </row>
    <row r="32" spans="1:41" ht="13.2" customHeight="1" x14ac:dyDescent="0.3">
      <c r="A32" s="3" t="s">
        <v>611</v>
      </c>
      <c r="B32" s="3" t="s">
        <v>612</v>
      </c>
      <c r="C32" s="3" t="s">
        <v>598</v>
      </c>
      <c r="D32" s="3" t="s">
        <v>73</v>
      </c>
      <c r="E32" s="3" t="s">
        <v>73</v>
      </c>
      <c r="F32" s="3" t="s">
        <v>73</v>
      </c>
      <c r="G32" s="3" t="s">
        <v>613</v>
      </c>
      <c r="H32" s="3" t="s">
        <v>614</v>
      </c>
      <c r="I32" s="3" t="s">
        <v>73</v>
      </c>
      <c r="J32" s="3" t="s">
        <v>73</v>
      </c>
      <c r="K32" s="3" t="s">
        <v>73</v>
      </c>
      <c r="L32" s="3" t="s">
        <v>73</v>
      </c>
      <c r="M32" s="110">
        <v>0.40600000000000003</v>
      </c>
      <c r="N32" s="110">
        <v>0.41299999999999998</v>
      </c>
      <c r="O32" s="110">
        <v>0.29299999999999998</v>
      </c>
      <c r="P32" s="110">
        <v>0.24100000000000002</v>
      </c>
      <c r="Q32" s="110">
        <v>0.16</v>
      </c>
      <c r="R32" s="110">
        <v>0.115</v>
      </c>
      <c r="S32" s="3" t="s">
        <v>616</v>
      </c>
      <c r="T32" s="3" t="s">
        <v>617</v>
      </c>
      <c r="U32" s="3" t="s">
        <v>618</v>
      </c>
      <c r="V32" s="3" t="s">
        <v>580</v>
      </c>
      <c r="W32" s="3" t="s">
        <v>615</v>
      </c>
      <c r="X32" s="3">
        <v>20</v>
      </c>
      <c r="Y32" s="3">
        <v>69</v>
      </c>
      <c r="Z32" s="3">
        <v>84</v>
      </c>
      <c r="AA32" s="3">
        <v>64</v>
      </c>
      <c r="AB32" s="3">
        <v>63</v>
      </c>
      <c r="AC32" s="3" t="s">
        <v>371</v>
      </c>
      <c r="AD32" s="3" t="s">
        <v>21</v>
      </c>
      <c r="AE32" s="119">
        <v>1.52</v>
      </c>
      <c r="AF32" s="119">
        <v>9.8000000000000007</v>
      </c>
      <c r="AG32" s="119">
        <v>2.1</v>
      </c>
      <c r="AH32" s="119">
        <v>3.2</v>
      </c>
      <c r="AI32" s="119">
        <v>1.4</v>
      </c>
      <c r="AJ32" s="119">
        <v>1.8</v>
      </c>
      <c r="AK32" s="113" t="s">
        <v>73</v>
      </c>
      <c r="AL32" s="119">
        <v>0.21</v>
      </c>
      <c r="AM32" s="119">
        <v>0.92</v>
      </c>
      <c r="AN32" s="113">
        <v>0.34599999999999997</v>
      </c>
      <c r="AO32" s="119">
        <v>-1.1000000000000001</v>
      </c>
    </row>
    <row r="33" spans="1:41" ht="13.2" customHeight="1" x14ac:dyDescent="0.3">
      <c r="A33" s="2" t="s">
        <v>280</v>
      </c>
      <c r="B33" s="2" t="s">
        <v>619</v>
      </c>
      <c r="C33" s="2" t="s">
        <v>598</v>
      </c>
      <c r="D33" s="2" t="s">
        <v>73</v>
      </c>
      <c r="E33" s="2" t="s">
        <v>73</v>
      </c>
      <c r="F33" s="2" t="s">
        <v>73</v>
      </c>
      <c r="G33" s="2" t="s">
        <v>620</v>
      </c>
      <c r="H33" s="2" t="s">
        <v>621</v>
      </c>
      <c r="I33" s="2" t="s">
        <v>73</v>
      </c>
      <c r="J33" s="2" t="s">
        <v>73</v>
      </c>
      <c r="K33" s="2" t="s">
        <v>73</v>
      </c>
      <c r="L33" s="2" t="s">
        <v>73</v>
      </c>
      <c r="M33" s="109">
        <v>0.72900000000000009</v>
      </c>
      <c r="N33" s="109">
        <v>0.32800000000000001</v>
      </c>
      <c r="O33" s="109">
        <v>0.19500000000000001</v>
      </c>
      <c r="P33" s="109">
        <v>7.6999999999999999E-2</v>
      </c>
      <c r="Q33" s="109">
        <v>0.161</v>
      </c>
      <c r="R33" s="109">
        <v>0.10199999999999999</v>
      </c>
      <c r="S33" s="2" t="s">
        <v>622</v>
      </c>
      <c r="T33" s="2" t="s">
        <v>439</v>
      </c>
      <c r="U33" s="2" t="s">
        <v>623</v>
      </c>
      <c r="V33" s="2" t="s">
        <v>624</v>
      </c>
      <c r="W33" s="2" t="s">
        <v>625</v>
      </c>
      <c r="X33" s="2">
        <v>100</v>
      </c>
      <c r="Y33" s="2">
        <v>93</v>
      </c>
      <c r="Z33" s="2">
        <v>81</v>
      </c>
      <c r="AA33" s="2">
        <v>8</v>
      </c>
      <c r="AB33" s="2">
        <v>74</v>
      </c>
      <c r="AC33" s="2" t="s">
        <v>473</v>
      </c>
      <c r="AD33" s="2" t="s">
        <v>21</v>
      </c>
      <c r="AE33" s="119">
        <v>7.18</v>
      </c>
      <c r="AF33" s="119">
        <v>62.4</v>
      </c>
      <c r="AG33" s="119">
        <v>12.8</v>
      </c>
      <c r="AH33" s="119">
        <v>9.6</v>
      </c>
      <c r="AI33" s="119">
        <v>7.8</v>
      </c>
      <c r="AJ33" s="119">
        <v>1.2</v>
      </c>
      <c r="AK33" s="113" t="s">
        <v>73</v>
      </c>
      <c r="AL33" s="119">
        <v>0.21</v>
      </c>
      <c r="AM33" s="119">
        <v>1.0900000000000001</v>
      </c>
      <c r="AN33" s="113">
        <v>3.3000000000000002E-2</v>
      </c>
      <c r="AO33" s="119">
        <v>3.2</v>
      </c>
    </row>
    <row r="34" spans="1:41" ht="13.2" customHeight="1" x14ac:dyDescent="0.3">
      <c r="A34" s="3" t="s">
        <v>307</v>
      </c>
      <c r="B34" s="3" t="s">
        <v>626</v>
      </c>
      <c r="C34" s="3" t="s">
        <v>598</v>
      </c>
      <c r="D34" s="3" t="s">
        <v>73</v>
      </c>
      <c r="E34" s="3" t="s">
        <v>73</v>
      </c>
      <c r="F34" s="3" t="s">
        <v>73</v>
      </c>
      <c r="G34" s="3" t="s">
        <v>344</v>
      </c>
      <c r="H34" s="3" t="s">
        <v>627</v>
      </c>
      <c r="I34" s="3" t="s">
        <v>73</v>
      </c>
      <c r="J34" s="3" t="s">
        <v>73</v>
      </c>
      <c r="K34" s="3" t="s">
        <v>73</v>
      </c>
      <c r="L34" s="3" t="s">
        <v>73</v>
      </c>
      <c r="M34" s="110">
        <v>0.42</v>
      </c>
      <c r="N34" s="110">
        <v>8.1000000000000003E-2</v>
      </c>
      <c r="O34" s="110">
        <v>2.6000000000000002E-2</v>
      </c>
      <c r="P34" s="110">
        <v>0.188</v>
      </c>
      <c r="Q34" s="110">
        <v>4.4999999999999998E-2</v>
      </c>
      <c r="R34" s="110">
        <v>2.1000000000000001E-2</v>
      </c>
      <c r="S34" s="3" t="s">
        <v>628</v>
      </c>
      <c r="T34" s="3" t="s">
        <v>593</v>
      </c>
      <c r="U34" s="3" t="s">
        <v>629</v>
      </c>
      <c r="V34" s="3" t="s">
        <v>630</v>
      </c>
      <c r="W34" s="3" t="s">
        <v>631</v>
      </c>
      <c r="X34" s="3">
        <v>100</v>
      </c>
      <c r="Y34" s="3">
        <v>59</v>
      </c>
      <c r="Z34" s="3">
        <v>53</v>
      </c>
      <c r="AA34" s="3">
        <v>98</v>
      </c>
      <c r="AB34" s="3">
        <v>73</v>
      </c>
      <c r="AC34" s="3" t="s">
        <v>632</v>
      </c>
      <c r="AD34" s="3" t="s">
        <v>21</v>
      </c>
      <c r="AE34" s="119">
        <v>0.12</v>
      </c>
      <c r="AF34" s="119">
        <v>3.8</v>
      </c>
      <c r="AG34" s="119">
        <v>1.4</v>
      </c>
      <c r="AH34" s="119">
        <v>1.2</v>
      </c>
      <c r="AI34" s="119">
        <v>0.11</v>
      </c>
      <c r="AJ34" s="119">
        <v>0.15</v>
      </c>
      <c r="AK34" s="113" t="s">
        <v>73</v>
      </c>
      <c r="AL34" s="119">
        <v>0.37</v>
      </c>
      <c r="AM34" s="119">
        <v>0.92</v>
      </c>
      <c r="AN34" s="113">
        <v>3.1E-2</v>
      </c>
      <c r="AO34" s="119">
        <v>0.2</v>
      </c>
    </row>
    <row r="35" spans="1:41" ht="13.2" customHeight="1" x14ac:dyDescent="0.3">
      <c r="A35" s="2" t="s">
        <v>295</v>
      </c>
      <c r="B35" s="2" t="s">
        <v>633</v>
      </c>
      <c r="C35" s="2" t="s">
        <v>598</v>
      </c>
      <c r="D35" s="2" t="s">
        <v>73</v>
      </c>
      <c r="E35" s="2" t="s">
        <v>73</v>
      </c>
      <c r="F35" s="2" t="s">
        <v>73</v>
      </c>
      <c r="G35" s="2" t="s">
        <v>634</v>
      </c>
      <c r="H35" s="2" t="s">
        <v>635</v>
      </c>
      <c r="I35" s="2" t="s">
        <v>73</v>
      </c>
      <c r="J35" s="2" t="s">
        <v>73</v>
      </c>
      <c r="K35" s="2" t="s">
        <v>73</v>
      </c>
      <c r="L35" s="2" t="s">
        <v>73</v>
      </c>
      <c r="M35" s="109">
        <v>0.80500000000000005</v>
      </c>
      <c r="N35" s="109">
        <v>0.36099999999999999</v>
      </c>
      <c r="O35" s="109">
        <v>0.27300000000000002</v>
      </c>
      <c r="P35" s="109">
        <v>0.14199999999999999</v>
      </c>
      <c r="Q35" s="109">
        <v>1.498</v>
      </c>
      <c r="R35" s="109">
        <v>0.17800000000000002</v>
      </c>
      <c r="S35" s="2" t="s">
        <v>636</v>
      </c>
      <c r="T35" s="2" t="s">
        <v>637</v>
      </c>
      <c r="U35" s="2" t="s">
        <v>638</v>
      </c>
      <c r="V35" s="2" t="s">
        <v>639</v>
      </c>
      <c r="W35" s="2" t="s">
        <v>640</v>
      </c>
      <c r="X35" s="2">
        <v>100</v>
      </c>
      <c r="Y35" s="2">
        <v>56</v>
      </c>
      <c r="Z35" s="2">
        <v>91</v>
      </c>
      <c r="AA35" s="2">
        <v>30</v>
      </c>
      <c r="AB35" s="2">
        <v>70</v>
      </c>
      <c r="AC35" s="2" t="s">
        <v>582</v>
      </c>
      <c r="AD35" s="2" t="s">
        <v>21</v>
      </c>
      <c r="AE35" s="119">
        <v>1.86</v>
      </c>
      <c r="AF35" s="119">
        <v>4.2</v>
      </c>
      <c r="AG35" s="119">
        <v>2.8</v>
      </c>
      <c r="AH35" s="119">
        <v>2.1</v>
      </c>
      <c r="AI35" s="119">
        <v>2.1</v>
      </c>
      <c r="AJ35" s="119">
        <v>0.18</v>
      </c>
      <c r="AK35" s="113" t="s">
        <v>73</v>
      </c>
      <c r="AL35" s="119">
        <v>0.67</v>
      </c>
      <c r="AM35" s="119">
        <v>1.1299999999999999</v>
      </c>
      <c r="AN35" s="113">
        <v>2.5999999999999999E-2</v>
      </c>
      <c r="AO35" s="119">
        <v>0.7</v>
      </c>
    </row>
    <row r="36" spans="1:41" ht="13.2" customHeight="1" x14ac:dyDescent="0.3">
      <c r="A36" s="3" t="s">
        <v>641</v>
      </c>
      <c r="B36" s="3" t="s">
        <v>642</v>
      </c>
      <c r="C36" s="3" t="s">
        <v>598</v>
      </c>
      <c r="D36" s="3" t="s">
        <v>73</v>
      </c>
      <c r="E36" s="3" t="s">
        <v>73</v>
      </c>
      <c r="F36" s="3" t="s">
        <v>73</v>
      </c>
      <c r="G36" s="3" t="s">
        <v>478</v>
      </c>
      <c r="H36" s="3" t="s">
        <v>643</v>
      </c>
      <c r="I36" s="3" t="s">
        <v>73</v>
      </c>
      <c r="J36" s="3" t="s">
        <v>73</v>
      </c>
      <c r="K36" s="3" t="s">
        <v>73</v>
      </c>
      <c r="L36" s="3" t="s">
        <v>73</v>
      </c>
      <c r="M36" s="110">
        <v>0.51700000000000002</v>
      </c>
      <c r="N36" s="110">
        <v>0.308</v>
      </c>
      <c r="O36" s="110">
        <v>0.184</v>
      </c>
      <c r="P36" s="110">
        <v>0.08</v>
      </c>
      <c r="Q36" s="110">
        <v>0.89400000000000002</v>
      </c>
      <c r="R36" s="110">
        <v>0.111</v>
      </c>
      <c r="S36" s="3" t="s">
        <v>644</v>
      </c>
      <c r="T36" s="3" t="s">
        <v>240</v>
      </c>
      <c r="U36" s="3" t="s">
        <v>645</v>
      </c>
      <c r="V36" s="3" t="s">
        <v>646</v>
      </c>
      <c r="W36" s="3" t="s">
        <v>591</v>
      </c>
      <c r="X36" s="3">
        <v>100</v>
      </c>
      <c r="Y36" s="3">
        <v>74</v>
      </c>
      <c r="Z36" s="3">
        <v>78</v>
      </c>
      <c r="AA36" s="3">
        <v>57</v>
      </c>
      <c r="AB36" s="3">
        <v>77</v>
      </c>
      <c r="AC36" s="3" t="s">
        <v>400</v>
      </c>
      <c r="AD36" s="3" t="s">
        <v>21</v>
      </c>
      <c r="AE36" s="119">
        <v>2.15</v>
      </c>
      <c r="AF36" s="119">
        <v>3.6</v>
      </c>
      <c r="AG36" s="119">
        <v>6.8</v>
      </c>
      <c r="AH36" s="119">
        <v>1.8</v>
      </c>
      <c r="AI36" s="119">
        <v>2.2999999999999998</v>
      </c>
      <c r="AJ36" s="119">
        <v>0.32</v>
      </c>
      <c r="AK36" s="113" t="s">
        <v>73</v>
      </c>
      <c r="AL36" s="119">
        <v>1.89</v>
      </c>
      <c r="AM36" s="119">
        <v>1.07</v>
      </c>
      <c r="AN36" s="113">
        <v>2.7E-2</v>
      </c>
      <c r="AO36" s="119">
        <v>5</v>
      </c>
    </row>
    <row r="37" spans="1:41" ht="13.2" customHeight="1" x14ac:dyDescent="0.3">
      <c r="A37" s="2" t="s">
        <v>291</v>
      </c>
      <c r="B37" s="2" t="s">
        <v>647</v>
      </c>
      <c r="C37" s="2" t="s">
        <v>598</v>
      </c>
      <c r="D37" s="2" t="s">
        <v>73</v>
      </c>
      <c r="E37" s="2" t="s">
        <v>73</v>
      </c>
      <c r="F37" s="2" t="s">
        <v>73</v>
      </c>
      <c r="G37" s="2" t="s">
        <v>648</v>
      </c>
      <c r="H37" s="2" t="s">
        <v>386</v>
      </c>
      <c r="I37" s="2" t="s">
        <v>73</v>
      </c>
      <c r="J37" s="2" t="s">
        <v>73</v>
      </c>
      <c r="K37" s="2" t="s">
        <v>73</v>
      </c>
      <c r="L37" s="2" t="s">
        <v>73</v>
      </c>
      <c r="M37" s="109">
        <v>0.89300000000000002</v>
      </c>
      <c r="N37" s="109">
        <v>0.41299999999999998</v>
      </c>
      <c r="O37" s="109">
        <v>0.3</v>
      </c>
      <c r="P37" s="109">
        <v>0.105</v>
      </c>
      <c r="Q37" s="109">
        <v>0.61299999999999999</v>
      </c>
      <c r="R37" s="109">
        <v>0.24199999999999999</v>
      </c>
      <c r="S37" s="2" t="s">
        <v>649</v>
      </c>
      <c r="T37" s="2" t="s">
        <v>650</v>
      </c>
      <c r="U37" s="2" t="s">
        <v>651</v>
      </c>
      <c r="V37" s="2" t="s">
        <v>398</v>
      </c>
      <c r="W37" s="2" t="s">
        <v>652</v>
      </c>
      <c r="X37" s="2">
        <v>100</v>
      </c>
      <c r="Y37" s="2">
        <v>65</v>
      </c>
      <c r="Z37" s="2">
        <v>91</v>
      </c>
      <c r="AA37" s="2">
        <v>12</v>
      </c>
      <c r="AB37" s="2">
        <v>69</v>
      </c>
      <c r="AC37" s="2" t="s">
        <v>653</v>
      </c>
      <c r="AD37" s="2" t="s">
        <v>21</v>
      </c>
      <c r="AE37" s="119">
        <v>7.14</v>
      </c>
      <c r="AF37" s="119">
        <v>14.8</v>
      </c>
      <c r="AG37" s="119">
        <v>5.4</v>
      </c>
      <c r="AH37" s="119">
        <v>7.2</v>
      </c>
      <c r="AI37" s="119">
        <v>7.8</v>
      </c>
      <c r="AJ37" s="119">
        <v>0.48</v>
      </c>
      <c r="AK37" s="113" t="s">
        <v>73</v>
      </c>
      <c r="AL37" s="119">
        <v>0.36</v>
      </c>
      <c r="AM37" s="119">
        <v>1.0900000000000001</v>
      </c>
      <c r="AN37" s="113">
        <v>0.02</v>
      </c>
      <c r="AO37" s="119">
        <v>-1.8</v>
      </c>
    </row>
    <row r="38" spans="1:41" ht="13.2" customHeight="1" x14ac:dyDescent="0.3">
      <c r="A38" s="3" t="s">
        <v>288</v>
      </c>
      <c r="B38" s="3" t="s">
        <v>654</v>
      </c>
      <c r="C38" s="3" t="s">
        <v>598</v>
      </c>
      <c r="D38" s="3" t="s">
        <v>73</v>
      </c>
      <c r="E38" s="3" t="s">
        <v>73</v>
      </c>
      <c r="F38" s="3" t="s">
        <v>73</v>
      </c>
      <c r="G38" s="3" t="s">
        <v>655</v>
      </c>
      <c r="H38" s="3" t="s">
        <v>656</v>
      </c>
      <c r="I38" s="3" t="s">
        <v>73</v>
      </c>
      <c r="J38" s="3" t="s">
        <v>73</v>
      </c>
      <c r="K38" s="3" t="s">
        <v>73</v>
      </c>
      <c r="L38" s="3" t="s">
        <v>73</v>
      </c>
      <c r="M38" s="110">
        <v>0.88200000000000001</v>
      </c>
      <c r="N38" s="110">
        <v>0.71</v>
      </c>
      <c r="O38" s="110">
        <v>0.498</v>
      </c>
      <c r="P38" s="110">
        <v>6.4000000000000001E-2</v>
      </c>
      <c r="Q38" s="110">
        <v>-0.38300000000000001</v>
      </c>
      <c r="R38" s="110">
        <v>0.623</v>
      </c>
      <c r="S38" s="3" t="s">
        <v>657</v>
      </c>
      <c r="T38" s="3" t="s">
        <v>379</v>
      </c>
      <c r="U38" s="3" t="s">
        <v>658</v>
      </c>
      <c r="V38" s="3" t="s">
        <v>646</v>
      </c>
      <c r="W38" s="3" t="s">
        <v>659</v>
      </c>
      <c r="X38" s="3">
        <v>100</v>
      </c>
      <c r="Y38" s="3">
        <v>28</v>
      </c>
      <c r="Z38" s="3">
        <v>72</v>
      </c>
      <c r="AA38" s="3">
        <v>48</v>
      </c>
      <c r="AB38" s="3">
        <v>60</v>
      </c>
      <c r="AC38" s="3" t="s">
        <v>473</v>
      </c>
      <c r="AD38" s="3" t="s">
        <v>21</v>
      </c>
      <c r="AE38" s="119">
        <v>0.85</v>
      </c>
      <c r="AF38" s="119">
        <v>-1.2</v>
      </c>
      <c r="AG38" s="119">
        <v>1.9</v>
      </c>
      <c r="AH38" s="119">
        <v>0.9</v>
      </c>
      <c r="AI38" s="119">
        <v>0.92</v>
      </c>
      <c r="AJ38" s="119">
        <v>0.04</v>
      </c>
      <c r="AK38" s="113" t="s">
        <v>73</v>
      </c>
      <c r="AL38" s="119">
        <v>1.58</v>
      </c>
      <c r="AM38" s="119">
        <v>1.08</v>
      </c>
      <c r="AN38" s="113">
        <v>2.4E-2</v>
      </c>
      <c r="AO38" s="119">
        <v>1</v>
      </c>
    </row>
    <row r="39" spans="1:41" ht="13.2" customHeight="1" x14ac:dyDescent="0.3">
      <c r="A39" s="2" t="s">
        <v>301</v>
      </c>
      <c r="B39" s="2" t="s">
        <v>660</v>
      </c>
      <c r="C39" s="2" t="s">
        <v>598</v>
      </c>
      <c r="D39" s="2" t="s">
        <v>73</v>
      </c>
      <c r="E39" s="2" t="s">
        <v>73</v>
      </c>
      <c r="F39" s="2" t="s">
        <v>73</v>
      </c>
      <c r="G39" s="2" t="s">
        <v>661</v>
      </c>
      <c r="H39" s="2" t="s">
        <v>662</v>
      </c>
      <c r="I39" s="2" t="s">
        <v>73</v>
      </c>
      <c r="J39" s="2" t="s">
        <v>73</v>
      </c>
      <c r="K39" s="2" t="s">
        <v>73</v>
      </c>
      <c r="L39" s="2" t="s">
        <v>73</v>
      </c>
      <c r="M39" s="109">
        <v>0.79599999999999993</v>
      </c>
      <c r="N39" s="109">
        <v>0.313</v>
      </c>
      <c r="O39" s="109">
        <v>0.20499999999999999</v>
      </c>
      <c r="P39" s="109">
        <v>0.156</v>
      </c>
      <c r="Q39" s="109">
        <v>0.19600000000000001</v>
      </c>
      <c r="R39" s="109">
        <v>0.105</v>
      </c>
      <c r="S39" s="2" t="s">
        <v>470</v>
      </c>
      <c r="T39" s="2" t="s">
        <v>663</v>
      </c>
      <c r="U39" s="2" t="s">
        <v>664</v>
      </c>
      <c r="V39" s="2" t="s">
        <v>580</v>
      </c>
      <c r="W39" s="2" t="s">
        <v>665</v>
      </c>
      <c r="X39" s="2">
        <v>100</v>
      </c>
      <c r="Y39" s="2">
        <v>72</v>
      </c>
      <c r="Z39" s="2">
        <v>78</v>
      </c>
      <c r="AA39" s="2">
        <v>10</v>
      </c>
      <c r="AB39" s="2">
        <v>67</v>
      </c>
      <c r="AC39" s="2" t="s">
        <v>666</v>
      </c>
      <c r="AD39" s="2" t="s">
        <v>21</v>
      </c>
      <c r="AE39" s="119">
        <v>3.85</v>
      </c>
      <c r="AF39" s="119">
        <v>22.4</v>
      </c>
      <c r="AG39" s="119">
        <v>6.8</v>
      </c>
      <c r="AH39" s="119">
        <v>4.2</v>
      </c>
      <c r="AI39" s="119">
        <v>4.0999999999999996</v>
      </c>
      <c r="AJ39" s="119">
        <v>0.48</v>
      </c>
      <c r="AK39" s="113" t="s">
        <v>73</v>
      </c>
      <c r="AL39" s="119">
        <v>0.3</v>
      </c>
      <c r="AM39" s="119">
        <v>1.06</v>
      </c>
      <c r="AN39" s="113">
        <v>2.5999999999999999E-2</v>
      </c>
      <c r="AO39" s="119">
        <v>2.6</v>
      </c>
    </row>
    <row r="40" spans="1:41" ht="13.2" customHeight="1" x14ac:dyDescent="0.3">
      <c r="A40" s="3" t="s">
        <v>667</v>
      </c>
      <c r="B40" s="3" t="s">
        <v>668</v>
      </c>
      <c r="C40" s="3" t="s">
        <v>598</v>
      </c>
      <c r="D40" s="3" t="s">
        <v>73</v>
      </c>
      <c r="E40" s="3" t="s">
        <v>73</v>
      </c>
      <c r="F40" s="3" t="s">
        <v>73</v>
      </c>
      <c r="G40" s="3" t="s">
        <v>669</v>
      </c>
      <c r="H40" s="3" t="s">
        <v>670</v>
      </c>
      <c r="I40" s="3" t="s">
        <v>73</v>
      </c>
      <c r="J40" s="3" t="s">
        <v>73</v>
      </c>
      <c r="K40" s="3" t="s">
        <v>73</v>
      </c>
      <c r="L40" s="3" t="s">
        <v>73</v>
      </c>
      <c r="M40" s="110">
        <v>0.70499999999999996</v>
      </c>
      <c r="N40" s="110">
        <v>0.41699999999999998</v>
      </c>
      <c r="O40" s="110">
        <v>0.217</v>
      </c>
      <c r="P40" s="110">
        <v>8.4000000000000005E-2</v>
      </c>
      <c r="Q40" s="110">
        <v>0.60799999999999998</v>
      </c>
      <c r="R40" s="110">
        <v>7.400000000000001E-2</v>
      </c>
      <c r="S40" s="3" t="s">
        <v>671</v>
      </c>
      <c r="T40" s="3" t="s">
        <v>151</v>
      </c>
      <c r="U40" s="3" t="s">
        <v>672</v>
      </c>
      <c r="V40" s="3" t="s">
        <v>417</v>
      </c>
      <c r="W40" s="3" t="s">
        <v>673</v>
      </c>
      <c r="X40" s="3">
        <v>100</v>
      </c>
      <c r="Y40" s="3">
        <v>44</v>
      </c>
      <c r="Z40" s="3">
        <v>69</v>
      </c>
      <c r="AA40" s="3">
        <v>42</v>
      </c>
      <c r="AB40" s="3">
        <v>62</v>
      </c>
      <c r="AC40" s="3" t="s">
        <v>674</v>
      </c>
      <c r="AD40" s="3" t="s">
        <v>55</v>
      </c>
      <c r="AE40" s="119">
        <v>12.45</v>
      </c>
      <c r="AF40" s="119">
        <v>18.600000000000001</v>
      </c>
      <c r="AG40" s="119">
        <v>88.2</v>
      </c>
      <c r="AH40" s="119">
        <v>9.8000000000000007</v>
      </c>
      <c r="AI40" s="119">
        <v>14.2</v>
      </c>
      <c r="AJ40" s="119">
        <v>1.2</v>
      </c>
      <c r="AK40" s="113" t="s">
        <v>73</v>
      </c>
      <c r="AL40" s="119">
        <v>4.74</v>
      </c>
      <c r="AM40" s="119">
        <v>1.1399999999999999</v>
      </c>
      <c r="AN40" s="113">
        <v>2.1000000000000001E-2</v>
      </c>
      <c r="AO40" s="119">
        <v>78.400000000000006</v>
      </c>
    </row>
    <row r="41" spans="1:41" ht="13.2" customHeight="1" x14ac:dyDescent="0.3">
      <c r="A41" s="2" t="s">
        <v>283</v>
      </c>
      <c r="B41" s="2" t="s">
        <v>675</v>
      </c>
      <c r="C41" s="2" t="s">
        <v>598</v>
      </c>
      <c r="D41" s="2" t="s">
        <v>73</v>
      </c>
      <c r="E41" s="2" t="s">
        <v>73</v>
      </c>
      <c r="F41" s="2" t="s">
        <v>73</v>
      </c>
      <c r="G41" s="2" t="s">
        <v>331</v>
      </c>
      <c r="H41" s="2" t="s">
        <v>676</v>
      </c>
      <c r="I41" s="2" t="s">
        <v>73</v>
      </c>
      <c r="J41" s="2" t="s">
        <v>73</v>
      </c>
      <c r="K41" s="2" t="s">
        <v>73</v>
      </c>
      <c r="L41" s="2" t="s">
        <v>73</v>
      </c>
      <c r="M41" s="109">
        <v>0.77500000000000002</v>
      </c>
      <c r="N41" s="109">
        <v>0.22800000000000001</v>
      </c>
      <c r="O41" s="109">
        <v>0.13200000000000001</v>
      </c>
      <c r="P41" s="109">
        <v>0.20899999999999999</v>
      </c>
      <c r="Q41" s="109">
        <v>0.13500000000000001</v>
      </c>
      <c r="R41" s="109">
        <v>6.7000000000000004E-2</v>
      </c>
      <c r="S41" s="2" t="s">
        <v>649</v>
      </c>
      <c r="T41" s="2" t="s">
        <v>677</v>
      </c>
      <c r="U41" s="2" t="s">
        <v>678</v>
      </c>
      <c r="V41" s="2" t="s">
        <v>679</v>
      </c>
      <c r="W41" s="2" t="s">
        <v>680</v>
      </c>
      <c r="X41" s="2">
        <v>100</v>
      </c>
      <c r="Y41" s="2">
        <v>80</v>
      </c>
      <c r="Z41" s="2">
        <v>71</v>
      </c>
      <c r="AA41" s="2">
        <v>5</v>
      </c>
      <c r="AB41" s="2">
        <v>66</v>
      </c>
      <c r="AC41" s="2" t="s">
        <v>681</v>
      </c>
      <c r="AD41" s="2" t="s">
        <v>55</v>
      </c>
      <c r="AE41" s="119">
        <v>1.76</v>
      </c>
      <c r="AF41" s="119">
        <v>18.399999999999999</v>
      </c>
      <c r="AG41" s="119">
        <v>1.8</v>
      </c>
      <c r="AH41" s="119">
        <v>3.8</v>
      </c>
      <c r="AI41" s="119">
        <v>2.1</v>
      </c>
      <c r="AJ41" s="119">
        <v>0.42</v>
      </c>
      <c r="AK41" s="113" t="s">
        <v>73</v>
      </c>
      <c r="AL41" s="119">
        <v>0.1</v>
      </c>
      <c r="AM41" s="119">
        <v>1.19</v>
      </c>
      <c r="AN41" s="113">
        <v>3.2000000000000001E-2</v>
      </c>
      <c r="AO41" s="119">
        <v>-2</v>
      </c>
    </row>
    <row r="42" spans="1:41" ht="13.2" customHeight="1" x14ac:dyDescent="0.3">
      <c r="A42" s="3" t="s">
        <v>281</v>
      </c>
      <c r="B42" s="3" t="s">
        <v>682</v>
      </c>
      <c r="C42" s="3" t="s">
        <v>598</v>
      </c>
      <c r="D42" s="3" t="s">
        <v>73</v>
      </c>
      <c r="E42" s="3" t="s">
        <v>73</v>
      </c>
      <c r="F42" s="3" t="s">
        <v>73</v>
      </c>
      <c r="G42" s="3" t="s">
        <v>683</v>
      </c>
      <c r="H42" s="3" t="s">
        <v>684</v>
      </c>
      <c r="I42" s="3" t="s">
        <v>73</v>
      </c>
      <c r="J42" s="3" t="s">
        <v>73</v>
      </c>
      <c r="K42" s="3" t="s">
        <v>73</v>
      </c>
      <c r="L42" s="3" t="s">
        <v>73</v>
      </c>
      <c r="M42" s="110">
        <v>0.42799999999999999</v>
      </c>
      <c r="N42" s="110">
        <v>0.14099999999999999</v>
      </c>
      <c r="O42" s="110">
        <v>5.4000000000000006E-2</v>
      </c>
      <c r="P42" s="110">
        <v>3.0000000000000001E-3</v>
      </c>
      <c r="Q42" s="110">
        <v>5.8999999999999997E-2</v>
      </c>
      <c r="R42" s="110">
        <v>3.3000000000000002E-2</v>
      </c>
      <c r="S42" s="3" t="s">
        <v>685</v>
      </c>
      <c r="T42" s="3" t="s">
        <v>686</v>
      </c>
      <c r="U42" s="3" t="s">
        <v>687</v>
      </c>
      <c r="V42" s="3" t="s">
        <v>688</v>
      </c>
      <c r="W42" s="3" t="s">
        <v>503</v>
      </c>
      <c r="X42" s="3">
        <v>100</v>
      </c>
      <c r="Y42" s="3">
        <v>87</v>
      </c>
      <c r="Z42" s="3">
        <v>47</v>
      </c>
      <c r="AA42" s="3">
        <v>47</v>
      </c>
      <c r="AB42" s="3">
        <v>70</v>
      </c>
      <c r="AC42" s="3" t="s">
        <v>400</v>
      </c>
      <c r="AD42" s="3" t="s">
        <v>55</v>
      </c>
      <c r="AE42" s="119">
        <v>1.31</v>
      </c>
      <c r="AF42" s="119">
        <v>8.6</v>
      </c>
      <c r="AG42" s="119">
        <v>6.2</v>
      </c>
      <c r="AH42" s="119">
        <v>5.8</v>
      </c>
      <c r="AI42" s="119">
        <v>1.1000000000000001</v>
      </c>
      <c r="AJ42" s="119">
        <v>0.48</v>
      </c>
      <c r="AK42" s="113" t="s">
        <v>73</v>
      </c>
      <c r="AL42" s="119">
        <v>0.72</v>
      </c>
      <c r="AM42" s="119">
        <v>0.84</v>
      </c>
      <c r="AN42" s="113">
        <v>0.02</v>
      </c>
      <c r="AO42" s="119">
        <v>0.4</v>
      </c>
    </row>
    <row r="43" spans="1:41" x14ac:dyDescent="0.3">
      <c r="A43" t="s">
        <v>689</v>
      </c>
      <c r="B43" t="s">
        <v>690</v>
      </c>
      <c r="C43" t="s">
        <v>598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  <c r="I43" t="s">
        <v>73</v>
      </c>
      <c r="J43" t="s">
        <v>73</v>
      </c>
      <c r="K43" t="s">
        <v>73</v>
      </c>
      <c r="L43" t="s">
        <v>73</v>
      </c>
      <c r="M43" s="113">
        <v>0.80300000000000005</v>
      </c>
      <c r="N43" s="113">
        <v>0.51500000000000001</v>
      </c>
      <c r="O43" s="114" t="s">
        <v>73</v>
      </c>
      <c r="P43" s="113">
        <v>3.5999999999999997E-2</v>
      </c>
      <c r="Q43" s="114" t="s">
        <v>73</v>
      </c>
      <c r="R43" s="114" t="s">
        <v>73</v>
      </c>
      <c r="S43" t="s">
        <v>73</v>
      </c>
      <c r="T43" t="s">
        <v>73</v>
      </c>
      <c r="U43" t="s">
        <v>73</v>
      </c>
      <c r="V43" t="s">
        <v>73</v>
      </c>
      <c r="W43" t="s">
        <v>73</v>
      </c>
      <c r="X43" t="s">
        <v>73</v>
      </c>
      <c r="Y43">
        <v>62</v>
      </c>
      <c r="Z43">
        <v>63</v>
      </c>
      <c r="AA43">
        <v>20</v>
      </c>
      <c r="AB43">
        <v>52</v>
      </c>
      <c r="AC43" t="s">
        <v>73</v>
      </c>
      <c r="AD43" t="s">
        <v>55</v>
      </c>
      <c r="AE43" s="119">
        <v>0.48</v>
      </c>
      <c r="AF43" s="119">
        <v>1.8</v>
      </c>
      <c r="AG43" s="119">
        <v>6.4</v>
      </c>
      <c r="AH43" s="119">
        <v>1.2</v>
      </c>
      <c r="AI43" s="119">
        <v>0.52</v>
      </c>
      <c r="AJ43" s="119">
        <v>0.08</v>
      </c>
      <c r="AK43" s="113" t="s">
        <v>73</v>
      </c>
      <c r="AL43" s="119">
        <v>3.56</v>
      </c>
      <c r="AM43" s="119">
        <v>1.08</v>
      </c>
      <c r="AN43" s="113" t="s">
        <v>73</v>
      </c>
      <c r="AO43" s="119">
        <v>5.2</v>
      </c>
    </row>
    <row r="44" spans="1:41" x14ac:dyDescent="0.3">
      <c r="A44" t="s">
        <v>296</v>
      </c>
      <c r="B44" t="s">
        <v>691</v>
      </c>
      <c r="C44" t="s">
        <v>598</v>
      </c>
      <c r="D44" t="s">
        <v>73</v>
      </c>
      <c r="E44" t="s">
        <v>73</v>
      </c>
      <c r="F44" t="s">
        <v>73</v>
      </c>
      <c r="G44" t="s">
        <v>73</v>
      </c>
      <c r="H44" t="s">
        <v>73</v>
      </c>
      <c r="I44" t="s">
        <v>73</v>
      </c>
      <c r="J44" t="s">
        <v>73</v>
      </c>
      <c r="K44" t="s">
        <v>73</v>
      </c>
      <c r="L44" t="s">
        <v>73</v>
      </c>
      <c r="M44" s="113">
        <v>0.92700000000000005</v>
      </c>
      <c r="N44" s="113">
        <v>0.25</v>
      </c>
      <c r="O44" s="114" t="s">
        <v>73</v>
      </c>
      <c r="P44" s="113">
        <v>7.8E-2</v>
      </c>
      <c r="Q44" s="114" t="s">
        <v>73</v>
      </c>
      <c r="R44" s="114" t="s">
        <v>73</v>
      </c>
      <c r="S44" t="s">
        <v>73</v>
      </c>
      <c r="T44" t="s">
        <v>73</v>
      </c>
      <c r="U44" t="s">
        <v>73</v>
      </c>
      <c r="V44" t="s">
        <v>73</v>
      </c>
      <c r="W44" t="s">
        <v>73</v>
      </c>
      <c r="X44" t="s">
        <v>73</v>
      </c>
      <c r="Y44">
        <v>42</v>
      </c>
      <c r="Z44">
        <v>82</v>
      </c>
      <c r="AA44">
        <v>23</v>
      </c>
      <c r="AB44">
        <v>52</v>
      </c>
      <c r="AC44" t="s">
        <v>73</v>
      </c>
      <c r="AD44" t="s">
        <v>55</v>
      </c>
      <c r="AE44" s="119">
        <v>0.54</v>
      </c>
      <c r="AF44" s="119">
        <v>8.1999999999999993</v>
      </c>
      <c r="AG44" s="119">
        <v>1.4</v>
      </c>
      <c r="AH44" s="119">
        <v>1.8</v>
      </c>
      <c r="AI44" s="119">
        <v>0.57999999999999996</v>
      </c>
      <c r="AJ44" s="119">
        <v>0.12</v>
      </c>
      <c r="AK44" s="113" t="s">
        <v>73</v>
      </c>
      <c r="AL44" s="119">
        <v>0.17</v>
      </c>
      <c r="AM44" s="119">
        <v>1.07</v>
      </c>
      <c r="AN44" s="113" t="s">
        <v>73</v>
      </c>
      <c r="AO44" s="119">
        <v>-0.4</v>
      </c>
    </row>
    <row r="45" spans="1:41" x14ac:dyDescent="0.3">
      <c r="A45" t="s">
        <v>312</v>
      </c>
      <c r="B45" t="s">
        <v>692</v>
      </c>
      <c r="C45" t="s">
        <v>598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  <c r="I45" t="s">
        <v>73</v>
      </c>
      <c r="J45" t="s">
        <v>73</v>
      </c>
      <c r="K45" t="s">
        <v>73</v>
      </c>
      <c r="L45" t="s">
        <v>73</v>
      </c>
      <c r="M45" s="113">
        <v>0.58899999999999997</v>
      </c>
      <c r="N45" s="113">
        <v>0.31900000000000001</v>
      </c>
      <c r="O45" s="114" t="s">
        <v>73</v>
      </c>
      <c r="P45" s="113">
        <v>5.3999999999999999E-2</v>
      </c>
      <c r="Q45" s="114" t="s">
        <v>73</v>
      </c>
      <c r="R45" s="114" t="s">
        <v>73</v>
      </c>
      <c r="S45" t="s">
        <v>73</v>
      </c>
      <c r="T45" t="s">
        <v>73</v>
      </c>
      <c r="U45" t="s">
        <v>73</v>
      </c>
      <c r="V45" t="s">
        <v>73</v>
      </c>
      <c r="W45" t="s">
        <v>73</v>
      </c>
      <c r="X45" t="s">
        <v>73</v>
      </c>
      <c r="Y45">
        <v>30</v>
      </c>
      <c r="Z45">
        <v>68</v>
      </c>
      <c r="AA45">
        <v>79</v>
      </c>
      <c r="AB45">
        <v>57</v>
      </c>
      <c r="AC45" t="s">
        <v>73</v>
      </c>
      <c r="AD45" t="s">
        <v>55</v>
      </c>
      <c r="AE45" s="119">
        <v>0.52</v>
      </c>
      <c r="AF45" s="119">
        <v>2.4</v>
      </c>
      <c r="AG45" s="119">
        <v>3.8</v>
      </c>
      <c r="AH45" s="119">
        <v>0.8</v>
      </c>
      <c r="AI45" s="119">
        <v>0.56000000000000005</v>
      </c>
      <c r="AJ45" s="119">
        <v>0.22</v>
      </c>
      <c r="AK45" s="113" t="s">
        <v>73</v>
      </c>
      <c r="AL45" s="119">
        <v>1.58</v>
      </c>
      <c r="AM45" s="119">
        <v>1.08</v>
      </c>
      <c r="AN45" s="113" t="s">
        <v>73</v>
      </c>
      <c r="AO45" s="119">
        <v>3</v>
      </c>
    </row>
    <row r="46" spans="1:41" x14ac:dyDescent="0.3">
      <c r="A46" t="s">
        <v>693</v>
      </c>
      <c r="B46" t="s">
        <v>694</v>
      </c>
      <c r="C46" t="s">
        <v>598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 t="s">
        <v>73</v>
      </c>
      <c r="J46" t="s">
        <v>73</v>
      </c>
      <c r="K46" t="s">
        <v>73</v>
      </c>
      <c r="L46" t="s">
        <v>73</v>
      </c>
      <c r="M46" s="113">
        <v>0.64900000000000002</v>
      </c>
      <c r="N46" s="113">
        <v>0.27400000000000002</v>
      </c>
      <c r="O46" s="114" t="s">
        <v>73</v>
      </c>
      <c r="P46" s="113">
        <v>5.2999999999999999E-2</v>
      </c>
      <c r="Q46" s="114" t="s">
        <v>73</v>
      </c>
      <c r="R46" s="114" t="s">
        <v>73</v>
      </c>
      <c r="S46" t="s">
        <v>73</v>
      </c>
      <c r="T46" t="s">
        <v>73</v>
      </c>
      <c r="U46" t="s">
        <v>73</v>
      </c>
      <c r="V46" t="s">
        <v>73</v>
      </c>
      <c r="W46" t="s">
        <v>73</v>
      </c>
      <c r="X46" t="s">
        <v>73</v>
      </c>
      <c r="Y46">
        <v>23</v>
      </c>
      <c r="Z46">
        <v>75</v>
      </c>
      <c r="AA46">
        <v>66</v>
      </c>
      <c r="AB46">
        <v>53</v>
      </c>
      <c r="AC46" t="s">
        <v>73</v>
      </c>
      <c r="AD46" t="s">
        <v>55</v>
      </c>
      <c r="AE46" s="119">
        <v>9.1999999999999993</v>
      </c>
      <c r="AF46" s="119">
        <v>36.799999999999997</v>
      </c>
      <c r="AG46" s="119">
        <v>14.2</v>
      </c>
      <c r="AH46" s="119">
        <v>9.6</v>
      </c>
      <c r="AI46" s="119">
        <v>9.8000000000000007</v>
      </c>
      <c r="AJ46" s="119">
        <v>1.2</v>
      </c>
      <c r="AK46" s="113" t="s">
        <v>73</v>
      </c>
      <c r="AL46" s="119">
        <v>0.39</v>
      </c>
      <c r="AM46" s="119">
        <v>1.07</v>
      </c>
      <c r="AN46" s="113" t="s">
        <v>73</v>
      </c>
      <c r="AO46" s="119">
        <v>4.5999999999999996</v>
      </c>
    </row>
    <row r="47" spans="1:41" x14ac:dyDescent="0.3">
      <c r="A47" t="s">
        <v>695</v>
      </c>
      <c r="B47" t="s">
        <v>696</v>
      </c>
      <c r="C47" t="s">
        <v>598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  <c r="I47" t="s">
        <v>73</v>
      </c>
      <c r="J47" t="s">
        <v>73</v>
      </c>
      <c r="K47" t="s">
        <v>73</v>
      </c>
      <c r="L47" t="s">
        <v>73</v>
      </c>
      <c r="M47" s="113">
        <v>0.77700000000000002</v>
      </c>
      <c r="N47" s="113">
        <v>0.30199999999999999</v>
      </c>
      <c r="O47" s="114" t="s">
        <v>73</v>
      </c>
      <c r="P47" s="113">
        <v>9.6000000000000002E-2</v>
      </c>
      <c r="Q47" s="114" t="s">
        <v>73</v>
      </c>
      <c r="R47" s="114" t="s">
        <v>73</v>
      </c>
      <c r="S47" t="s">
        <v>73</v>
      </c>
      <c r="T47" t="s">
        <v>73</v>
      </c>
      <c r="U47" t="s">
        <v>73</v>
      </c>
      <c r="V47" t="s">
        <v>73</v>
      </c>
      <c r="W47" t="s">
        <v>73</v>
      </c>
      <c r="X47" t="s">
        <v>73</v>
      </c>
      <c r="Y47">
        <v>50</v>
      </c>
      <c r="Z47">
        <v>88</v>
      </c>
      <c r="AA47">
        <v>26</v>
      </c>
      <c r="AB47">
        <v>58</v>
      </c>
      <c r="AC47" t="s">
        <v>73</v>
      </c>
      <c r="AD47" t="s">
        <v>55</v>
      </c>
      <c r="AE47" s="119">
        <v>1.8</v>
      </c>
      <c r="AF47" s="119">
        <v>48.2</v>
      </c>
      <c r="AG47" s="119">
        <v>11.4</v>
      </c>
      <c r="AH47" s="119">
        <v>7.8</v>
      </c>
      <c r="AI47" s="119">
        <v>2.1</v>
      </c>
      <c r="AJ47" s="119">
        <v>0.62</v>
      </c>
      <c r="AK47" s="113" t="s">
        <v>73</v>
      </c>
      <c r="AL47" s="119">
        <v>0.24</v>
      </c>
      <c r="AM47" s="119">
        <v>1.17</v>
      </c>
      <c r="AN47" s="113" t="s">
        <v>73</v>
      </c>
      <c r="AO47" s="119">
        <v>3.6</v>
      </c>
    </row>
    <row r="48" spans="1:41" x14ac:dyDescent="0.3">
      <c r="A48" t="s">
        <v>697</v>
      </c>
      <c r="B48" t="s">
        <v>698</v>
      </c>
      <c r="C48" t="s">
        <v>598</v>
      </c>
      <c r="D48" t="s">
        <v>73</v>
      </c>
      <c r="E48" t="s">
        <v>73</v>
      </c>
      <c r="F48" t="s">
        <v>73</v>
      </c>
      <c r="G48" t="s">
        <v>73</v>
      </c>
      <c r="H48" t="s">
        <v>73</v>
      </c>
      <c r="I48" t="s">
        <v>73</v>
      </c>
      <c r="J48" t="s">
        <v>73</v>
      </c>
      <c r="K48" t="s">
        <v>73</v>
      </c>
      <c r="L48" t="s">
        <v>73</v>
      </c>
      <c r="M48" s="113">
        <v>0.70199999999999996</v>
      </c>
      <c r="N48" s="113">
        <v>0.25700000000000001</v>
      </c>
      <c r="O48" s="114" t="s">
        <v>73</v>
      </c>
      <c r="P48" s="113">
        <v>4.9000000000000002E-2</v>
      </c>
      <c r="Q48" s="114" t="s">
        <v>73</v>
      </c>
      <c r="R48" s="114" t="s">
        <v>73</v>
      </c>
      <c r="S48" t="s">
        <v>73</v>
      </c>
      <c r="T48" t="s">
        <v>73</v>
      </c>
      <c r="U48" t="s">
        <v>73</v>
      </c>
      <c r="V48" t="s">
        <v>73</v>
      </c>
      <c r="W48" t="s">
        <v>73</v>
      </c>
      <c r="X48" t="s">
        <v>73</v>
      </c>
      <c r="Y48">
        <v>29</v>
      </c>
      <c r="Z48">
        <v>52</v>
      </c>
      <c r="AA48">
        <v>53</v>
      </c>
      <c r="AB48">
        <v>44</v>
      </c>
      <c r="AC48" t="s">
        <v>73</v>
      </c>
      <c r="AD48" t="s">
        <v>55</v>
      </c>
      <c r="AE48" s="119">
        <v>1.42</v>
      </c>
      <c r="AF48" s="119">
        <v>1.8</v>
      </c>
      <c r="AG48" s="119">
        <v>6.2</v>
      </c>
      <c r="AH48" s="119">
        <v>2.4</v>
      </c>
      <c r="AI48" s="119">
        <v>1.6</v>
      </c>
      <c r="AJ48" s="119">
        <v>0.18</v>
      </c>
      <c r="AK48" s="113" t="s">
        <v>73</v>
      </c>
      <c r="AL48" s="119">
        <v>3.44</v>
      </c>
      <c r="AM48" s="119">
        <v>1.1299999999999999</v>
      </c>
      <c r="AN48" s="113" t="s">
        <v>73</v>
      </c>
      <c r="AO48" s="119">
        <v>3.8</v>
      </c>
    </row>
    <row r="49" spans="1:41" x14ac:dyDescent="0.3">
      <c r="A49" t="s">
        <v>699</v>
      </c>
      <c r="B49" t="s">
        <v>700</v>
      </c>
      <c r="C49" t="s">
        <v>598</v>
      </c>
      <c r="D49" t="s">
        <v>73</v>
      </c>
      <c r="E49" t="s">
        <v>73</v>
      </c>
      <c r="F49" t="s">
        <v>73</v>
      </c>
      <c r="G49" t="s">
        <v>73</v>
      </c>
      <c r="H49" t="s">
        <v>73</v>
      </c>
      <c r="I49" t="s">
        <v>73</v>
      </c>
      <c r="J49" t="s">
        <v>73</v>
      </c>
      <c r="K49" t="s">
        <v>73</v>
      </c>
      <c r="L49" t="s">
        <v>73</v>
      </c>
      <c r="M49" s="113">
        <v>0.46899999999999997</v>
      </c>
      <c r="N49" s="113">
        <v>0.34799999999999998</v>
      </c>
      <c r="O49" s="114" t="s">
        <v>73</v>
      </c>
      <c r="P49" s="113">
        <v>6.4000000000000001E-2</v>
      </c>
      <c r="Q49" s="114" t="s">
        <v>73</v>
      </c>
      <c r="R49" s="114" t="s">
        <v>73</v>
      </c>
      <c r="S49" t="s">
        <v>73</v>
      </c>
      <c r="T49" t="s">
        <v>73</v>
      </c>
      <c r="U49" t="s">
        <v>73</v>
      </c>
      <c r="V49" t="s">
        <v>73</v>
      </c>
      <c r="W49" t="s">
        <v>73</v>
      </c>
      <c r="X49" t="s">
        <v>73</v>
      </c>
      <c r="Y49">
        <v>31</v>
      </c>
      <c r="Z49">
        <v>75</v>
      </c>
      <c r="AA49">
        <v>67</v>
      </c>
      <c r="AB49">
        <v>56</v>
      </c>
      <c r="AC49" t="s">
        <v>73</v>
      </c>
      <c r="AD49" t="s">
        <v>55</v>
      </c>
      <c r="AE49" s="119">
        <v>96</v>
      </c>
      <c r="AF49" s="119">
        <v>74.2</v>
      </c>
      <c r="AG49" s="119">
        <v>108</v>
      </c>
      <c r="AH49" s="119">
        <v>52</v>
      </c>
      <c r="AI49" s="119">
        <v>104</v>
      </c>
      <c r="AJ49" s="119">
        <v>9.4</v>
      </c>
      <c r="AK49" s="113" t="s">
        <v>73</v>
      </c>
      <c r="AL49" s="119">
        <v>1.46</v>
      </c>
      <c r="AM49" s="119">
        <v>1.08</v>
      </c>
      <c r="AN49" s="113" t="s">
        <v>73</v>
      </c>
      <c r="AO49" s="119">
        <v>56</v>
      </c>
    </row>
    <row r="50" spans="1:41" x14ac:dyDescent="0.3">
      <c r="A50" t="s">
        <v>701</v>
      </c>
      <c r="B50" t="s">
        <v>702</v>
      </c>
      <c r="C50" t="s">
        <v>598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  <c r="I50" t="s">
        <v>73</v>
      </c>
      <c r="J50" t="s">
        <v>73</v>
      </c>
      <c r="K50" t="s">
        <v>73</v>
      </c>
      <c r="L50" t="s">
        <v>73</v>
      </c>
      <c r="M50" s="113">
        <v>0.55400000000000005</v>
      </c>
      <c r="N50" s="113">
        <v>0.33700000000000002</v>
      </c>
      <c r="O50" s="114" t="s">
        <v>73</v>
      </c>
      <c r="P50" s="113">
        <v>0.13700000000000001</v>
      </c>
      <c r="Q50" s="114" t="s">
        <v>73</v>
      </c>
      <c r="R50" s="114" t="s">
        <v>73</v>
      </c>
      <c r="S50" t="s">
        <v>73</v>
      </c>
      <c r="T50" t="s">
        <v>73</v>
      </c>
      <c r="U50" t="s">
        <v>73</v>
      </c>
      <c r="V50" t="s">
        <v>73</v>
      </c>
      <c r="W50" t="s">
        <v>73</v>
      </c>
      <c r="X50" t="s">
        <v>73</v>
      </c>
      <c r="Y50">
        <v>63</v>
      </c>
      <c r="Z50">
        <v>75</v>
      </c>
      <c r="AA50">
        <v>43</v>
      </c>
      <c r="AB50">
        <v>63</v>
      </c>
      <c r="AC50" t="s">
        <v>73</v>
      </c>
      <c r="AD50" t="s">
        <v>55</v>
      </c>
      <c r="AE50" s="119">
        <v>7.44</v>
      </c>
      <c r="AF50" s="119">
        <v>12.4</v>
      </c>
      <c r="AG50" s="119">
        <v>15.8</v>
      </c>
      <c r="AH50" s="119">
        <v>8.1999999999999993</v>
      </c>
      <c r="AI50" s="119">
        <v>8.6</v>
      </c>
      <c r="AJ50" s="119">
        <v>0.88</v>
      </c>
      <c r="AK50" s="113" t="s">
        <v>73</v>
      </c>
      <c r="AL50" s="119">
        <v>1.27</v>
      </c>
      <c r="AM50" s="119">
        <v>1.1599999999999999</v>
      </c>
      <c r="AN50" s="113" t="s">
        <v>73</v>
      </c>
      <c r="AO50" s="119">
        <v>7.6</v>
      </c>
    </row>
    <row r="51" spans="1:41" x14ac:dyDescent="0.3">
      <c r="A51" t="s">
        <v>703</v>
      </c>
      <c r="B51" t="s">
        <v>704</v>
      </c>
      <c r="C51" t="s">
        <v>598</v>
      </c>
      <c r="D51" t="s">
        <v>73</v>
      </c>
      <c r="E51" t="s">
        <v>73</v>
      </c>
      <c r="F51" t="s">
        <v>73</v>
      </c>
      <c r="G51" t="s">
        <v>73</v>
      </c>
      <c r="H51" t="s">
        <v>73</v>
      </c>
      <c r="I51" t="s">
        <v>73</v>
      </c>
      <c r="J51" t="s">
        <v>73</v>
      </c>
      <c r="K51" t="s">
        <v>73</v>
      </c>
      <c r="L51" t="s">
        <v>73</v>
      </c>
      <c r="M51" s="113">
        <v>0.39800000000000002</v>
      </c>
      <c r="N51" s="113">
        <v>0.13400000000000001</v>
      </c>
      <c r="O51" s="114" t="s">
        <v>73</v>
      </c>
      <c r="P51" s="113">
        <v>0.183</v>
      </c>
      <c r="Q51" s="114" t="s">
        <v>73</v>
      </c>
      <c r="R51" s="114" t="s">
        <v>73</v>
      </c>
      <c r="S51" t="s">
        <v>73</v>
      </c>
      <c r="T51" t="s">
        <v>73</v>
      </c>
      <c r="U51" t="s">
        <v>73</v>
      </c>
      <c r="V51" t="s">
        <v>73</v>
      </c>
      <c r="W51" t="s">
        <v>73</v>
      </c>
      <c r="X51" t="s">
        <v>73</v>
      </c>
      <c r="Y51">
        <v>76</v>
      </c>
      <c r="Z51">
        <v>67</v>
      </c>
      <c r="AA51">
        <v>38</v>
      </c>
      <c r="AB51">
        <v>63</v>
      </c>
      <c r="AC51" t="s">
        <v>73</v>
      </c>
      <c r="AD51" t="s">
        <v>55</v>
      </c>
      <c r="AE51" s="119">
        <v>1.88</v>
      </c>
      <c r="AF51" s="119">
        <v>22.8</v>
      </c>
      <c r="AG51" s="119">
        <v>9.8000000000000007</v>
      </c>
      <c r="AH51" s="119">
        <v>5.8</v>
      </c>
      <c r="AI51" s="119">
        <v>2.1</v>
      </c>
      <c r="AJ51" s="119">
        <v>0.57999999999999996</v>
      </c>
      <c r="AK51" s="113" t="s">
        <v>73</v>
      </c>
      <c r="AL51" s="119">
        <v>0.43</v>
      </c>
      <c r="AM51" s="119">
        <v>1.1200000000000001</v>
      </c>
      <c r="AN51" s="113" t="s">
        <v>73</v>
      </c>
      <c r="AO51" s="119">
        <v>4</v>
      </c>
    </row>
    <row r="52" spans="1:41" x14ac:dyDescent="0.3">
      <c r="A52" t="s">
        <v>705</v>
      </c>
      <c r="B52" t="s">
        <v>706</v>
      </c>
      <c r="C52" t="s">
        <v>598</v>
      </c>
      <c r="D52" t="s">
        <v>73</v>
      </c>
      <c r="E52" t="s">
        <v>73</v>
      </c>
      <c r="F52" t="s">
        <v>73</v>
      </c>
      <c r="G52" t="s">
        <v>73</v>
      </c>
      <c r="H52" t="s">
        <v>73</v>
      </c>
      <c r="I52" t="s">
        <v>73</v>
      </c>
      <c r="J52" t="s">
        <v>73</v>
      </c>
      <c r="K52" t="s">
        <v>73</v>
      </c>
      <c r="L52" t="s">
        <v>73</v>
      </c>
      <c r="M52" s="113">
        <v>0.75700000000000001</v>
      </c>
      <c r="N52" s="113">
        <v>0.154</v>
      </c>
      <c r="O52" s="114" t="s">
        <v>73</v>
      </c>
      <c r="P52" s="113">
        <v>0.13100000000000001</v>
      </c>
      <c r="Q52" s="114" t="s">
        <v>73</v>
      </c>
      <c r="R52" s="114" t="s">
        <v>73</v>
      </c>
      <c r="S52" t="s">
        <v>73</v>
      </c>
      <c r="T52" t="s">
        <v>73</v>
      </c>
      <c r="U52" t="s">
        <v>73</v>
      </c>
      <c r="V52" t="s">
        <v>73</v>
      </c>
      <c r="W52" t="s">
        <v>73</v>
      </c>
      <c r="X52" t="s">
        <v>73</v>
      </c>
      <c r="Y52">
        <v>77</v>
      </c>
      <c r="Z52">
        <v>88</v>
      </c>
      <c r="AA52">
        <v>6</v>
      </c>
      <c r="AB52">
        <v>63</v>
      </c>
      <c r="AC52" t="s">
        <v>73</v>
      </c>
      <c r="AD52" t="s">
        <v>55</v>
      </c>
      <c r="AE52" s="119">
        <v>0.52</v>
      </c>
      <c r="AF52" s="119">
        <v>12.8</v>
      </c>
      <c r="AG52" s="119">
        <v>3.4</v>
      </c>
      <c r="AH52" s="119">
        <v>4.2</v>
      </c>
      <c r="AI52" s="119">
        <v>0.68</v>
      </c>
      <c r="AJ52" s="119">
        <v>0.32</v>
      </c>
      <c r="AK52" s="113" t="s">
        <v>73</v>
      </c>
      <c r="AL52" s="119">
        <v>0.27</v>
      </c>
      <c r="AM52" s="119">
        <v>1.31</v>
      </c>
      <c r="AN52" s="113" t="s">
        <v>73</v>
      </c>
      <c r="AO52" s="119">
        <v>-0.8</v>
      </c>
    </row>
    <row r="53" spans="1:41" x14ac:dyDescent="0.3">
      <c r="A53" t="s">
        <v>707</v>
      </c>
      <c r="B53" t="s">
        <v>708</v>
      </c>
      <c r="C53" t="s">
        <v>598</v>
      </c>
      <c r="D53" t="s">
        <v>73</v>
      </c>
      <c r="E53" t="s">
        <v>73</v>
      </c>
      <c r="F53" t="s">
        <v>73</v>
      </c>
      <c r="G53" t="s">
        <v>73</v>
      </c>
      <c r="H53" t="s">
        <v>73</v>
      </c>
      <c r="I53" t="s">
        <v>73</v>
      </c>
      <c r="J53" t="s">
        <v>73</v>
      </c>
      <c r="K53" t="s">
        <v>73</v>
      </c>
      <c r="L53" t="s">
        <v>73</v>
      </c>
      <c r="M53" s="113">
        <v>0.42799999999999999</v>
      </c>
      <c r="N53" s="113">
        <v>0.24399999999999999</v>
      </c>
      <c r="O53" s="114" t="s">
        <v>73</v>
      </c>
      <c r="P53" s="113">
        <v>7.9000000000000001E-2</v>
      </c>
      <c r="Q53" s="114" t="s">
        <v>73</v>
      </c>
      <c r="R53" s="114" t="s">
        <v>73</v>
      </c>
      <c r="S53" t="s">
        <v>73</v>
      </c>
      <c r="T53" t="s">
        <v>73</v>
      </c>
      <c r="U53" t="s">
        <v>73</v>
      </c>
      <c r="V53" t="s">
        <v>73</v>
      </c>
      <c r="W53" t="s">
        <v>73</v>
      </c>
      <c r="X53" t="s">
        <v>73</v>
      </c>
      <c r="Y53">
        <v>48</v>
      </c>
      <c r="Z53">
        <v>75</v>
      </c>
      <c r="AA53">
        <v>65</v>
      </c>
      <c r="AB53">
        <v>62</v>
      </c>
      <c r="AC53" t="s">
        <v>73</v>
      </c>
      <c r="AD53" t="s">
        <v>55</v>
      </c>
      <c r="AE53" s="119">
        <v>0.88</v>
      </c>
      <c r="AF53" s="119">
        <v>10.4</v>
      </c>
      <c r="AG53" s="119">
        <v>3.8</v>
      </c>
      <c r="AH53" s="119">
        <v>0.8</v>
      </c>
      <c r="AI53" s="119">
        <v>0.94</v>
      </c>
      <c r="AJ53" s="119">
        <v>0.22</v>
      </c>
      <c r="AK53" s="113" t="s">
        <v>73</v>
      </c>
      <c r="AL53" s="119">
        <v>0.37</v>
      </c>
      <c r="AM53" s="119">
        <v>1.07</v>
      </c>
      <c r="AN53" s="113" t="s">
        <v>73</v>
      </c>
      <c r="AO53" s="119">
        <v>3</v>
      </c>
    </row>
    <row r="54" spans="1:41" x14ac:dyDescent="0.3">
      <c r="A54" t="s">
        <v>709</v>
      </c>
      <c r="B54" t="s">
        <v>710</v>
      </c>
      <c r="C54" t="s">
        <v>598</v>
      </c>
      <c r="D54" t="s">
        <v>73</v>
      </c>
      <c r="E54" t="s">
        <v>73</v>
      </c>
      <c r="F54" t="s">
        <v>73</v>
      </c>
      <c r="G54" t="s">
        <v>73</v>
      </c>
      <c r="H54" t="s">
        <v>73</v>
      </c>
      <c r="I54" t="s">
        <v>73</v>
      </c>
      <c r="J54" t="s">
        <v>73</v>
      </c>
      <c r="K54" t="s">
        <v>73</v>
      </c>
      <c r="L54" t="s">
        <v>73</v>
      </c>
      <c r="M54" s="113">
        <v>0.8</v>
      </c>
      <c r="N54" s="113">
        <v>5.7000000000000002E-2</v>
      </c>
      <c r="O54" s="114" t="s">
        <v>73</v>
      </c>
      <c r="P54" s="113">
        <v>0.27700000000000002</v>
      </c>
      <c r="Q54" s="114" t="s">
        <v>73</v>
      </c>
      <c r="R54" s="114" t="s">
        <v>73</v>
      </c>
      <c r="S54" t="s">
        <v>73</v>
      </c>
      <c r="T54" t="s">
        <v>73</v>
      </c>
      <c r="U54" t="s">
        <v>73</v>
      </c>
      <c r="V54" t="s">
        <v>73</v>
      </c>
      <c r="W54" t="s">
        <v>73</v>
      </c>
      <c r="X54" t="s">
        <v>73</v>
      </c>
      <c r="Y54">
        <v>21</v>
      </c>
      <c r="Z54">
        <v>50</v>
      </c>
      <c r="AA54">
        <v>51</v>
      </c>
      <c r="AB54">
        <v>39</v>
      </c>
      <c r="AC54" t="s">
        <v>73</v>
      </c>
      <c r="AD54" t="s">
        <v>55</v>
      </c>
      <c r="AE54" s="119">
        <v>-0.08</v>
      </c>
      <c r="AF54" s="119">
        <v>12.6</v>
      </c>
      <c r="AG54" s="119">
        <v>0.8</v>
      </c>
      <c r="AH54" s="119">
        <v>4.2</v>
      </c>
      <c r="AI54" s="119">
        <v>0.18</v>
      </c>
      <c r="AJ54" s="119">
        <v>0.38</v>
      </c>
      <c r="AK54" s="113" t="s">
        <v>73</v>
      </c>
      <c r="AL54" s="119">
        <v>0.06</v>
      </c>
      <c r="AM54" s="119">
        <v>-2.25</v>
      </c>
      <c r="AN54" s="113" t="s">
        <v>73</v>
      </c>
      <c r="AO54" s="119">
        <v>-3.4</v>
      </c>
    </row>
    <row r="55" spans="1:41" x14ac:dyDescent="0.3">
      <c r="A55" t="s">
        <v>711</v>
      </c>
      <c r="B55" t="s">
        <v>712</v>
      </c>
      <c r="C55" t="s">
        <v>598</v>
      </c>
      <c r="D55" t="s">
        <v>73</v>
      </c>
      <c r="E55" t="s">
        <v>73</v>
      </c>
      <c r="F55" t="s">
        <v>73</v>
      </c>
      <c r="G55" t="s">
        <v>73</v>
      </c>
      <c r="H55" t="s">
        <v>73</v>
      </c>
      <c r="I55" t="s">
        <v>73</v>
      </c>
      <c r="J55" t="s">
        <v>73</v>
      </c>
      <c r="K55" t="s">
        <v>73</v>
      </c>
      <c r="L55" t="s">
        <v>73</v>
      </c>
      <c r="M55" s="113">
        <v>0.35199999999999998</v>
      </c>
      <c r="N55" s="113">
        <v>0.23899999999999999</v>
      </c>
      <c r="O55" s="114" t="s">
        <v>73</v>
      </c>
      <c r="P55" s="113">
        <v>8.8999999999999996E-2</v>
      </c>
      <c r="Q55" s="114" t="s">
        <v>73</v>
      </c>
      <c r="R55" s="114" t="s">
        <v>73</v>
      </c>
      <c r="S55" t="s">
        <v>73</v>
      </c>
      <c r="T55" t="s">
        <v>73</v>
      </c>
      <c r="U55" t="s">
        <v>73</v>
      </c>
      <c r="V55" t="s">
        <v>73</v>
      </c>
      <c r="W55" t="s">
        <v>73</v>
      </c>
      <c r="X55" t="s">
        <v>73</v>
      </c>
      <c r="Y55">
        <v>45</v>
      </c>
      <c r="Z55">
        <v>68</v>
      </c>
      <c r="AA55">
        <v>71</v>
      </c>
      <c r="AB55">
        <v>60</v>
      </c>
      <c r="AC55" t="s">
        <v>73</v>
      </c>
      <c r="AD55" t="s">
        <v>55</v>
      </c>
      <c r="AE55" s="119">
        <v>2.48</v>
      </c>
      <c r="AF55" s="119">
        <v>18.399999999999999</v>
      </c>
      <c r="AG55" s="119">
        <v>14.2</v>
      </c>
      <c r="AH55" s="119">
        <v>1.8</v>
      </c>
      <c r="AI55" s="119">
        <v>2.6</v>
      </c>
      <c r="AJ55" s="119">
        <v>0.92</v>
      </c>
      <c r="AK55" s="113" t="s">
        <v>73</v>
      </c>
      <c r="AL55" s="119">
        <v>0.77</v>
      </c>
      <c r="AM55" s="119">
        <v>1.05</v>
      </c>
      <c r="AN55" s="113" t="s">
        <v>73</v>
      </c>
      <c r="AO55" s="119">
        <v>12.4</v>
      </c>
    </row>
    <row r="56" spans="1:41" x14ac:dyDescent="0.3">
      <c r="A56" t="s">
        <v>287</v>
      </c>
      <c r="B56" t="s">
        <v>713</v>
      </c>
      <c r="C56" t="s">
        <v>598</v>
      </c>
      <c r="D56" t="s">
        <v>73</v>
      </c>
      <c r="E56" t="s">
        <v>73</v>
      </c>
      <c r="F56" t="s">
        <v>73</v>
      </c>
      <c r="G56" t="s">
        <v>73</v>
      </c>
      <c r="H56" t="s">
        <v>73</v>
      </c>
      <c r="I56" t="s">
        <v>73</v>
      </c>
      <c r="J56" t="s">
        <v>73</v>
      </c>
      <c r="K56" t="s">
        <v>73</v>
      </c>
      <c r="L56" t="s">
        <v>73</v>
      </c>
      <c r="M56" s="113">
        <v>0.83699999999999997</v>
      </c>
      <c r="N56" s="113">
        <v>0.30399999999999999</v>
      </c>
      <c r="O56" s="114" t="s">
        <v>73</v>
      </c>
      <c r="P56" s="113">
        <v>4.0000000000000001E-3</v>
      </c>
      <c r="Q56" s="114" t="s">
        <v>73</v>
      </c>
      <c r="R56" s="114" t="s">
        <v>73</v>
      </c>
      <c r="S56" t="s">
        <v>73</v>
      </c>
      <c r="T56" t="s">
        <v>73</v>
      </c>
      <c r="U56" t="s">
        <v>73</v>
      </c>
      <c r="V56" t="s">
        <v>73</v>
      </c>
      <c r="W56" t="s">
        <v>73</v>
      </c>
      <c r="X56" t="s">
        <v>73</v>
      </c>
      <c r="Y56">
        <v>19</v>
      </c>
      <c r="Z56">
        <v>82</v>
      </c>
      <c r="AA56">
        <v>7</v>
      </c>
      <c r="AB56">
        <v>40</v>
      </c>
      <c r="AC56" s="5">
        <v>46135</v>
      </c>
      <c r="AD56" t="s">
        <v>55</v>
      </c>
      <c r="AE56" s="119">
        <v>1.18</v>
      </c>
      <c r="AF56" s="119">
        <v>14.8</v>
      </c>
      <c r="AG56" s="119">
        <v>6.2</v>
      </c>
      <c r="AH56" s="119">
        <v>3.8</v>
      </c>
      <c r="AI56" s="119">
        <v>1.2</v>
      </c>
      <c r="AJ56" s="119">
        <v>0.28000000000000003</v>
      </c>
      <c r="AK56" s="113" t="s">
        <v>73</v>
      </c>
      <c r="AL56" s="119">
        <v>0.42</v>
      </c>
      <c r="AM56" s="119">
        <v>1.02</v>
      </c>
      <c r="AN56" s="113" t="s">
        <v>73</v>
      </c>
      <c r="AO56" s="119">
        <v>2.4</v>
      </c>
    </row>
    <row r="57" spans="1:41" x14ac:dyDescent="0.3">
      <c r="A57" t="s">
        <v>714</v>
      </c>
      <c r="B57" t="s">
        <v>715</v>
      </c>
      <c r="C57" t="s">
        <v>598</v>
      </c>
      <c r="D57" t="s">
        <v>73</v>
      </c>
      <c r="E57" t="s">
        <v>73</v>
      </c>
      <c r="F57" t="s">
        <v>73</v>
      </c>
      <c r="G57" t="s">
        <v>73</v>
      </c>
      <c r="H57" t="s">
        <v>73</v>
      </c>
      <c r="I57" t="s">
        <v>73</v>
      </c>
      <c r="J57" t="s">
        <v>73</v>
      </c>
      <c r="K57" t="s">
        <v>73</v>
      </c>
      <c r="L57" t="s">
        <v>73</v>
      </c>
      <c r="M57" s="113">
        <v>0.63600000000000001</v>
      </c>
      <c r="N57" s="113">
        <v>0.26</v>
      </c>
      <c r="O57" s="114" t="s">
        <v>73</v>
      </c>
      <c r="P57" s="113">
        <v>8.3000000000000004E-2</v>
      </c>
      <c r="Q57" s="114" t="s">
        <v>73</v>
      </c>
      <c r="R57" s="114" t="s">
        <v>73</v>
      </c>
      <c r="S57" t="s">
        <v>73</v>
      </c>
      <c r="T57" t="s">
        <v>73</v>
      </c>
      <c r="U57" t="s">
        <v>73</v>
      </c>
      <c r="V57" t="s">
        <v>73</v>
      </c>
      <c r="W57" t="s">
        <v>73</v>
      </c>
      <c r="X57" t="s">
        <v>73</v>
      </c>
      <c r="Y57">
        <v>60</v>
      </c>
      <c r="Z57">
        <v>68</v>
      </c>
      <c r="AA57">
        <v>2</v>
      </c>
      <c r="AB57">
        <v>48</v>
      </c>
      <c r="AC57" t="s">
        <v>73</v>
      </c>
      <c r="AD57" t="s">
        <v>55</v>
      </c>
      <c r="AE57" s="119">
        <v>0.68</v>
      </c>
      <c r="AF57" s="119">
        <v>2.4</v>
      </c>
      <c r="AG57" s="119">
        <v>5.8</v>
      </c>
      <c r="AH57" s="119">
        <v>1.2</v>
      </c>
      <c r="AI57" s="119">
        <v>0.88</v>
      </c>
      <c r="AJ57" s="119">
        <v>0.12</v>
      </c>
      <c r="AK57" s="113" t="s">
        <v>73</v>
      </c>
      <c r="AL57" s="119">
        <v>2.42</v>
      </c>
      <c r="AM57" s="119">
        <v>1.29</v>
      </c>
      <c r="AN57" s="113" t="s">
        <v>73</v>
      </c>
      <c r="AO57" s="119">
        <v>4.5999999999999996</v>
      </c>
    </row>
    <row r="58" spans="1:41" x14ac:dyDescent="0.3">
      <c r="A58" t="s">
        <v>716</v>
      </c>
      <c r="B58" t="s">
        <v>717</v>
      </c>
      <c r="C58" t="s">
        <v>598</v>
      </c>
      <c r="D58" t="s">
        <v>73</v>
      </c>
      <c r="E58" t="s">
        <v>73</v>
      </c>
      <c r="F58" t="s">
        <v>73</v>
      </c>
      <c r="G58" t="s">
        <v>73</v>
      </c>
      <c r="H58" t="s">
        <v>73</v>
      </c>
      <c r="I58" t="s">
        <v>73</v>
      </c>
      <c r="J58" t="s">
        <v>73</v>
      </c>
      <c r="K58" t="s">
        <v>73</v>
      </c>
      <c r="L58" t="s">
        <v>73</v>
      </c>
      <c r="M58" s="113">
        <v>0.42699999999999999</v>
      </c>
      <c r="N58" s="113">
        <v>0.33700000000000002</v>
      </c>
      <c r="O58" s="114" t="s">
        <v>73</v>
      </c>
      <c r="P58" s="113">
        <v>7.1999999999999995E-2</v>
      </c>
      <c r="Q58" s="114" t="s">
        <v>73</v>
      </c>
      <c r="R58" s="114" t="s">
        <v>73</v>
      </c>
      <c r="S58" t="s">
        <v>73</v>
      </c>
      <c r="T58" t="s">
        <v>73</v>
      </c>
      <c r="U58" t="s">
        <v>73</v>
      </c>
      <c r="V58" t="s">
        <v>73</v>
      </c>
      <c r="W58" t="s">
        <v>73</v>
      </c>
      <c r="X58" t="s">
        <v>73</v>
      </c>
      <c r="Y58">
        <v>43</v>
      </c>
      <c r="Z58">
        <v>82</v>
      </c>
      <c r="AA58">
        <v>41</v>
      </c>
      <c r="AB58">
        <v>57</v>
      </c>
      <c r="AC58" t="s">
        <v>73</v>
      </c>
      <c r="AD58" t="s">
        <v>55</v>
      </c>
      <c r="AE58" s="119">
        <v>0.62</v>
      </c>
      <c r="AF58" s="119">
        <v>3.8</v>
      </c>
      <c r="AG58" s="119">
        <v>1.4</v>
      </c>
      <c r="AH58" s="119">
        <v>0.8</v>
      </c>
      <c r="AI58" s="119">
        <v>0.68</v>
      </c>
      <c r="AJ58" s="119">
        <v>0.18</v>
      </c>
      <c r="AK58" s="113" t="s">
        <v>73</v>
      </c>
      <c r="AL58" s="119">
        <v>0.37</v>
      </c>
      <c r="AM58" s="119">
        <v>1.1000000000000001</v>
      </c>
      <c r="AN58" s="113" t="s">
        <v>73</v>
      </c>
      <c r="AO58" s="119">
        <v>0.6</v>
      </c>
    </row>
    <row r="59" spans="1:41" x14ac:dyDescent="0.3">
      <c r="A59" t="s">
        <v>718</v>
      </c>
      <c r="B59" t="s">
        <v>719</v>
      </c>
      <c r="C59" t="s">
        <v>598</v>
      </c>
      <c r="D59" t="s">
        <v>73</v>
      </c>
      <c r="E59" t="s">
        <v>73</v>
      </c>
      <c r="F59" t="s">
        <v>73</v>
      </c>
      <c r="G59" t="s">
        <v>73</v>
      </c>
      <c r="H59" t="s">
        <v>73</v>
      </c>
      <c r="I59" t="s">
        <v>73</v>
      </c>
      <c r="J59" t="s">
        <v>73</v>
      </c>
      <c r="K59" t="s">
        <v>73</v>
      </c>
      <c r="L59" t="s">
        <v>73</v>
      </c>
      <c r="M59" s="114" t="s">
        <v>73</v>
      </c>
      <c r="N59" s="114" t="s">
        <v>73</v>
      </c>
      <c r="O59" s="114" t="s">
        <v>73</v>
      </c>
      <c r="P59" s="114" t="s">
        <v>73</v>
      </c>
      <c r="Q59" s="114" t="s">
        <v>73</v>
      </c>
      <c r="R59" s="114" t="s">
        <v>73</v>
      </c>
      <c r="S59" t="s">
        <v>73</v>
      </c>
      <c r="T59" t="s">
        <v>73</v>
      </c>
      <c r="U59" t="s">
        <v>73</v>
      </c>
      <c r="V59" t="s">
        <v>73</v>
      </c>
      <c r="W59" t="s">
        <v>73</v>
      </c>
      <c r="X59" t="s">
        <v>73</v>
      </c>
      <c r="Y59">
        <v>1</v>
      </c>
      <c r="Z59">
        <v>45</v>
      </c>
      <c r="AA59">
        <v>40</v>
      </c>
      <c r="AB59">
        <v>27</v>
      </c>
      <c r="AC59" t="s">
        <v>73</v>
      </c>
      <c r="AD59" t="s">
        <v>55</v>
      </c>
      <c r="AE59" s="119">
        <v>3.88</v>
      </c>
      <c r="AF59" s="119">
        <v>3.2</v>
      </c>
      <c r="AG59" s="119">
        <v>28.4</v>
      </c>
      <c r="AH59" s="119">
        <v>6.8</v>
      </c>
      <c r="AI59" s="119">
        <v>4.2</v>
      </c>
      <c r="AJ59" s="119">
        <v>1.2</v>
      </c>
      <c r="AK59" s="113" t="s">
        <v>73</v>
      </c>
      <c r="AL59" s="119">
        <v>8.8699999999999992</v>
      </c>
      <c r="AM59" s="119">
        <v>1.08</v>
      </c>
      <c r="AN59" s="113" t="s">
        <v>73</v>
      </c>
      <c r="AO59" s="119">
        <v>21.6</v>
      </c>
    </row>
    <row r="60" spans="1:41" x14ac:dyDescent="0.3">
      <c r="A60" t="s">
        <v>720</v>
      </c>
      <c r="B60" t="s">
        <v>721</v>
      </c>
      <c r="C60" t="s">
        <v>598</v>
      </c>
      <c r="D60" t="s">
        <v>73</v>
      </c>
      <c r="E60" t="s">
        <v>73</v>
      </c>
      <c r="F60" t="s">
        <v>73</v>
      </c>
      <c r="G60" t="s">
        <v>73</v>
      </c>
      <c r="H60" t="s">
        <v>73</v>
      </c>
      <c r="I60" t="s">
        <v>73</v>
      </c>
      <c r="J60" t="s">
        <v>73</v>
      </c>
      <c r="K60" t="s">
        <v>73</v>
      </c>
      <c r="L60" t="s">
        <v>73</v>
      </c>
      <c r="M60" s="113">
        <v>0.69199999999999995</v>
      </c>
      <c r="N60" s="113">
        <v>0.4</v>
      </c>
      <c r="O60" s="114" t="s">
        <v>73</v>
      </c>
      <c r="P60" s="113">
        <v>0.123</v>
      </c>
      <c r="Q60" s="114" t="s">
        <v>73</v>
      </c>
      <c r="R60" s="114" t="s">
        <v>73</v>
      </c>
      <c r="S60" t="s">
        <v>73</v>
      </c>
      <c r="T60" t="s">
        <v>73</v>
      </c>
      <c r="U60" t="s">
        <v>73</v>
      </c>
      <c r="V60" t="s">
        <v>73</v>
      </c>
      <c r="W60" t="s">
        <v>73</v>
      </c>
      <c r="X60" t="s">
        <v>73</v>
      </c>
      <c r="Y60">
        <v>33</v>
      </c>
      <c r="Z60">
        <v>82</v>
      </c>
      <c r="AA60">
        <v>16</v>
      </c>
      <c r="AB60">
        <v>47</v>
      </c>
      <c r="AC60" t="s">
        <v>73</v>
      </c>
      <c r="AD60" t="s">
        <v>55</v>
      </c>
      <c r="AE60" s="119">
        <v>2.08</v>
      </c>
      <c r="AF60" s="119">
        <v>22.4</v>
      </c>
      <c r="AG60" s="119">
        <v>14.8</v>
      </c>
      <c r="AH60" s="119">
        <v>2.1</v>
      </c>
      <c r="AI60" s="119">
        <v>2.2000000000000002</v>
      </c>
      <c r="AJ60" s="119">
        <v>0.18</v>
      </c>
      <c r="AK60" s="113" t="s">
        <v>73</v>
      </c>
      <c r="AL60" s="119">
        <v>0.66</v>
      </c>
      <c r="AM60" s="119">
        <v>1.06</v>
      </c>
      <c r="AN60" s="113" t="s">
        <v>73</v>
      </c>
      <c r="AO60" s="119">
        <v>12.7</v>
      </c>
    </row>
    <row r="61" spans="1:41" x14ac:dyDescent="0.3">
      <c r="A61" t="s">
        <v>310</v>
      </c>
      <c r="B61" t="s">
        <v>722</v>
      </c>
      <c r="C61" t="s">
        <v>598</v>
      </c>
      <c r="D61" t="s">
        <v>73</v>
      </c>
      <c r="E61" t="s">
        <v>73</v>
      </c>
      <c r="F61" t="s">
        <v>73</v>
      </c>
      <c r="G61" t="s">
        <v>73</v>
      </c>
      <c r="H61" t="s">
        <v>73</v>
      </c>
      <c r="I61" t="s">
        <v>73</v>
      </c>
      <c r="J61" t="s">
        <v>73</v>
      </c>
      <c r="K61" t="s">
        <v>73</v>
      </c>
      <c r="L61" t="s">
        <v>73</v>
      </c>
      <c r="M61" s="113">
        <v>0.435</v>
      </c>
      <c r="N61" s="113">
        <v>0.113</v>
      </c>
      <c r="O61" s="114" t="s">
        <v>73</v>
      </c>
      <c r="P61" s="113">
        <v>3.5000000000000003E-2</v>
      </c>
      <c r="Q61" s="114" t="s">
        <v>73</v>
      </c>
      <c r="R61" s="114" t="s">
        <v>73</v>
      </c>
      <c r="S61" t="s">
        <v>73</v>
      </c>
      <c r="T61" t="s">
        <v>73</v>
      </c>
      <c r="U61" t="s">
        <v>73</v>
      </c>
      <c r="V61" t="s">
        <v>73</v>
      </c>
      <c r="W61" t="s">
        <v>73</v>
      </c>
      <c r="X61" t="s">
        <v>73</v>
      </c>
      <c r="Y61">
        <v>9</v>
      </c>
      <c r="Z61">
        <v>67</v>
      </c>
      <c r="AA61">
        <v>83</v>
      </c>
      <c r="AB61">
        <v>49</v>
      </c>
      <c r="AC61" t="s">
        <v>73</v>
      </c>
      <c r="AD61" t="s">
        <v>55</v>
      </c>
      <c r="AE61" s="119">
        <v>0.92</v>
      </c>
      <c r="AF61" s="119">
        <v>12.4</v>
      </c>
      <c r="AG61" s="119">
        <v>4.8</v>
      </c>
      <c r="AH61" s="119">
        <v>7.8</v>
      </c>
      <c r="AI61" s="119">
        <v>0.98</v>
      </c>
      <c r="AJ61" s="119">
        <v>0.48</v>
      </c>
      <c r="AK61" s="113" t="s">
        <v>73</v>
      </c>
      <c r="AL61" s="119">
        <v>0.39</v>
      </c>
      <c r="AM61" s="119">
        <v>1.07</v>
      </c>
      <c r="AN61" s="113" t="s">
        <v>73</v>
      </c>
      <c r="AO61" s="119">
        <v>-3</v>
      </c>
    </row>
    <row r="62" spans="1:41" x14ac:dyDescent="0.3">
      <c r="A62" t="s">
        <v>723</v>
      </c>
      <c r="B62" t="s">
        <v>724</v>
      </c>
      <c r="C62" t="s">
        <v>598</v>
      </c>
      <c r="D62" t="s">
        <v>73</v>
      </c>
      <c r="E62" t="s">
        <v>73</v>
      </c>
      <c r="F62" t="s">
        <v>73</v>
      </c>
      <c r="G62" t="s">
        <v>73</v>
      </c>
      <c r="H62" t="s">
        <v>73</v>
      </c>
      <c r="I62" t="s">
        <v>73</v>
      </c>
      <c r="J62" t="s">
        <v>73</v>
      </c>
      <c r="K62" t="s">
        <v>73</v>
      </c>
      <c r="L62" t="s">
        <v>73</v>
      </c>
      <c r="M62" s="113">
        <v>0.63500000000000001</v>
      </c>
      <c r="N62" s="113">
        <v>0.27900000000000003</v>
      </c>
      <c r="O62" s="114" t="s">
        <v>73</v>
      </c>
      <c r="P62" s="113">
        <v>-0.33300000000000002</v>
      </c>
      <c r="Q62" s="114" t="s">
        <v>73</v>
      </c>
      <c r="R62" s="114" t="s">
        <v>73</v>
      </c>
      <c r="S62" t="s">
        <v>73</v>
      </c>
      <c r="T62" t="s">
        <v>73</v>
      </c>
      <c r="U62" t="s">
        <v>73</v>
      </c>
      <c r="V62" t="s">
        <v>73</v>
      </c>
      <c r="W62" t="s">
        <v>73</v>
      </c>
      <c r="X62" t="s">
        <v>73</v>
      </c>
      <c r="Y62">
        <v>6</v>
      </c>
      <c r="Z62">
        <v>75</v>
      </c>
      <c r="AA62">
        <v>56</v>
      </c>
      <c r="AB62">
        <v>44</v>
      </c>
      <c r="AC62" t="s">
        <v>73</v>
      </c>
      <c r="AD62" t="s">
        <v>55</v>
      </c>
      <c r="AE62" s="119">
        <v>1.42</v>
      </c>
      <c r="AF62" s="119">
        <v>12.8</v>
      </c>
      <c r="AG62" s="119">
        <v>6.4</v>
      </c>
      <c r="AH62" s="119">
        <v>2.4</v>
      </c>
      <c r="AI62" s="119">
        <v>1.5</v>
      </c>
      <c r="AJ62" s="119">
        <v>0.28000000000000003</v>
      </c>
      <c r="AK62" s="113" t="s">
        <v>73</v>
      </c>
      <c r="AL62" s="119">
        <v>0.5</v>
      </c>
      <c r="AM62" s="119">
        <v>1.06</v>
      </c>
      <c r="AN62" s="113" t="s">
        <v>73</v>
      </c>
      <c r="AO62" s="119">
        <v>4</v>
      </c>
    </row>
    <row r="63" spans="1:41" x14ac:dyDescent="0.3">
      <c r="A63" t="s">
        <v>298</v>
      </c>
      <c r="B63" t="s">
        <v>725</v>
      </c>
      <c r="C63" t="s">
        <v>598</v>
      </c>
      <c r="D63" t="s">
        <v>73</v>
      </c>
      <c r="E63" t="s">
        <v>73</v>
      </c>
      <c r="F63" t="s">
        <v>73</v>
      </c>
      <c r="G63" t="s">
        <v>73</v>
      </c>
      <c r="H63" t="s">
        <v>73</v>
      </c>
      <c r="I63" t="s">
        <v>73</v>
      </c>
      <c r="J63" t="s">
        <v>73</v>
      </c>
      <c r="K63" t="s">
        <v>73</v>
      </c>
      <c r="L63" t="s">
        <v>73</v>
      </c>
      <c r="M63" s="113">
        <v>0.83199999999999996</v>
      </c>
      <c r="N63" s="113">
        <v>0.38900000000000001</v>
      </c>
      <c r="O63" s="114" t="s">
        <v>73</v>
      </c>
      <c r="P63" s="113">
        <v>8.8999999999999996E-2</v>
      </c>
      <c r="Q63" s="114" t="s">
        <v>73</v>
      </c>
      <c r="R63" s="114" t="s">
        <v>73</v>
      </c>
      <c r="S63" t="s">
        <v>73</v>
      </c>
      <c r="T63" t="s">
        <v>73</v>
      </c>
      <c r="U63" t="s">
        <v>73</v>
      </c>
      <c r="V63" t="s">
        <v>73</v>
      </c>
      <c r="W63" t="s">
        <v>73</v>
      </c>
      <c r="X63" t="s">
        <v>73</v>
      </c>
      <c r="Y63">
        <v>27</v>
      </c>
      <c r="Z63">
        <v>75</v>
      </c>
      <c r="AA63">
        <v>3</v>
      </c>
      <c r="AB63">
        <v>39</v>
      </c>
      <c r="AC63" t="s">
        <v>73</v>
      </c>
      <c r="AD63" t="s">
        <v>55</v>
      </c>
      <c r="AE63" s="119">
        <v>0.78</v>
      </c>
      <c r="AF63" s="119">
        <v>2.8</v>
      </c>
      <c r="AG63" s="119">
        <v>2.4</v>
      </c>
      <c r="AH63" s="119">
        <v>0.8</v>
      </c>
      <c r="AI63" s="119">
        <v>0.88</v>
      </c>
      <c r="AJ63" s="119">
        <v>0.08</v>
      </c>
      <c r="AK63" s="113" t="s">
        <v>73</v>
      </c>
      <c r="AL63" s="119">
        <v>0.86</v>
      </c>
      <c r="AM63" s="119">
        <v>1.1299999999999999</v>
      </c>
      <c r="AN63" s="113" t="s">
        <v>73</v>
      </c>
      <c r="AO63" s="119">
        <v>1.6</v>
      </c>
    </row>
    <row r="64" spans="1:41" x14ac:dyDescent="0.3">
      <c r="A64" t="s">
        <v>726</v>
      </c>
      <c r="B64" t="s">
        <v>727</v>
      </c>
      <c r="C64" t="s">
        <v>598</v>
      </c>
      <c r="D64" t="s">
        <v>73</v>
      </c>
      <c r="E64" t="s">
        <v>73</v>
      </c>
      <c r="F64" t="s">
        <v>73</v>
      </c>
      <c r="G64" t="s">
        <v>73</v>
      </c>
      <c r="H64" t="s">
        <v>73</v>
      </c>
      <c r="I64" t="s">
        <v>73</v>
      </c>
      <c r="J64" t="s">
        <v>73</v>
      </c>
      <c r="K64" t="s">
        <v>73</v>
      </c>
      <c r="L64" t="s">
        <v>73</v>
      </c>
      <c r="M64" s="113">
        <v>0.46200000000000002</v>
      </c>
      <c r="N64" s="113">
        <v>0.29499999999999998</v>
      </c>
      <c r="O64" s="114" t="s">
        <v>73</v>
      </c>
      <c r="P64" s="113">
        <v>9.7000000000000003E-2</v>
      </c>
      <c r="Q64" s="114" t="s">
        <v>73</v>
      </c>
      <c r="R64" s="114" t="s">
        <v>73</v>
      </c>
      <c r="S64" t="s">
        <v>73</v>
      </c>
      <c r="T64" t="s">
        <v>73</v>
      </c>
      <c r="U64" t="s">
        <v>73</v>
      </c>
      <c r="V64" t="s">
        <v>73</v>
      </c>
      <c r="W64" t="s">
        <v>73</v>
      </c>
      <c r="X64" t="s">
        <v>73</v>
      </c>
      <c r="Y64">
        <v>40</v>
      </c>
      <c r="Z64">
        <v>68</v>
      </c>
      <c r="AA64">
        <v>0</v>
      </c>
      <c r="AB64">
        <v>40</v>
      </c>
      <c r="AC64" t="s">
        <v>73</v>
      </c>
      <c r="AD64" t="s">
        <v>55</v>
      </c>
      <c r="AE64" s="119">
        <v>0.38</v>
      </c>
      <c r="AF64" s="119">
        <v>2.4</v>
      </c>
      <c r="AG64" s="119">
        <v>1.8</v>
      </c>
      <c r="AH64" s="119">
        <v>0.6</v>
      </c>
      <c r="AI64" s="119">
        <v>0.42</v>
      </c>
      <c r="AJ64" s="119">
        <v>0.08</v>
      </c>
      <c r="AK64" s="113" t="s">
        <v>73</v>
      </c>
      <c r="AL64" s="119">
        <v>0.75</v>
      </c>
      <c r="AM64" s="119">
        <v>1.1100000000000001</v>
      </c>
      <c r="AN64" s="113" t="s">
        <v>73</v>
      </c>
      <c r="AO64" s="119">
        <v>1.2</v>
      </c>
    </row>
    <row r="65" spans="1:41" x14ac:dyDescent="0.3">
      <c r="A65" t="s">
        <v>728</v>
      </c>
      <c r="B65" t="s">
        <v>729</v>
      </c>
      <c r="C65" t="s">
        <v>598</v>
      </c>
      <c r="D65" t="s">
        <v>73</v>
      </c>
      <c r="E65" t="s">
        <v>73</v>
      </c>
      <c r="F65" t="s">
        <v>73</v>
      </c>
      <c r="G65" t="s">
        <v>73</v>
      </c>
      <c r="H65" t="s">
        <v>73</v>
      </c>
      <c r="I65" t="s">
        <v>73</v>
      </c>
      <c r="J65" t="s">
        <v>73</v>
      </c>
      <c r="K65" t="s">
        <v>73</v>
      </c>
      <c r="L65" t="s">
        <v>73</v>
      </c>
      <c r="M65" s="113">
        <v>0.54700000000000004</v>
      </c>
      <c r="N65" s="113">
        <v>0.32300000000000001</v>
      </c>
      <c r="O65" s="114" t="s">
        <v>73</v>
      </c>
      <c r="P65" s="113">
        <v>-2.7E-2</v>
      </c>
      <c r="Q65" s="114" t="s">
        <v>73</v>
      </c>
      <c r="R65" s="114" t="s">
        <v>73</v>
      </c>
      <c r="S65" t="s">
        <v>73</v>
      </c>
      <c r="T65" t="s">
        <v>73</v>
      </c>
      <c r="U65" t="s">
        <v>73</v>
      </c>
      <c r="V65" t="s">
        <v>73</v>
      </c>
      <c r="W65" t="s">
        <v>73</v>
      </c>
      <c r="X65" t="s">
        <v>73</v>
      </c>
      <c r="Y65">
        <v>14</v>
      </c>
      <c r="Z65">
        <v>75</v>
      </c>
      <c r="AA65">
        <v>52</v>
      </c>
      <c r="AB65">
        <v>46</v>
      </c>
      <c r="AC65" t="s">
        <v>73</v>
      </c>
      <c r="AD65" t="s">
        <v>55</v>
      </c>
      <c r="AE65" s="119">
        <v>2.92</v>
      </c>
      <c r="AF65" s="119">
        <v>14.8</v>
      </c>
      <c r="AG65" s="119">
        <v>11.4</v>
      </c>
      <c r="AH65" s="119">
        <v>3.2</v>
      </c>
      <c r="AI65" s="119">
        <v>3.1</v>
      </c>
      <c r="AJ65" s="119">
        <v>0.88</v>
      </c>
      <c r="AK65" s="113" t="s">
        <v>73</v>
      </c>
      <c r="AL65" s="119">
        <v>0.77</v>
      </c>
      <c r="AM65" s="119">
        <v>1.06</v>
      </c>
      <c r="AN65" s="113" t="s">
        <v>73</v>
      </c>
      <c r="AO65" s="119">
        <v>8.1999999999999993</v>
      </c>
    </row>
    <row r="66" spans="1:41" x14ac:dyDescent="0.3">
      <c r="A66" t="s">
        <v>730</v>
      </c>
      <c r="B66" t="s">
        <v>731</v>
      </c>
      <c r="C66" t="s">
        <v>598</v>
      </c>
      <c r="D66" t="s">
        <v>73</v>
      </c>
      <c r="E66" t="s">
        <v>73</v>
      </c>
      <c r="F66" t="s">
        <v>73</v>
      </c>
      <c r="G66" t="s">
        <v>73</v>
      </c>
      <c r="H66" t="s">
        <v>73</v>
      </c>
      <c r="I66" t="s">
        <v>73</v>
      </c>
      <c r="J66" t="s">
        <v>73</v>
      </c>
      <c r="K66" t="s">
        <v>73</v>
      </c>
      <c r="L66" t="s">
        <v>73</v>
      </c>
      <c r="M66" s="113">
        <v>0.69099999999999995</v>
      </c>
      <c r="N66" s="113">
        <v>0.218</v>
      </c>
      <c r="O66" s="114" t="s">
        <v>73</v>
      </c>
      <c r="P66" s="113">
        <v>-2.5999999999999999E-2</v>
      </c>
      <c r="Q66" s="114" t="s">
        <v>73</v>
      </c>
      <c r="R66" s="114" t="s">
        <v>73</v>
      </c>
      <c r="S66" t="s">
        <v>73</v>
      </c>
      <c r="T66" t="s">
        <v>73</v>
      </c>
      <c r="U66" t="s">
        <v>73</v>
      </c>
      <c r="V66" t="s">
        <v>73</v>
      </c>
      <c r="W66" t="s">
        <v>73</v>
      </c>
      <c r="X66" t="s">
        <v>73</v>
      </c>
      <c r="Y66">
        <v>5</v>
      </c>
      <c r="Z66">
        <v>75</v>
      </c>
      <c r="AA66">
        <v>45</v>
      </c>
      <c r="AB66">
        <v>41</v>
      </c>
      <c r="AC66" t="s">
        <v>73</v>
      </c>
      <c r="AD66" t="s">
        <v>55</v>
      </c>
      <c r="AE66" s="119">
        <v>0.62</v>
      </c>
      <c r="AF66" s="119">
        <v>6.8</v>
      </c>
      <c r="AG66" s="119">
        <v>4.2</v>
      </c>
      <c r="AH66" s="119">
        <v>0.8</v>
      </c>
      <c r="AI66" s="119">
        <v>0.68</v>
      </c>
      <c r="AJ66" s="119">
        <v>0.22</v>
      </c>
      <c r="AK66" s="113" t="s">
        <v>73</v>
      </c>
      <c r="AL66" s="119">
        <v>0.62</v>
      </c>
      <c r="AM66" s="119">
        <v>1.1000000000000001</v>
      </c>
      <c r="AN66" s="113" t="s">
        <v>73</v>
      </c>
      <c r="AO66" s="119">
        <v>3.4</v>
      </c>
    </row>
    <row r="67" spans="1:41" x14ac:dyDescent="0.3">
      <c r="A67" t="s">
        <v>732</v>
      </c>
      <c r="B67" t="s">
        <v>733</v>
      </c>
      <c r="C67" t="s">
        <v>598</v>
      </c>
      <c r="D67" t="s">
        <v>73</v>
      </c>
      <c r="E67" t="s">
        <v>73</v>
      </c>
      <c r="F67" t="s">
        <v>73</v>
      </c>
      <c r="G67" t="s">
        <v>73</v>
      </c>
      <c r="H67" t="s">
        <v>73</v>
      </c>
      <c r="I67" t="s">
        <v>73</v>
      </c>
      <c r="J67" t="s">
        <v>73</v>
      </c>
      <c r="K67" t="s">
        <v>73</v>
      </c>
      <c r="L67" t="s">
        <v>73</v>
      </c>
      <c r="M67" s="113">
        <v>0.46500000000000002</v>
      </c>
      <c r="N67" s="113">
        <v>0.23300000000000001</v>
      </c>
      <c r="O67" s="114" t="s">
        <v>73</v>
      </c>
      <c r="P67" s="113">
        <v>9.0999999999999998E-2</v>
      </c>
      <c r="Q67" s="114" t="s">
        <v>73</v>
      </c>
      <c r="R67" s="114" t="s">
        <v>73</v>
      </c>
      <c r="S67" t="s">
        <v>73</v>
      </c>
      <c r="T67" t="s">
        <v>73</v>
      </c>
      <c r="U67" t="s">
        <v>73</v>
      </c>
      <c r="V67" t="s">
        <v>73</v>
      </c>
      <c r="W67" t="s">
        <v>73</v>
      </c>
      <c r="X67" t="s">
        <v>73</v>
      </c>
      <c r="Y67">
        <v>55</v>
      </c>
      <c r="Z67">
        <v>75</v>
      </c>
      <c r="AA67">
        <v>13</v>
      </c>
      <c r="AB67">
        <v>52</v>
      </c>
      <c r="AC67" t="s">
        <v>73</v>
      </c>
      <c r="AD67" t="s">
        <v>55</v>
      </c>
      <c r="AE67" s="119">
        <v>0.48</v>
      </c>
      <c r="AF67" s="119">
        <v>4.8</v>
      </c>
      <c r="AG67" s="119">
        <v>2.8</v>
      </c>
      <c r="AH67" s="119">
        <v>0.6</v>
      </c>
      <c r="AI67" s="119">
        <v>0.52</v>
      </c>
      <c r="AJ67" s="119">
        <v>0.12</v>
      </c>
      <c r="AK67" s="113" t="s">
        <v>73</v>
      </c>
      <c r="AL67" s="119">
        <v>0.57999999999999996</v>
      </c>
      <c r="AM67" s="119">
        <v>1.08</v>
      </c>
      <c r="AN67" s="113" t="s">
        <v>73</v>
      </c>
      <c r="AO67" s="119">
        <v>2.2000000000000002</v>
      </c>
    </row>
    <row r="68" spans="1:41" x14ac:dyDescent="0.3">
      <c r="A68" t="s">
        <v>734</v>
      </c>
      <c r="B68" t="s">
        <v>735</v>
      </c>
      <c r="C68" t="s">
        <v>598</v>
      </c>
      <c r="D68" t="s">
        <v>73</v>
      </c>
      <c r="E68" t="s">
        <v>73</v>
      </c>
      <c r="F68" t="s">
        <v>73</v>
      </c>
      <c r="G68" t="s">
        <v>73</v>
      </c>
      <c r="H68" t="s">
        <v>73</v>
      </c>
      <c r="I68" t="s">
        <v>73</v>
      </c>
      <c r="J68" t="s">
        <v>73</v>
      </c>
      <c r="K68" t="s">
        <v>73</v>
      </c>
      <c r="L68" t="s">
        <v>73</v>
      </c>
      <c r="M68" s="113">
        <v>0.30299999999999999</v>
      </c>
      <c r="N68" s="113">
        <v>0.128</v>
      </c>
      <c r="O68" s="114" t="s">
        <v>73</v>
      </c>
      <c r="P68" s="113">
        <v>0.13800000000000001</v>
      </c>
      <c r="Q68" s="114" t="s">
        <v>73</v>
      </c>
      <c r="R68" s="114" t="s">
        <v>73</v>
      </c>
      <c r="S68" t="s">
        <v>73</v>
      </c>
      <c r="T68" t="s">
        <v>73</v>
      </c>
      <c r="U68" t="s">
        <v>73</v>
      </c>
      <c r="V68" t="s">
        <v>73</v>
      </c>
      <c r="W68" t="s">
        <v>73</v>
      </c>
      <c r="X68" t="s">
        <v>73</v>
      </c>
      <c r="Y68">
        <v>20</v>
      </c>
      <c r="Z68">
        <v>60</v>
      </c>
      <c r="AA68">
        <v>74</v>
      </c>
      <c r="AB68">
        <v>48</v>
      </c>
      <c r="AC68" t="s">
        <v>73</v>
      </c>
      <c r="AD68" t="s">
        <v>55</v>
      </c>
      <c r="AE68" s="119">
        <v>2.48</v>
      </c>
      <c r="AF68" s="119">
        <v>21.8</v>
      </c>
      <c r="AG68" s="119">
        <v>18.399999999999999</v>
      </c>
      <c r="AH68" s="119">
        <v>4.2</v>
      </c>
      <c r="AI68" s="119">
        <v>2.6</v>
      </c>
      <c r="AJ68" s="119">
        <v>1.8</v>
      </c>
      <c r="AK68" s="113" t="s">
        <v>73</v>
      </c>
      <c r="AL68" s="119">
        <v>0.84</v>
      </c>
      <c r="AM68" s="119">
        <v>1.05</v>
      </c>
      <c r="AN68" s="113" t="s">
        <v>73</v>
      </c>
      <c r="AO68" s="119">
        <v>14.2</v>
      </c>
    </row>
    <row r="69" spans="1:41" x14ac:dyDescent="0.3">
      <c r="A69" t="s">
        <v>304</v>
      </c>
      <c r="B69" t="s">
        <v>736</v>
      </c>
      <c r="C69" t="s">
        <v>598</v>
      </c>
      <c r="D69" t="s">
        <v>73</v>
      </c>
      <c r="E69" t="s">
        <v>73</v>
      </c>
      <c r="F69" t="s">
        <v>73</v>
      </c>
      <c r="G69" t="s">
        <v>73</v>
      </c>
      <c r="H69" t="s">
        <v>73</v>
      </c>
      <c r="I69" t="s">
        <v>73</v>
      </c>
      <c r="J69" t="s">
        <v>73</v>
      </c>
      <c r="K69" t="s">
        <v>73</v>
      </c>
      <c r="L69" t="s">
        <v>73</v>
      </c>
      <c r="M69" s="113">
        <v>0.30099999999999999</v>
      </c>
      <c r="N69" s="113">
        <v>-0.17</v>
      </c>
      <c r="O69" s="114" t="s">
        <v>73</v>
      </c>
      <c r="P69" s="113">
        <v>0.104</v>
      </c>
      <c r="Q69" s="114" t="s">
        <v>73</v>
      </c>
      <c r="R69" s="114" t="s">
        <v>73</v>
      </c>
      <c r="S69" t="s">
        <v>73</v>
      </c>
      <c r="T69" t="s">
        <v>73</v>
      </c>
      <c r="U69" t="s">
        <v>73</v>
      </c>
      <c r="V69" t="s">
        <v>73</v>
      </c>
      <c r="W69" t="s">
        <v>73</v>
      </c>
      <c r="X69" t="s">
        <v>73</v>
      </c>
      <c r="Y69">
        <v>1</v>
      </c>
      <c r="Z69">
        <v>38</v>
      </c>
      <c r="AA69">
        <v>100</v>
      </c>
      <c r="AB69">
        <v>40</v>
      </c>
      <c r="AC69" t="s">
        <v>73</v>
      </c>
      <c r="AD69" t="s">
        <v>55</v>
      </c>
      <c r="AE69" s="119">
        <v>-0.88</v>
      </c>
      <c r="AF69" s="119">
        <v>4.2</v>
      </c>
      <c r="AG69" s="119">
        <v>6.8</v>
      </c>
      <c r="AH69" s="119">
        <v>1.8</v>
      </c>
      <c r="AI69" s="119">
        <v>-0.72</v>
      </c>
      <c r="AJ69" s="119">
        <v>0.38</v>
      </c>
      <c r="AK69" s="113" t="s">
        <v>73</v>
      </c>
      <c r="AL69" s="119">
        <v>1.62</v>
      </c>
      <c r="AM69" s="119">
        <v>0.82</v>
      </c>
      <c r="AN69" s="113" t="s">
        <v>73</v>
      </c>
      <c r="AO69" s="119">
        <v>5</v>
      </c>
    </row>
    <row r="70" spans="1:41" x14ac:dyDescent="0.3">
      <c r="A70" t="s">
        <v>737</v>
      </c>
      <c r="B70" t="s">
        <v>738</v>
      </c>
      <c r="C70" t="s">
        <v>598</v>
      </c>
      <c r="D70" t="s">
        <v>73</v>
      </c>
      <c r="E70" t="s">
        <v>73</v>
      </c>
      <c r="F70" t="s">
        <v>73</v>
      </c>
      <c r="G70" t="s">
        <v>73</v>
      </c>
      <c r="H70" t="s">
        <v>73</v>
      </c>
      <c r="I70" t="s">
        <v>73</v>
      </c>
      <c r="J70" t="s">
        <v>73</v>
      </c>
      <c r="K70" t="s">
        <v>73</v>
      </c>
      <c r="L70" t="s">
        <v>73</v>
      </c>
      <c r="M70" s="113">
        <v>0.18</v>
      </c>
      <c r="N70" s="113">
        <v>0.14000000000000001</v>
      </c>
      <c r="O70" s="114" t="s">
        <v>73</v>
      </c>
      <c r="P70" s="113">
        <v>3.1E-2</v>
      </c>
      <c r="Q70" s="114" t="s">
        <v>73</v>
      </c>
      <c r="R70" s="114" t="s">
        <v>73</v>
      </c>
      <c r="S70" t="s">
        <v>73</v>
      </c>
      <c r="T70" t="s">
        <v>73</v>
      </c>
      <c r="U70" t="s">
        <v>73</v>
      </c>
      <c r="V70" t="s">
        <v>73</v>
      </c>
      <c r="W70" t="s">
        <v>73</v>
      </c>
      <c r="X70" t="s">
        <v>73</v>
      </c>
      <c r="Y70">
        <v>34</v>
      </c>
      <c r="Z70">
        <v>60</v>
      </c>
      <c r="AA70">
        <v>58</v>
      </c>
      <c r="AB70">
        <v>50</v>
      </c>
      <c r="AC70" t="s">
        <v>73</v>
      </c>
      <c r="AD70" t="s">
        <v>55</v>
      </c>
      <c r="AE70" s="119">
        <v>0.57999999999999996</v>
      </c>
      <c r="AF70" s="119">
        <v>4.8</v>
      </c>
      <c r="AG70" s="119">
        <v>4.2</v>
      </c>
      <c r="AH70" s="119">
        <v>0.8</v>
      </c>
      <c r="AI70" s="119">
        <v>0.62</v>
      </c>
      <c r="AJ70" s="119">
        <v>0.18</v>
      </c>
      <c r="AK70" s="113" t="s">
        <v>73</v>
      </c>
      <c r="AL70" s="119">
        <v>0.88</v>
      </c>
      <c r="AM70" s="119">
        <v>1.07</v>
      </c>
      <c r="AN70" s="113" t="s">
        <v>73</v>
      </c>
      <c r="AO70" s="119">
        <v>3.4</v>
      </c>
    </row>
    <row r="71" spans="1:41" x14ac:dyDescent="0.3">
      <c r="A71" t="s">
        <v>739</v>
      </c>
      <c r="B71" t="s">
        <v>740</v>
      </c>
      <c r="C71" t="s">
        <v>598</v>
      </c>
      <c r="D71" t="s">
        <v>73</v>
      </c>
      <c r="E71" t="s">
        <v>73</v>
      </c>
      <c r="F71" t="s">
        <v>73</v>
      </c>
      <c r="G71" t="s">
        <v>73</v>
      </c>
      <c r="H71" t="s">
        <v>73</v>
      </c>
      <c r="I71" t="s">
        <v>73</v>
      </c>
      <c r="J71" t="s">
        <v>73</v>
      </c>
      <c r="K71" t="s">
        <v>73</v>
      </c>
      <c r="L71" t="s">
        <v>73</v>
      </c>
      <c r="M71" s="113">
        <v>0.39200000000000002</v>
      </c>
      <c r="N71" s="113">
        <v>0.24</v>
      </c>
      <c r="O71" s="114" t="s">
        <v>73</v>
      </c>
      <c r="P71" s="113">
        <v>-0.02</v>
      </c>
      <c r="Q71" s="114" t="s">
        <v>73</v>
      </c>
      <c r="R71" s="114" t="s">
        <v>73</v>
      </c>
      <c r="S71" t="s">
        <v>73</v>
      </c>
      <c r="T71" t="s">
        <v>73</v>
      </c>
      <c r="U71" t="s">
        <v>73</v>
      </c>
      <c r="V71" t="s">
        <v>73</v>
      </c>
      <c r="W71" t="s">
        <v>73</v>
      </c>
      <c r="X71" t="s">
        <v>73</v>
      </c>
      <c r="Y71">
        <v>12</v>
      </c>
      <c r="Z71">
        <v>82</v>
      </c>
      <c r="AA71">
        <v>60</v>
      </c>
      <c r="AB71">
        <v>50</v>
      </c>
      <c r="AC71" t="s">
        <v>73</v>
      </c>
      <c r="AD71" t="s">
        <v>55</v>
      </c>
      <c r="AE71" s="119">
        <v>1.28</v>
      </c>
      <c r="AF71" s="119">
        <v>16.399999999999999</v>
      </c>
      <c r="AG71" s="119">
        <v>3.8</v>
      </c>
      <c r="AH71" s="119">
        <v>4.2</v>
      </c>
      <c r="AI71" s="119">
        <v>1.4</v>
      </c>
      <c r="AJ71" s="119">
        <v>1.6</v>
      </c>
      <c r="AK71" s="113" t="s">
        <v>73</v>
      </c>
      <c r="AL71" s="119">
        <v>0.23</v>
      </c>
      <c r="AM71" s="119">
        <v>1.0900000000000001</v>
      </c>
      <c r="AN71" s="113" t="s">
        <v>73</v>
      </c>
      <c r="AO71" s="119">
        <v>-0.4</v>
      </c>
    </row>
    <row r="72" spans="1:41" x14ac:dyDescent="0.3">
      <c r="A72" t="s">
        <v>741</v>
      </c>
      <c r="B72" t="s">
        <v>742</v>
      </c>
      <c r="C72" t="s">
        <v>598</v>
      </c>
      <c r="D72" t="s">
        <v>73</v>
      </c>
      <c r="E72" t="s">
        <v>73</v>
      </c>
      <c r="F72" t="s">
        <v>73</v>
      </c>
      <c r="G72" t="s">
        <v>73</v>
      </c>
      <c r="H72" t="s">
        <v>73</v>
      </c>
      <c r="I72" t="s">
        <v>73</v>
      </c>
      <c r="J72" t="s">
        <v>73</v>
      </c>
      <c r="K72" t="s">
        <v>73</v>
      </c>
      <c r="L72" t="s">
        <v>73</v>
      </c>
      <c r="M72" s="113">
        <v>0.46</v>
      </c>
      <c r="N72" s="113">
        <v>0.309</v>
      </c>
      <c r="O72" s="114" t="s">
        <v>73</v>
      </c>
      <c r="P72" s="113">
        <v>7.0999999999999994E-2</v>
      </c>
      <c r="Q72" s="114" t="s">
        <v>73</v>
      </c>
      <c r="R72" s="114" t="s">
        <v>73</v>
      </c>
      <c r="S72" t="s">
        <v>73</v>
      </c>
      <c r="T72" t="s">
        <v>73</v>
      </c>
      <c r="U72" t="s">
        <v>73</v>
      </c>
      <c r="V72" t="s">
        <v>73</v>
      </c>
      <c r="W72" t="s">
        <v>73</v>
      </c>
      <c r="X72" t="s">
        <v>73</v>
      </c>
      <c r="Y72">
        <v>35</v>
      </c>
      <c r="Z72">
        <v>75</v>
      </c>
      <c r="AA72">
        <v>19</v>
      </c>
      <c r="AB72">
        <v>46</v>
      </c>
      <c r="AC72" t="s">
        <v>73</v>
      </c>
      <c r="AD72" t="s">
        <v>55</v>
      </c>
      <c r="AE72" s="119">
        <v>3.08</v>
      </c>
      <c r="AF72" s="119">
        <v>12.8</v>
      </c>
      <c r="AG72" s="119">
        <v>14.2</v>
      </c>
      <c r="AH72" s="119">
        <v>2.8</v>
      </c>
      <c r="AI72" s="119">
        <v>3.4</v>
      </c>
      <c r="AJ72" s="119">
        <v>0.38</v>
      </c>
      <c r="AK72" s="113" t="s">
        <v>73</v>
      </c>
      <c r="AL72" s="119">
        <v>1.1100000000000001</v>
      </c>
      <c r="AM72" s="119">
        <v>1.1000000000000001</v>
      </c>
      <c r="AN72" s="113" t="s">
        <v>73</v>
      </c>
      <c r="AO72" s="119">
        <v>11.4</v>
      </c>
    </row>
    <row r="73" spans="1:41" x14ac:dyDescent="0.3">
      <c r="A73" t="s">
        <v>743</v>
      </c>
      <c r="B73" t="s">
        <v>744</v>
      </c>
      <c r="C73" t="s">
        <v>598</v>
      </c>
      <c r="D73" t="s">
        <v>73</v>
      </c>
      <c r="E73" t="s">
        <v>73</v>
      </c>
      <c r="F73" t="s">
        <v>73</v>
      </c>
      <c r="G73" t="s">
        <v>73</v>
      </c>
      <c r="H73" t="s">
        <v>73</v>
      </c>
      <c r="I73" t="s">
        <v>73</v>
      </c>
      <c r="J73" t="s">
        <v>73</v>
      </c>
      <c r="K73" t="s">
        <v>73</v>
      </c>
      <c r="L73" t="s">
        <v>73</v>
      </c>
      <c r="M73" s="113">
        <v>0.33700000000000002</v>
      </c>
      <c r="N73" s="113">
        <v>0.193</v>
      </c>
      <c r="O73" s="114" t="s">
        <v>73</v>
      </c>
      <c r="P73" s="113">
        <v>7.0000000000000007E-2</v>
      </c>
      <c r="Q73" s="114" t="s">
        <v>73</v>
      </c>
      <c r="R73" s="114" t="s">
        <v>73</v>
      </c>
      <c r="S73" t="s">
        <v>73</v>
      </c>
      <c r="T73" t="s">
        <v>73</v>
      </c>
      <c r="U73" t="s">
        <v>73</v>
      </c>
      <c r="V73" t="s">
        <v>73</v>
      </c>
      <c r="W73" t="s">
        <v>73</v>
      </c>
      <c r="X73" t="s">
        <v>73</v>
      </c>
      <c r="Y73">
        <v>49</v>
      </c>
      <c r="Z73">
        <v>82</v>
      </c>
      <c r="AA73">
        <v>28</v>
      </c>
      <c r="AB73">
        <v>56</v>
      </c>
      <c r="AC73" t="s">
        <v>73</v>
      </c>
      <c r="AD73" t="s">
        <v>55</v>
      </c>
      <c r="AE73" s="119">
        <v>1.62</v>
      </c>
      <c r="AF73" s="119">
        <v>12.4</v>
      </c>
      <c r="AG73" s="119">
        <v>2.8</v>
      </c>
      <c r="AH73" s="119">
        <v>4.2</v>
      </c>
      <c r="AI73" s="119">
        <v>1.8</v>
      </c>
      <c r="AJ73" s="119">
        <v>0.42</v>
      </c>
      <c r="AK73" s="113" t="s">
        <v>73</v>
      </c>
      <c r="AL73" s="119">
        <v>0.23</v>
      </c>
      <c r="AM73" s="119">
        <v>1.1100000000000001</v>
      </c>
      <c r="AN73" s="113" t="s">
        <v>73</v>
      </c>
      <c r="AO73" s="119">
        <v>-1.4</v>
      </c>
    </row>
    <row r="74" spans="1:41" x14ac:dyDescent="0.3">
      <c r="A74" t="s">
        <v>745</v>
      </c>
      <c r="B74" t="s">
        <v>746</v>
      </c>
      <c r="C74" t="s">
        <v>598</v>
      </c>
      <c r="D74" t="s">
        <v>73</v>
      </c>
      <c r="E74" t="s">
        <v>73</v>
      </c>
      <c r="F74" t="s">
        <v>73</v>
      </c>
      <c r="G74" t="s">
        <v>73</v>
      </c>
      <c r="H74" t="s">
        <v>73</v>
      </c>
      <c r="I74" t="s">
        <v>73</v>
      </c>
      <c r="J74" t="s">
        <v>73</v>
      </c>
      <c r="K74" t="s">
        <v>73</v>
      </c>
      <c r="L74" t="s">
        <v>73</v>
      </c>
      <c r="M74" s="113">
        <v>0.747</v>
      </c>
      <c r="N74" s="113">
        <v>3.7999999999999999E-2</v>
      </c>
      <c r="O74" s="114" t="s">
        <v>73</v>
      </c>
      <c r="P74" s="113">
        <v>0.217</v>
      </c>
      <c r="Q74" s="114" t="s">
        <v>73</v>
      </c>
      <c r="R74" s="114" t="s">
        <v>73</v>
      </c>
      <c r="S74" t="s">
        <v>73</v>
      </c>
      <c r="T74" t="s">
        <v>73</v>
      </c>
      <c r="U74" t="s">
        <v>73</v>
      </c>
      <c r="V74" t="s">
        <v>73</v>
      </c>
      <c r="W74" t="s">
        <v>73</v>
      </c>
      <c r="X74" t="s">
        <v>73</v>
      </c>
      <c r="Y74">
        <v>13</v>
      </c>
      <c r="Z74">
        <v>42</v>
      </c>
      <c r="AA74">
        <v>36</v>
      </c>
      <c r="AB74">
        <v>30</v>
      </c>
      <c r="AC74" t="s">
        <v>73</v>
      </c>
      <c r="AD74" t="s">
        <v>55</v>
      </c>
      <c r="AE74" s="119">
        <v>-0.12</v>
      </c>
      <c r="AF74" s="119">
        <v>14.8</v>
      </c>
      <c r="AG74" s="119">
        <v>3.8</v>
      </c>
      <c r="AH74" s="119">
        <v>3.4</v>
      </c>
      <c r="AI74" s="119">
        <v>0.22</v>
      </c>
      <c r="AJ74" s="119">
        <v>0.28000000000000003</v>
      </c>
      <c r="AK74" s="113" t="s">
        <v>73</v>
      </c>
      <c r="AL74" s="119">
        <v>0.26</v>
      </c>
      <c r="AM74" s="119">
        <v>-1.83</v>
      </c>
      <c r="AN74" s="113" t="s">
        <v>73</v>
      </c>
      <c r="AO74" s="119">
        <v>0.4</v>
      </c>
    </row>
    <row r="75" spans="1:41" x14ac:dyDescent="0.3">
      <c r="A75" t="s">
        <v>747</v>
      </c>
      <c r="B75" t="s">
        <v>748</v>
      </c>
      <c r="C75" t="s">
        <v>598</v>
      </c>
      <c r="D75" t="s">
        <v>73</v>
      </c>
      <c r="E75" t="s">
        <v>73</v>
      </c>
      <c r="F75" t="s">
        <v>73</v>
      </c>
      <c r="G75" t="s">
        <v>73</v>
      </c>
      <c r="H75" t="s">
        <v>73</v>
      </c>
      <c r="I75" t="s">
        <v>73</v>
      </c>
      <c r="J75" t="s">
        <v>73</v>
      </c>
      <c r="K75" t="s">
        <v>73</v>
      </c>
      <c r="L75" t="s">
        <v>73</v>
      </c>
      <c r="M75" s="113">
        <v>0.56100000000000005</v>
      </c>
      <c r="N75" s="113">
        <v>0.23599999999999999</v>
      </c>
      <c r="O75" s="114" t="s">
        <v>73</v>
      </c>
      <c r="P75" s="113">
        <v>-0.42299999999999999</v>
      </c>
      <c r="Q75" s="114" t="s">
        <v>73</v>
      </c>
      <c r="R75" s="114" t="s">
        <v>73</v>
      </c>
      <c r="S75" t="s">
        <v>73</v>
      </c>
      <c r="T75" t="s">
        <v>73</v>
      </c>
      <c r="U75" t="s">
        <v>73</v>
      </c>
      <c r="V75" t="s">
        <v>73</v>
      </c>
      <c r="W75" t="s">
        <v>73</v>
      </c>
      <c r="X75" t="s">
        <v>73</v>
      </c>
      <c r="Y75">
        <v>2</v>
      </c>
      <c r="Z75">
        <v>68</v>
      </c>
      <c r="AA75">
        <v>62</v>
      </c>
      <c r="AB75">
        <v>42</v>
      </c>
      <c r="AC75" t="s">
        <v>73</v>
      </c>
      <c r="AD75" t="s">
        <v>55</v>
      </c>
      <c r="AE75" s="119">
        <v>0.88</v>
      </c>
      <c r="AF75" s="119">
        <v>12.4</v>
      </c>
      <c r="AG75" s="119">
        <v>12.8</v>
      </c>
      <c r="AH75" s="119">
        <v>1.4</v>
      </c>
      <c r="AI75" s="119">
        <v>0.92</v>
      </c>
      <c r="AJ75" s="119">
        <v>0.18</v>
      </c>
      <c r="AK75" s="113" t="s">
        <v>73</v>
      </c>
      <c r="AL75" s="119">
        <v>1.03</v>
      </c>
      <c r="AM75" s="119">
        <v>1.05</v>
      </c>
      <c r="AN75" s="113" t="s">
        <v>73</v>
      </c>
      <c r="AO75" s="119">
        <v>11.4</v>
      </c>
    </row>
    <row r="76" spans="1:41" x14ac:dyDescent="0.3">
      <c r="A76" t="s">
        <v>313</v>
      </c>
      <c r="B76" t="s">
        <v>749</v>
      </c>
      <c r="C76" t="s">
        <v>598</v>
      </c>
      <c r="D76" t="s">
        <v>73</v>
      </c>
      <c r="E76" t="s">
        <v>73</v>
      </c>
      <c r="F76" t="s">
        <v>73</v>
      </c>
      <c r="G76" t="s">
        <v>73</v>
      </c>
      <c r="H76" t="s">
        <v>73</v>
      </c>
      <c r="I76" t="s">
        <v>73</v>
      </c>
      <c r="J76" t="s">
        <v>73</v>
      </c>
      <c r="K76" t="s">
        <v>73</v>
      </c>
      <c r="L76" t="s">
        <v>73</v>
      </c>
      <c r="M76" s="113">
        <v>0.33100000000000002</v>
      </c>
      <c r="N76" s="113">
        <v>0.14799999999999999</v>
      </c>
      <c r="O76" s="114" t="s">
        <v>73</v>
      </c>
      <c r="P76" s="113">
        <v>-0.153</v>
      </c>
      <c r="Q76" s="114" t="s">
        <v>73</v>
      </c>
      <c r="R76" s="114" t="s">
        <v>73</v>
      </c>
      <c r="S76" t="s">
        <v>73</v>
      </c>
      <c r="T76" t="s">
        <v>73</v>
      </c>
      <c r="U76" t="s">
        <v>73</v>
      </c>
      <c r="V76" t="s">
        <v>73</v>
      </c>
      <c r="W76" t="s">
        <v>73</v>
      </c>
      <c r="X76" t="s">
        <v>73</v>
      </c>
      <c r="Y76">
        <v>3</v>
      </c>
      <c r="Z76">
        <v>67</v>
      </c>
      <c r="AA76">
        <v>77</v>
      </c>
      <c r="AB76">
        <v>45</v>
      </c>
      <c r="AC76" t="s">
        <v>73</v>
      </c>
      <c r="AD76" t="s">
        <v>55</v>
      </c>
      <c r="AE76" s="119">
        <v>0.68</v>
      </c>
      <c r="AF76" s="119">
        <v>8.4</v>
      </c>
      <c r="AG76" s="119">
        <v>3.8</v>
      </c>
      <c r="AH76" s="119">
        <v>2.8</v>
      </c>
      <c r="AI76" s="119">
        <v>0.72</v>
      </c>
      <c r="AJ76" s="119">
        <v>0.38</v>
      </c>
      <c r="AK76" s="113" t="s">
        <v>73</v>
      </c>
      <c r="AL76" s="119">
        <v>0.45</v>
      </c>
      <c r="AM76" s="119">
        <v>1.06</v>
      </c>
      <c r="AN76" s="113" t="s">
        <v>73</v>
      </c>
      <c r="AO76" s="119">
        <v>1</v>
      </c>
    </row>
    <row r="77" spans="1:41" x14ac:dyDescent="0.3">
      <c r="A77" t="s">
        <v>282</v>
      </c>
      <c r="B77" t="s">
        <v>750</v>
      </c>
      <c r="C77" t="s">
        <v>598</v>
      </c>
      <c r="D77" t="s">
        <v>73</v>
      </c>
      <c r="E77" t="s">
        <v>73</v>
      </c>
      <c r="F77" t="s">
        <v>73</v>
      </c>
      <c r="G77" t="s">
        <v>73</v>
      </c>
      <c r="H77" t="s">
        <v>73</v>
      </c>
      <c r="I77" t="s">
        <v>73</v>
      </c>
      <c r="J77" t="s">
        <v>73</v>
      </c>
      <c r="K77" t="s">
        <v>73</v>
      </c>
      <c r="L77" t="s">
        <v>73</v>
      </c>
      <c r="M77" s="113">
        <v>0.111</v>
      </c>
      <c r="N77" s="113">
        <v>6.0999999999999999E-2</v>
      </c>
      <c r="O77" s="114" t="s">
        <v>73</v>
      </c>
      <c r="P77" s="113">
        <v>0.46600000000000003</v>
      </c>
      <c r="Q77" s="114" t="s">
        <v>73</v>
      </c>
      <c r="R77" s="114" t="s">
        <v>73</v>
      </c>
      <c r="S77" t="s">
        <v>73</v>
      </c>
      <c r="T77" t="s">
        <v>73</v>
      </c>
      <c r="U77" t="s">
        <v>73</v>
      </c>
      <c r="V77" t="s">
        <v>73</v>
      </c>
      <c r="W77" t="s">
        <v>73</v>
      </c>
      <c r="X77" t="s">
        <v>73</v>
      </c>
      <c r="Y77">
        <v>81</v>
      </c>
      <c r="Z77">
        <v>67</v>
      </c>
      <c r="AA77">
        <v>9</v>
      </c>
      <c r="AB77">
        <v>58</v>
      </c>
      <c r="AC77" t="s">
        <v>73</v>
      </c>
      <c r="AD77" t="s">
        <v>55</v>
      </c>
      <c r="AE77" s="119">
        <v>0.62</v>
      </c>
      <c r="AF77" s="119">
        <v>5.8</v>
      </c>
      <c r="AG77" s="119">
        <v>2.4</v>
      </c>
      <c r="AH77" s="119">
        <v>1.2</v>
      </c>
      <c r="AI77" s="119">
        <v>0.68</v>
      </c>
      <c r="AJ77" s="119">
        <v>0.28000000000000003</v>
      </c>
      <c r="AK77" s="113" t="s">
        <v>73</v>
      </c>
      <c r="AL77" s="119">
        <v>0.41</v>
      </c>
      <c r="AM77" s="119">
        <v>1.1000000000000001</v>
      </c>
      <c r="AN77" s="113" t="s">
        <v>73</v>
      </c>
      <c r="AO77" s="119">
        <v>1.2</v>
      </c>
    </row>
    <row r="78" spans="1:41" x14ac:dyDescent="0.3">
      <c r="A78" t="s">
        <v>751</v>
      </c>
      <c r="B78" t="s">
        <v>752</v>
      </c>
      <c r="C78" t="s">
        <v>598</v>
      </c>
      <c r="D78" t="s">
        <v>73</v>
      </c>
      <c r="E78" t="s">
        <v>73</v>
      </c>
      <c r="F78" t="s">
        <v>73</v>
      </c>
      <c r="G78" t="s">
        <v>73</v>
      </c>
      <c r="H78" t="s">
        <v>73</v>
      </c>
      <c r="I78" t="s">
        <v>73</v>
      </c>
      <c r="J78" t="s">
        <v>73</v>
      </c>
      <c r="K78" t="s">
        <v>73</v>
      </c>
      <c r="L78" t="s">
        <v>73</v>
      </c>
      <c r="M78" s="113">
        <v>0.33900000000000002</v>
      </c>
      <c r="N78" s="113">
        <v>0.19600000000000001</v>
      </c>
      <c r="O78" s="114" t="s">
        <v>73</v>
      </c>
      <c r="P78" s="113">
        <v>-0.111</v>
      </c>
      <c r="Q78" s="114" t="s">
        <v>73</v>
      </c>
      <c r="R78" s="114" t="s">
        <v>73</v>
      </c>
      <c r="S78" t="s">
        <v>73</v>
      </c>
      <c r="T78" t="s">
        <v>73</v>
      </c>
      <c r="U78" t="s">
        <v>73</v>
      </c>
      <c r="V78" t="s">
        <v>73</v>
      </c>
      <c r="W78" t="s">
        <v>73</v>
      </c>
      <c r="X78" t="s">
        <v>73</v>
      </c>
      <c r="Y78">
        <v>7</v>
      </c>
      <c r="Z78">
        <v>75</v>
      </c>
      <c r="AA78">
        <v>72</v>
      </c>
      <c r="AB78">
        <v>49</v>
      </c>
      <c r="AC78" t="s">
        <v>73</v>
      </c>
      <c r="AD78" t="s">
        <v>55</v>
      </c>
      <c r="AE78" s="119">
        <v>1.42</v>
      </c>
      <c r="AF78" s="119">
        <v>11.4</v>
      </c>
      <c r="AG78" s="119">
        <v>3.8</v>
      </c>
      <c r="AH78" s="119">
        <v>4.2</v>
      </c>
      <c r="AI78" s="119">
        <v>1.5</v>
      </c>
      <c r="AJ78" s="119">
        <v>0.92</v>
      </c>
      <c r="AK78" s="113" t="s">
        <v>73</v>
      </c>
      <c r="AL78" s="119">
        <v>0.33</v>
      </c>
      <c r="AM78" s="119">
        <v>1.06</v>
      </c>
      <c r="AN78" s="113" t="s">
        <v>73</v>
      </c>
      <c r="AO78" s="119">
        <v>-0.4</v>
      </c>
    </row>
    <row r="79" spans="1:41" x14ac:dyDescent="0.3">
      <c r="A79" t="s">
        <v>311</v>
      </c>
      <c r="B79" t="s">
        <v>753</v>
      </c>
      <c r="C79" t="s">
        <v>598</v>
      </c>
      <c r="D79" t="s">
        <v>73</v>
      </c>
      <c r="E79" t="s">
        <v>73</v>
      </c>
      <c r="F79" t="s">
        <v>73</v>
      </c>
      <c r="G79" t="s">
        <v>73</v>
      </c>
      <c r="H79" t="s">
        <v>73</v>
      </c>
      <c r="I79" t="s">
        <v>73</v>
      </c>
      <c r="J79" t="s">
        <v>73</v>
      </c>
      <c r="K79" t="s">
        <v>73</v>
      </c>
      <c r="L79" t="s">
        <v>73</v>
      </c>
      <c r="M79" s="113">
        <v>8.8999999999999996E-2</v>
      </c>
      <c r="N79" s="113">
        <v>5.7000000000000002E-2</v>
      </c>
      <c r="O79" s="114" t="s">
        <v>73</v>
      </c>
      <c r="P79" s="113">
        <v>3.2000000000000001E-2</v>
      </c>
      <c r="Q79" s="114" t="s">
        <v>73</v>
      </c>
      <c r="R79" s="114" t="s">
        <v>73</v>
      </c>
      <c r="S79" t="s">
        <v>73</v>
      </c>
      <c r="T79" t="s">
        <v>73</v>
      </c>
      <c r="U79" t="s">
        <v>73</v>
      </c>
      <c r="V79" t="s">
        <v>73</v>
      </c>
      <c r="W79" t="s">
        <v>73</v>
      </c>
      <c r="X79" t="s">
        <v>73</v>
      </c>
      <c r="Y79">
        <v>8</v>
      </c>
      <c r="Z79">
        <v>53</v>
      </c>
      <c r="AA79">
        <v>81</v>
      </c>
      <c r="AB79">
        <v>43</v>
      </c>
      <c r="AC79" t="s">
        <v>73</v>
      </c>
      <c r="AD79" t="s">
        <v>55</v>
      </c>
      <c r="AE79" s="119">
        <v>0.48</v>
      </c>
      <c r="AF79" s="119">
        <v>3.2</v>
      </c>
      <c r="AG79" s="119">
        <v>4.8</v>
      </c>
      <c r="AH79" s="119">
        <v>1.2</v>
      </c>
      <c r="AI79" s="119">
        <v>0.52</v>
      </c>
      <c r="AJ79" s="119">
        <v>0.42</v>
      </c>
      <c r="AK79" s="113" t="s">
        <v>73</v>
      </c>
      <c r="AL79" s="119">
        <v>1.5</v>
      </c>
      <c r="AM79" s="119">
        <v>1.08</v>
      </c>
      <c r="AN79" s="113" t="s">
        <v>73</v>
      </c>
      <c r="AO79" s="119">
        <v>3.6</v>
      </c>
    </row>
    <row r="80" spans="1:41" x14ac:dyDescent="0.3">
      <c r="A80" t="s">
        <v>754</v>
      </c>
      <c r="B80" t="s">
        <v>755</v>
      </c>
      <c r="C80" t="s">
        <v>598</v>
      </c>
      <c r="D80" t="s">
        <v>73</v>
      </c>
      <c r="E80" t="s">
        <v>73</v>
      </c>
      <c r="F80" t="s">
        <v>73</v>
      </c>
      <c r="G80" t="s">
        <v>73</v>
      </c>
      <c r="H80" t="s">
        <v>73</v>
      </c>
      <c r="I80" t="s">
        <v>73</v>
      </c>
      <c r="J80" t="s">
        <v>73</v>
      </c>
      <c r="K80" t="s">
        <v>73</v>
      </c>
      <c r="L80" t="s">
        <v>73</v>
      </c>
      <c r="M80" s="113">
        <v>0.31</v>
      </c>
      <c r="N80" s="113">
        <v>0.221</v>
      </c>
      <c r="O80" s="114" t="s">
        <v>73</v>
      </c>
      <c r="P80" s="113">
        <v>5.8999999999999997E-2</v>
      </c>
      <c r="Q80" s="114" t="s">
        <v>73</v>
      </c>
      <c r="R80" s="114" t="s">
        <v>73</v>
      </c>
      <c r="S80" t="s">
        <v>73</v>
      </c>
      <c r="T80" t="s">
        <v>73</v>
      </c>
      <c r="U80" t="s">
        <v>73</v>
      </c>
      <c r="V80" t="s">
        <v>73</v>
      </c>
      <c r="W80" t="s">
        <v>73</v>
      </c>
      <c r="X80" t="s">
        <v>73</v>
      </c>
      <c r="Y80">
        <v>41</v>
      </c>
      <c r="Z80">
        <v>62</v>
      </c>
      <c r="AA80">
        <v>21</v>
      </c>
      <c r="AB80">
        <v>44</v>
      </c>
      <c r="AC80" t="s">
        <v>73</v>
      </c>
      <c r="AD80" t="s">
        <v>55</v>
      </c>
      <c r="AE80" s="119">
        <v>0.68</v>
      </c>
      <c r="AF80" s="119">
        <v>2.4</v>
      </c>
      <c r="AG80" s="119">
        <v>3.8</v>
      </c>
      <c r="AH80" s="119">
        <v>0.8</v>
      </c>
      <c r="AI80" s="119">
        <v>0.72</v>
      </c>
      <c r="AJ80" s="119">
        <v>0.18</v>
      </c>
      <c r="AK80" s="113" t="s">
        <v>73</v>
      </c>
      <c r="AL80" s="119">
        <v>1.58</v>
      </c>
      <c r="AM80" s="119">
        <v>1.06</v>
      </c>
      <c r="AN80" s="113" t="s">
        <v>73</v>
      </c>
      <c r="AO80" s="119">
        <v>3</v>
      </c>
    </row>
    <row r="81" spans="1:41" x14ac:dyDescent="0.3">
      <c r="A81" t="s">
        <v>756</v>
      </c>
      <c r="B81" t="s">
        <v>757</v>
      </c>
      <c r="C81" t="s">
        <v>598</v>
      </c>
      <c r="D81" t="s">
        <v>73</v>
      </c>
      <c r="E81" t="s">
        <v>73</v>
      </c>
      <c r="F81" t="s">
        <v>73</v>
      </c>
      <c r="G81" t="s">
        <v>73</v>
      </c>
      <c r="H81" t="s">
        <v>73</v>
      </c>
      <c r="I81" t="s">
        <v>73</v>
      </c>
      <c r="J81" t="s">
        <v>73</v>
      </c>
      <c r="K81" t="s">
        <v>73</v>
      </c>
      <c r="L81" t="s">
        <v>73</v>
      </c>
      <c r="M81" s="113">
        <v>0.28799999999999998</v>
      </c>
      <c r="N81" s="113">
        <v>0.126</v>
      </c>
      <c r="O81" s="114" t="s">
        <v>73</v>
      </c>
      <c r="P81" s="113">
        <v>0.154</v>
      </c>
      <c r="Q81" s="114" t="s">
        <v>73</v>
      </c>
      <c r="R81" s="114" t="s">
        <v>73</v>
      </c>
      <c r="S81" t="s">
        <v>73</v>
      </c>
      <c r="T81" t="s">
        <v>73</v>
      </c>
      <c r="U81" t="s">
        <v>73</v>
      </c>
      <c r="V81" t="s">
        <v>73</v>
      </c>
      <c r="W81" t="s">
        <v>73</v>
      </c>
      <c r="X81" t="s">
        <v>73</v>
      </c>
      <c r="Y81">
        <v>37</v>
      </c>
      <c r="Z81">
        <v>73</v>
      </c>
      <c r="AA81">
        <v>29</v>
      </c>
      <c r="AB81">
        <v>48</v>
      </c>
      <c r="AC81" t="s">
        <v>73</v>
      </c>
      <c r="AD81" t="s">
        <v>55</v>
      </c>
      <c r="AE81" s="119">
        <v>0.52</v>
      </c>
      <c r="AF81" s="119">
        <v>4.8</v>
      </c>
      <c r="AG81" s="119">
        <v>0.4</v>
      </c>
      <c r="AH81" s="119">
        <v>1.8</v>
      </c>
      <c r="AI81" s="119">
        <v>0.57999999999999996</v>
      </c>
      <c r="AJ81" s="119">
        <v>0.08</v>
      </c>
      <c r="AK81" s="113" t="s">
        <v>73</v>
      </c>
      <c r="AL81" s="119">
        <v>0.08</v>
      </c>
      <c r="AM81" s="119">
        <v>1.1200000000000001</v>
      </c>
      <c r="AN81" s="113" t="s">
        <v>73</v>
      </c>
      <c r="AO81" s="119">
        <v>-1.4</v>
      </c>
    </row>
    <row r="82" spans="1:41" x14ac:dyDescent="0.3">
      <c r="A82" t="s">
        <v>758</v>
      </c>
      <c r="B82" t="s">
        <v>759</v>
      </c>
      <c r="C82" t="s">
        <v>598</v>
      </c>
      <c r="D82" t="s">
        <v>73</v>
      </c>
      <c r="E82" t="s">
        <v>73</v>
      </c>
      <c r="F82" t="s">
        <v>73</v>
      </c>
      <c r="G82" t="s">
        <v>73</v>
      </c>
      <c r="H82" t="s">
        <v>73</v>
      </c>
      <c r="I82" t="s">
        <v>73</v>
      </c>
      <c r="J82" t="s">
        <v>73</v>
      </c>
      <c r="K82" t="s">
        <v>73</v>
      </c>
      <c r="L82" t="s">
        <v>73</v>
      </c>
      <c r="M82" s="113">
        <v>0.41199999999999998</v>
      </c>
      <c r="N82" s="113">
        <v>0.249</v>
      </c>
      <c r="O82" s="114" t="s">
        <v>73</v>
      </c>
      <c r="P82" s="113">
        <v>-2.1999999999999999E-2</v>
      </c>
      <c r="Q82" s="114" t="s">
        <v>73</v>
      </c>
      <c r="R82" s="114" t="s">
        <v>73</v>
      </c>
      <c r="S82" t="s">
        <v>73</v>
      </c>
      <c r="T82" t="s">
        <v>73</v>
      </c>
      <c r="U82" t="s">
        <v>73</v>
      </c>
      <c r="V82" t="s">
        <v>73</v>
      </c>
      <c r="W82" t="s">
        <v>73</v>
      </c>
      <c r="X82" t="s">
        <v>73</v>
      </c>
      <c r="Y82">
        <v>15</v>
      </c>
      <c r="Z82">
        <v>75</v>
      </c>
      <c r="AA82">
        <v>35</v>
      </c>
      <c r="AB82">
        <v>43</v>
      </c>
      <c r="AC82" t="s">
        <v>73</v>
      </c>
      <c r="AD82" t="s">
        <v>55</v>
      </c>
      <c r="AE82" s="119">
        <v>0.98</v>
      </c>
      <c r="AF82" s="119">
        <v>8.4</v>
      </c>
      <c r="AG82" s="119">
        <v>2.8</v>
      </c>
      <c r="AH82" s="119">
        <v>0.8</v>
      </c>
      <c r="AI82" s="119">
        <v>1.1000000000000001</v>
      </c>
      <c r="AJ82" s="119">
        <v>0.28000000000000003</v>
      </c>
      <c r="AK82" s="113" t="s">
        <v>73</v>
      </c>
      <c r="AL82" s="119">
        <v>0.33</v>
      </c>
      <c r="AM82" s="119">
        <v>1.1200000000000001</v>
      </c>
      <c r="AN82" s="113" t="s">
        <v>73</v>
      </c>
      <c r="AO82" s="119">
        <v>2</v>
      </c>
    </row>
    <row r="83" spans="1:41" x14ac:dyDescent="0.3">
      <c r="A83" t="s">
        <v>760</v>
      </c>
      <c r="B83" t="s">
        <v>761</v>
      </c>
      <c r="C83" t="s">
        <v>598</v>
      </c>
      <c r="D83" t="s">
        <v>73</v>
      </c>
      <c r="E83" t="s">
        <v>73</v>
      </c>
      <c r="F83" t="s">
        <v>73</v>
      </c>
      <c r="G83" t="s">
        <v>73</v>
      </c>
      <c r="H83" t="s">
        <v>73</v>
      </c>
      <c r="I83" t="s">
        <v>73</v>
      </c>
      <c r="J83" t="s">
        <v>73</v>
      </c>
      <c r="K83" t="s">
        <v>73</v>
      </c>
      <c r="L83" t="s">
        <v>73</v>
      </c>
      <c r="M83" s="113">
        <v>0.48099999999999998</v>
      </c>
      <c r="N83" s="113">
        <v>0.158</v>
      </c>
      <c r="O83" s="114" t="s">
        <v>73</v>
      </c>
      <c r="P83" s="113">
        <v>8.3000000000000004E-2</v>
      </c>
      <c r="Q83" s="114" t="s">
        <v>73</v>
      </c>
      <c r="R83" s="114" t="s">
        <v>73</v>
      </c>
      <c r="S83" t="s">
        <v>73</v>
      </c>
      <c r="T83" t="s">
        <v>73</v>
      </c>
      <c r="U83" t="s">
        <v>73</v>
      </c>
      <c r="V83" t="s">
        <v>73</v>
      </c>
      <c r="W83" t="s">
        <v>73</v>
      </c>
      <c r="X83" t="s">
        <v>73</v>
      </c>
      <c r="Y83">
        <v>22</v>
      </c>
      <c r="Z83">
        <v>68</v>
      </c>
      <c r="AA83">
        <v>24</v>
      </c>
      <c r="AB83">
        <v>40</v>
      </c>
      <c r="AC83" t="s">
        <v>73</v>
      </c>
      <c r="AD83" t="s">
        <v>55</v>
      </c>
      <c r="AE83" s="119">
        <v>0.52</v>
      </c>
      <c r="AF83" s="119">
        <v>3.8</v>
      </c>
      <c r="AG83" s="119">
        <v>4.2</v>
      </c>
      <c r="AH83" s="119">
        <v>0.6</v>
      </c>
      <c r="AI83" s="119">
        <v>0.57999999999999996</v>
      </c>
      <c r="AJ83" s="119">
        <v>0.22</v>
      </c>
      <c r="AK83" s="113" t="s">
        <v>73</v>
      </c>
      <c r="AL83" s="119">
        <v>1.1100000000000001</v>
      </c>
      <c r="AM83" s="119">
        <v>1.1200000000000001</v>
      </c>
      <c r="AN83" s="113" t="s">
        <v>73</v>
      </c>
      <c r="AO83" s="119">
        <v>3.6</v>
      </c>
    </row>
    <row r="84" spans="1:41" x14ac:dyDescent="0.3">
      <c r="A84" t="s">
        <v>762</v>
      </c>
      <c r="B84" t="s">
        <v>763</v>
      </c>
      <c r="C84" t="s">
        <v>598</v>
      </c>
      <c r="D84" t="s">
        <v>73</v>
      </c>
      <c r="E84" t="s">
        <v>73</v>
      </c>
      <c r="F84" t="s">
        <v>73</v>
      </c>
      <c r="G84" t="s">
        <v>73</v>
      </c>
      <c r="H84" t="s">
        <v>73</v>
      </c>
      <c r="I84" t="s">
        <v>73</v>
      </c>
      <c r="J84" t="s">
        <v>73</v>
      </c>
      <c r="K84" t="s">
        <v>73</v>
      </c>
      <c r="L84" t="s">
        <v>73</v>
      </c>
      <c r="M84" s="113">
        <v>0.31900000000000001</v>
      </c>
      <c r="N84" s="113">
        <v>0.17</v>
      </c>
      <c r="O84" s="114" t="s">
        <v>73</v>
      </c>
      <c r="P84" s="113">
        <v>7.3999999999999996E-2</v>
      </c>
      <c r="Q84" s="114" t="s">
        <v>73</v>
      </c>
      <c r="R84" s="114" t="s">
        <v>73</v>
      </c>
      <c r="S84" t="s">
        <v>73</v>
      </c>
      <c r="T84" t="s">
        <v>73</v>
      </c>
      <c r="U84" t="s">
        <v>73</v>
      </c>
      <c r="V84" t="s">
        <v>73</v>
      </c>
      <c r="W84" t="s">
        <v>73</v>
      </c>
      <c r="X84" t="s">
        <v>73</v>
      </c>
      <c r="Y84">
        <v>36</v>
      </c>
      <c r="Z84">
        <v>82</v>
      </c>
      <c r="AA84">
        <v>15</v>
      </c>
      <c r="AB84">
        <v>48</v>
      </c>
      <c r="AC84" t="s">
        <v>73</v>
      </c>
      <c r="AD84" t="s">
        <v>55</v>
      </c>
      <c r="AE84" s="119">
        <v>7.08</v>
      </c>
      <c r="AF84" s="119">
        <v>22.8</v>
      </c>
      <c r="AG84" s="119">
        <v>2.4</v>
      </c>
      <c r="AH84" s="119">
        <v>8.8000000000000007</v>
      </c>
      <c r="AI84" s="119">
        <v>7.6</v>
      </c>
      <c r="AJ84" s="119">
        <v>0.88</v>
      </c>
      <c r="AK84" s="113" t="s">
        <v>73</v>
      </c>
      <c r="AL84" s="119">
        <v>0.11</v>
      </c>
      <c r="AM84" s="119">
        <v>1.07</v>
      </c>
      <c r="AN84" s="113" t="s">
        <v>73</v>
      </c>
      <c r="AO84" s="119">
        <v>-6.4</v>
      </c>
    </row>
    <row r="85" spans="1:41" x14ac:dyDescent="0.3">
      <c r="A85" t="s">
        <v>764</v>
      </c>
      <c r="B85" t="s">
        <v>765</v>
      </c>
      <c r="C85" t="s">
        <v>598</v>
      </c>
      <c r="D85" t="s">
        <v>73</v>
      </c>
      <c r="E85" t="s">
        <v>73</v>
      </c>
      <c r="F85" t="s">
        <v>73</v>
      </c>
      <c r="G85" t="s">
        <v>73</v>
      </c>
      <c r="H85" t="s">
        <v>73</v>
      </c>
      <c r="I85" t="s">
        <v>73</v>
      </c>
      <c r="J85" t="s">
        <v>73</v>
      </c>
      <c r="K85" t="s">
        <v>73</v>
      </c>
      <c r="L85" t="s">
        <v>73</v>
      </c>
      <c r="M85" s="113">
        <v>0.68400000000000005</v>
      </c>
      <c r="N85" s="113">
        <v>0.19900000000000001</v>
      </c>
      <c r="O85" s="114" t="s">
        <v>73</v>
      </c>
      <c r="P85" s="113">
        <v>3.6999999999999998E-2</v>
      </c>
      <c r="Q85" s="114" t="s">
        <v>73</v>
      </c>
      <c r="R85" s="114" t="s">
        <v>73</v>
      </c>
      <c r="S85" t="s">
        <v>73</v>
      </c>
      <c r="T85" t="s">
        <v>73</v>
      </c>
      <c r="U85" t="s">
        <v>73</v>
      </c>
      <c r="V85" t="s">
        <v>73</v>
      </c>
      <c r="W85" t="s">
        <v>73</v>
      </c>
      <c r="X85" t="s">
        <v>73</v>
      </c>
      <c r="Y85">
        <v>10</v>
      </c>
      <c r="Z85">
        <v>62</v>
      </c>
      <c r="AA85">
        <v>1</v>
      </c>
      <c r="AB85">
        <v>27</v>
      </c>
      <c r="AC85" t="s">
        <v>73</v>
      </c>
      <c r="AD85" t="s">
        <v>55</v>
      </c>
      <c r="AE85" s="119">
        <v>0.62</v>
      </c>
      <c r="AF85" s="119">
        <v>5.8</v>
      </c>
      <c r="AG85" s="119">
        <v>11.4</v>
      </c>
      <c r="AH85" s="119">
        <v>1.2</v>
      </c>
      <c r="AI85" s="119">
        <v>0.68</v>
      </c>
      <c r="AJ85" s="119">
        <v>0.12</v>
      </c>
      <c r="AK85" s="113" t="s">
        <v>73</v>
      </c>
      <c r="AL85" s="119">
        <v>1.97</v>
      </c>
      <c r="AM85" s="119">
        <v>1.1000000000000001</v>
      </c>
      <c r="AN85" s="113" t="s">
        <v>73</v>
      </c>
      <c r="AO85" s="119">
        <v>10.199999999999999</v>
      </c>
    </row>
    <row r="86" spans="1:41" x14ac:dyDescent="0.3">
      <c r="A86" t="s">
        <v>766</v>
      </c>
      <c r="B86" t="s">
        <v>767</v>
      </c>
      <c r="C86" t="s">
        <v>598</v>
      </c>
      <c r="D86" t="s">
        <v>73</v>
      </c>
      <c r="E86" t="s">
        <v>73</v>
      </c>
      <c r="F86" t="s">
        <v>73</v>
      </c>
      <c r="G86" t="s">
        <v>73</v>
      </c>
      <c r="H86" t="s">
        <v>73</v>
      </c>
      <c r="I86" t="s">
        <v>73</v>
      </c>
      <c r="J86" t="s">
        <v>73</v>
      </c>
      <c r="K86" t="s">
        <v>73</v>
      </c>
      <c r="L86" t="s">
        <v>73</v>
      </c>
      <c r="M86" s="113">
        <v>0.20599999999999999</v>
      </c>
      <c r="N86" s="113">
        <v>7.4999999999999997E-2</v>
      </c>
      <c r="O86" s="114" t="s">
        <v>73</v>
      </c>
      <c r="P86" s="113">
        <v>3.2000000000000001E-2</v>
      </c>
      <c r="Q86" s="114" t="s">
        <v>73</v>
      </c>
      <c r="R86" s="114" t="s">
        <v>73</v>
      </c>
      <c r="S86" t="s">
        <v>73</v>
      </c>
      <c r="T86" t="s">
        <v>73</v>
      </c>
      <c r="U86" t="s">
        <v>73</v>
      </c>
      <c r="V86" t="s">
        <v>73</v>
      </c>
      <c r="W86" t="s">
        <v>73</v>
      </c>
      <c r="X86" t="s">
        <v>73</v>
      </c>
      <c r="Y86">
        <v>16</v>
      </c>
      <c r="Z86">
        <v>53</v>
      </c>
      <c r="AA86">
        <v>34</v>
      </c>
      <c r="AB86">
        <v>34</v>
      </c>
      <c r="AC86" t="s">
        <v>73</v>
      </c>
      <c r="AD86" t="s">
        <v>55</v>
      </c>
      <c r="AE86" s="119">
        <v>2.68</v>
      </c>
      <c r="AF86" s="119">
        <v>4.2</v>
      </c>
      <c r="AG86" s="119">
        <v>10.8</v>
      </c>
      <c r="AH86" s="119">
        <v>2.4</v>
      </c>
      <c r="AI86" s="119">
        <v>2.9</v>
      </c>
      <c r="AJ86" s="119">
        <v>0.48</v>
      </c>
      <c r="AK86" s="113" t="s">
        <v>73</v>
      </c>
      <c r="AL86" s="119">
        <v>2.57</v>
      </c>
      <c r="AM86" s="119">
        <v>1.08</v>
      </c>
      <c r="AN86" s="113" t="s">
        <v>73</v>
      </c>
      <c r="AO86" s="119">
        <v>8.4</v>
      </c>
    </row>
    <row r="87" spans="1:41" x14ac:dyDescent="0.3">
      <c r="A87" t="s">
        <v>768</v>
      </c>
      <c r="B87" t="s">
        <v>769</v>
      </c>
      <c r="C87" t="s">
        <v>598</v>
      </c>
      <c r="D87" t="s">
        <v>73</v>
      </c>
      <c r="E87" t="s">
        <v>73</v>
      </c>
      <c r="F87" t="s">
        <v>73</v>
      </c>
      <c r="G87" t="s">
        <v>73</v>
      </c>
      <c r="H87" t="s">
        <v>73</v>
      </c>
      <c r="I87" t="s">
        <v>73</v>
      </c>
      <c r="J87" t="s">
        <v>73</v>
      </c>
      <c r="K87" t="s">
        <v>73</v>
      </c>
      <c r="L87" t="s">
        <v>73</v>
      </c>
      <c r="M87" s="113">
        <v>0.27</v>
      </c>
      <c r="N87" s="113">
        <v>0.13600000000000001</v>
      </c>
      <c r="O87" s="114" t="s">
        <v>73</v>
      </c>
      <c r="P87" s="113">
        <v>1.7000000000000001E-2</v>
      </c>
      <c r="Q87" s="114" t="s">
        <v>73</v>
      </c>
      <c r="R87" s="114" t="s">
        <v>73</v>
      </c>
      <c r="S87" t="s">
        <v>73</v>
      </c>
      <c r="T87" t="s">
        <v>73</v>
      </c>
      <c r="U87" t="s">
        <v>73</v>
      </c>
      <c r="V87" t="s">
        <v>73</v>
      </c>
      <c r="W87" t="s">
        <v>73</v>
      </c>
      <c r="X87" t="s">
        <v>73</v>
      </c>
      <c r="Y87">
        <v>17</v>
      </c>
      <c r="Z87">
        <v>67</v>
      </c>
      <c r="AA87">
        <v>27</v>
      </c>
      <c r="AB87">
        <v>38</v>
      </c>
      <c r="AC87" t="s">
        <v>73</v>
      </c>
      <c r="AD87" t="s">
        <v>55</v>
      </c>
      <c r="AE87" s="119">
        <v>1.28</v>
      </c>
      <c r="AF87" s="119">
        <v>12.4</v>
      </c>
      <c r="AG87" s="119">
        <v>4.8</v>
      </c>
      <c r="AH87" s="119">
        <v>3.6</v>
      </c>
      <c r="AI87" s="119">
        <v>1.4</v>
      </c>
      <c r="AJ87" s="119">
        <v>0.42</v>
      </c>
      <c r="AK87" s="113" t="s">
        <v>73</v>
      </c>
      <c r="AL87" s="119">
        <v>0.39</v>
      </c>
      <c r="AM87" s="119">
        <v>1.0900000000000001</v>
      </c>
      <c r="AN87" s="113" t="s">
        <v>73</v>
      </c>
      <c r="AO87" s="119">
        <v>1.2</v>
      </c>
    </row>
    <row r="88" spans="1:41" x14ac:dyDescent="0.3">
      <c r="A88" t="s">
        <v>770</v>
      </c>
      <c r="B88" t="s">
        <v>771</v>
      </c>
      <c r="C88" t="s">
        <v>598</v>
      </c>
      <c r="D88" t="s">
        <v>73</v>
      </c>
      <c r="E88" t="s">
        <v>73</v>
      </c>
      <c r="F88" t="s">
        <v>73</v>
      </c>
      <c r="G88" t="s">
        <v>73</v>
      </c>
      <c r="H88" t="s">
        <v>73</v>
      </c>
      <c r="I88" t="s">
        <v>73</v>
      </c>
      <c r="J88" t="s">
        <v>73</v>
      </c>
      <c r="K88" t="s">
        <v>73</v>
      </c>
      <c r="L88" t="s">
        <v>73</v>
      </c>
      <c r="M88" s="113">
        <v>0.217</v>
      </c>
      <c r="N88" s="113">
        <v>8.6999999999999994E-2</v>
      </c>
      <c r="O88" s="114" t="s">
        <v>73</v>
      </c>
      <c r="P88" s="113">
        <v>6.8000000000000005E-2</v>
      </c>
      <c r="Q88" s="114" t="s">
        <v>73</v>
      </c>
      <c r="R88" s="114" t="s">
        <v>73</v>
      </c>
      <c r="S88" t="s">
        <v>73</v>
      </c>
      <c r="T88" t="s">
        <v>73</v>
      </c>
      <c r="U88" t="s">
        <v>73</v>
      </c>
      <c r="V88" t="s">
        <v>73</v>
      </c>
      <c r="W88" t="s">
        <v>73</v>
      </c>
      <c r="X88" t="s">
        <v>73</v>
      </c>
      <c r="Y88">
        <v>26</v>
      </c>
      <c r="Z88">
        <v>43</v>
      </c>
      <c r="AA88">
        <v>22</v>
      </c>
      <c r="AB88">
        <v>31</v>
      </c>
      <c r="AC88" t="s">
        <v>73</v>
      </c>
      <c r="AD88" t="s">
        <v>55</v>
      </c>
      <c r="AE88" s="119">
        <v>0.78</v>
      </c>
      <c r="AF88" s="119">
        <v>1.8</v>
      </c>
      <c r="AG88" s="119">
        <v>6.4</v>
      </c>
      <c r="AH88" s="119">
        <v>0.6</v>
      </c>
      <c r="AI88" s="119">
        <v>0.88</v>
      </c>
      <c r="AJ88" s="119">
        <v>0.18</v>
      </c>
      <c r="AK88" s="113" t="s">
        <v>73</v>
      </c>
      <c r="AL88" s="119">
        <v>3.56</v>
      </c>
      <c r="AM88" s="119">
        <v>1.1299999999999999</v>
      </c>
      <c r="AN88" s="113" t="s">
        <v>73</v>
      </c>
      <c r="AO88" s="119">
        <v>5.8</v>
      </c>
    </row>
    <row r="89" spans="1:41" x14ac:dyDescent="0.3">
      <c r="A89" t="s">
        <v>772</v>
      </c>
      <c r="B89" t="s">
        <v>773</v>
      </c>
      <c r="C89" t="s">
        <v>598</v>
      </c>
      <c r="D89" t="s">
        <v>73</v>
      </c>
      <c r="E89" t="s">
        <v>73</v>
      </c>
      <c r="F89" t="s">
        <v>73</v>
      </c>
      <c r="G89" t="s">
        <v>73</v>
      </c>
      <c r="H89" t="s">
        <v>73</v>
      </c>
      <c r="I89" t="s">
        <v>73</v>
      </c>
      <c r="J89" t="s">
        <v>73</v>
      </c>
      <c r="K89" t="s">
        <v>73</v>
      </c>
      <c r="L89" t="s">
        <v>73</v>
      </c>
      <c r="M89" s="113">
        <v>0.36899999999999999</v>
      </c>
      <c r="N89" s="113">
        <v>0.32300000000000001</v>
      </c>
      <c r="O89" s="114" t="s">
        <v>73</v>
      </c>
      <c r="P89" s="113">
        <v>5.3999999999999999E-2</v>
      </c>
      <c r="Q89" s="114" t="s">
        <v>73</v>
      </c>
      <c r="R89" s="114" t="s">
        <v>73</v>
      </c>
      <c r="S89" t="s">
        <v>73</v>
      </c>
      <c r="T89" t="s">
        <v>73</v>
      </c>
      <c r="U89" t="s">
        <v>73</v>
      </c>
      <c r="V89" t="s">
        <v>73</v>
      </c>
      <c r="W89" t="s">
        <v>73</v>
      </c>
      <c r="X89" t="s">
        <v>73</v>
      </c>
      <c r="Y89">
        <v>24</v>
      </c>
      <c r="Z89">
        <v>82</v>
      </c>
      <c r="AA89">
        <v>14</v>
      </c>
      <c r="AB89">
        <v>43</v>
      </c>
      <c r="AC89" t="s">
        <v>73</v>
      </c>
      <c r="AD89" t="s">
        <v>55</v>
      </c>
      <c r="AE89" s="119">
        <v>1.38</v>
      </c>
      <c r="AF89" s="119">
        <v>42.8</v>
      </c>
      <c r="AG89" s="119">
        <v>19.8</v>
      </c>
      <c r="AH89" s="119">
        <v>2.8</v>
      </c>
      <c r="AI89" s="119">
        <v>1.5</v>
      </c>
      <c r="AJ89" s="119">
        <v>0.88</v>
      </c>
      <c r="AK89" s="113" t="s">
        <v>73</v>
      </c>
      <c r="AL89" s="119">
        <v>0.46</v>
      </c>
      <c r="AM89" s="119">
        <v>1.0900000000000001</v>
      </c>
      <c r="AN89" s="113" t="s">
        <v>73</v>
      </c>
      <c r="AO89" s="119">
        <v>17</v>
      </c>
    </row>
    <row r="90" spans="1:41" x14ac:dyDescent="0.3">
      <c r="A90" t="s">
        <v>774</v>
      </c>
      <c r="B90" t="s">
        <v>775</v>
      </c>
      <c r="C90" t="s">
        <v>598</v>
      </c>
      <c r="D90" t="s">
        <v>73</v>
      </c>
      <c r="E90" t="s">
        <v>73</v>
      </c>
      <c r="F90" t="s">
        <v>73</v>
      </c>
      <c r="G90" t="s">
        <v>73</v>
      </c>
      <c r="H90" t="s">
        <v>73</v>
      </c>
      <c r="I90" t="s">
        <v>73</v>
      </c>
      <c r="J90" t="s">
        <v>73</v>
      </c>
      <c r="K90" t="s">
        <v>73</v>
      </c>
      <c r="L90" t="s">
        <v>73</v>
      </c>
      <c r="M90" s="113">
        <v>0.56499999999999995</v>
      </c>
      <c r="N90" s="113">
        <v>-1.1220000000000001</v>
      </c>
      <c r="O90" s="114" t="s">
        <v>73</v>
      </c>
      <c r="P90" s="113">
        <v>-3.2000000000000001E-2</v>
      </c>
      <c r="Q90" s="114" t="s">
        <v>73</v>
      </c>
      <c r="R90" s="114" t="s">
        <v>73</v>
      </c>
      <c r="S90" t="s">
        <v>73</v>
      </c>
      <c r="T90" t="s">
        <v>73</v>
      </c>
      <c r="U90" t="s">
        <v>73</v>
      </c>
      <c r="V90" t="s">
        <v>73</v>
      </c>
      <c r="W90" t="s">
        <v>73</v>
      </c>
      <c r="X90" t="s">
        <v>73</v>
      </c>
      <c r="Y90">
        <v>0</v>
      </c>
      <c r="Z90">
        <v>28</v>
      </c>
      <c r="AA90">
        <v>0</v>
      </c>
      <c r="AB90">
        <v>11</v>
      </c>
      <c r="AC90" t="s">
        <v>73</v>
      </c>
      <c r="AD90" t="s">
        <v>55</v>
      </c>
      <c r="AE90" s="119">
        <v>-1.1200000000000001</v>
      </c>
      <c r="AF90" s="119">
        <v>3.4</v>
      </c>
      <c r="AG90" s="119">
        <v>12.8</v>
      </c>
      <c r="AH90" s="119">
        <v>0.8</v>
      </c>
      <c r="AI90" s="119">
        <v>-1</v>
      </c>
      <c r="AJ90" s="119">
        <v>0.38</v>
      </c>
      <c r="AK90" s="113" t="s">
        <v>73</v>
      </c>
      <c r="AL90" s="119">
        <v>3.76</v>
      </c>
      <c r="AM90" s="119">
        <v>0.89</v>
      </c>
      <c r="AN90" s="113" t="s">
        <v>73</v>
      </c>
      <c r="AO90" s="119">
        <v>12</v>
      </c>
    </row>
  </sheetData>
  <mergeCells count="1"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DASHBOARD</vt:lpstr>
      <vt:lpstr>VALUE</vt:lpstr>
      <vt:lpstr>GROWTH</vt:lpstr>
      <vt:lpstr>QUALITY</vt:lpstr>
      <vt:lpstr>MOMENTUM</vt:lpstr>
      <vt:lpstr>ÉNERGIE</vt:lpstr>
      <vt:lpstr>DONNÉES BRUTES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Baptiste jeh</cp:lastModifiedBy>
  <dcterms:created xsi:type="dcterms:W3CDTF">2026-03-22T08:37:34Z</dcterms:created>
  <dcterms:modified xsi:type="dcterms:W3CDTF">2026-04-18T17:52:00Z</dcterms:modified>
</cp:coreProperties>
</file>