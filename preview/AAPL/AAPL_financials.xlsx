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5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Share Price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="5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394328</v>
      </c>
      <c r="F9" s="266" t="n">
        <v>383285</v>
      </c>
      <c r="G9" s="266" t="n">
        <v>391035</v>
      </c>
      <c r="H9" s="266" t="n">
        <v>416161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-223546</v>
      </c>
      <c r="F10" s="267" t="n">
        <v>-214137</v>
      </c>
      <c r="G10" s="267" t="n">
        <v>-210352</v>
      </c>
      <c r="H10" s="267" t="n">
        <v>-220960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>
        <v>-25094</v>
      </c>
      <c r="F14" s="266" t="n">
        <v>-24932</v>
      </c>
      <c r="G14" s="266" t="n">
        <v>-26097</v>
      </c>
      <c r="H14" s="266" t="n">
        <v>-27601</v>
      </c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>
        <v>-26251</v>
      </c>
      <c r="F15" s="266" t="n">
        <v>-29915</v>
      </c>
      <c r="G15" s="266" t="n">
        <v>-31370</v>
      </c>
      <c r="H15" s="266" t="n">
        <v>-34550</v>
      </c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-11104</v>
      </c>
      <c r="F16" s="268" t="n">
        <v>-11519</v>
      </c>
      <c r="G16" s="268" t="n">
        <v>-11445</v>
      </c>
      <c r="H16" s="268" t="n">
        <v>-11698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>
        <v>-2931</v>
      </c>
      <c r="F20" s="266" t="n">
        <v>-3933</v>
      </c>
      <c r="G20" s="266" t="n">
        <v>0</v>
      </c>
      <c r="H20" s="266" t="n">
        <v>0</v>
      </c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>
        <v>2825</v>
      </c>
      <c r="F21" s="268" t="n">
        <v>3750</v>
      </c>
      <c r="G21" s="268" t="n">
        <v>0</v>
      </c>
      <c r="H21" s="268" t="n">
        <v>0</v>
      </c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-19300</v>
      </c>
      <c r="F25" s="266" t="n">
        <v>-16741</v>
      </c>
      <c r="G25" s="266" t="n">
        <v>-29749</v>
      </c>
      <c r="H25" s="266" t="n">
        <v>-20719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>
        <v>-89402</v>
      </c>
      <c r="F29" s="266" t="n">
        <v>-77550</v>
      </c>
      <c r="G29" s="266" t="n">
        <v>-94949</v>
      </c>
      <c r="H29" s="266" t="n">
        <v>-90711</v>
      </c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23646</v>
      </c>
      <c r="F34" s="269" t="n">
        <v>29965</v>
      </c>
      <c r="G34" s="269" t="n">
        <v>29943</v>
      </c>
      <c r="H34" s="269" t="n">
        <v>35934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28184</v>
      </c>
      <c r="F35" s="266" t="n">
        <v>29508</v>
      </c>
      <c r="G35" s="266" t="n">
        <v>33410</v>
      </c>
      <c r="H35" s="266" t="n">
        <v>39777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4946</v>
      </c>
      <c r="F36" s="266" t="n">
        <v>6331</v>
      </c>
      <c r="G36" s="266" t="n">
        <v>7286</v>
      </c>
      <c r="H36" s="266" t="n">
        <v>5718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21223</v>
      </c>
      <c r="F37" s="268" t="n">
        <v>14695</v>
      </c>
      <c r="G37" s="268" t="n">
        <v>14287</v>
      </c>
      <c r="H37" s="268" t="n">
        <v>14585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42117</v>
      </c>
      <c r="F41" s="266" t="n">
        <v>43715</v>
      </c>
      <c r="G41" s="266" t="n">
        <v>45680</v>
      </c>
      <c r="H41" s="266" t="n">
        <v>49834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/>
      <c r="F42" s="266" t="n"/>
      <c r="G42" s="266" t="n"/>
      <c r="H42" s="266" t="n"/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39053</v>
      </c>
      <c r="F43" s="266" t="n">
        <v>46906</v>
      </c>
      <c r="G43" s="266" t="n">
        <v>55335</v>
      </c>
      <c r="H43" s="266" t="n">
        <v>62950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64115</v>
      </c>
      <c r="F47" s="266" t="n">
        <v>62611</v>
      </c>
      <c r="G47" s="266" t="n">
        <v>68960</v>
      </c>
      <c r="H47" s="266" t="n">
        <v>69860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21110</v>
      </c>
      <c r="F48" s="266" t="n">
        <v>15807</v>
      </c>
      <c r="G48" s="266" t="n">
        <v>20879</v>
      </c>
      <c r="H48" s="266" t="n">
        <v>20329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6552</v>
      </c>
      <c r="F49" s="266" t="n">
        <v>8819</v>
      </c>
      <c r="G49" s="266" t="n">
        <v>26601</v>
      </c>
      <c r="H49" s="266" t="n">
        <v>13016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>
        <v>52630</v>
      </c>
      <c r="F50" s="268" t="n">
        <v>50010</v>
      </c>
      <c r="G50" s="268" t="n">
        <v>44024</v>
      </c>
      <c r="H50" s="268" t="n">
        <v>44452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98959</v>
      </c>
      <c r="F54" s="268" t="n">
        <v>95281</v>
      </c>
      <c r="G54" s="268" t="n">
        <v>85750</v>
      </c>
      <c r="H54" s="268" t="n">
        <v>78328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64849</v>
      </c>
      <c r="F58" s="266" t="n">
        <v>73812</v>
      </c>
      <c r="G58" s="266" t="n">
        <v>83276</v>
      </c>
      <c r="H58" s="266" t="n">
        <v>93568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>
        <v>-3068</v>
      </c>
      <c r="F59" s="276" t="n">
        <v>-214</v>
      </c>
      <c r="G59" s="276" t="n">
        <v>-19154</v>
      </c>
      <c r="H59" s="276" t="n">
        <v>-14264</v>
      </c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-9343</v>
      </c>
      <c r="F71" s="266" t="n">
        <v>-417</v>
      </c>
      <c r="G71" s="266" t="n">
        <v>-5144</v>
      </c>
      <c r="H71" s="266" t="n">
        <v>-7029</v>
      </c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1484</v>
      </c>
      <c r="F72" s="266" t="n">
        <v>-1618</v>
      </c>
      <c r="G72" s="266" t="n">
        <v>-1046</v>
      </c>
      <c r="H72" s="266" t="n">
        <v>1400</v>
      </c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9448</v>
      </c>
      <c r="F73" s="266" t="n">
        <v>-1889</v>
      </c>
      <c r="G73" s="266" t="n">
        <v>6020</v>
      </c>
      <c r="H73" s="266" t="n">
        <v>902</v>
      </c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>
        <v>1006</v>
      </c>
      <c r="F74" s="266" t="n">
        <v>-2227</v>
      </c>
      <c r="G74" s="266" t="n">
        <v>-2266</v>
      </c>
      <c r="H74" s="266" t="n">
        <v>-89</v>
      </c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-10708</v>
      </c>
      <c r="F78" s="266" t="n">
        <v>-10959</v>
      </c>
      <c r="G78" s="266" t="n">
        <v>-9447</v>
      </c>
      <c r="H78" s="266" t="n">
        <v>-12715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>
        <v>-76923</v>
      </c>
      <c r="F79" s="266" t="n">
        <v>-29513</v>
      </c>
      <c r="G79" s="266" t="n">
        <v>-48656</v>
      </c>
      <c r="H79" s="266" t="n">
        <v>-24407</v>
      </c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5465</v>
      </c>
      <c r="F83" s="266" t="n">
        <v>5228</v>
      </c>
      <c r="G83" s="266" t="n">
        <v>0</v>
      </c>
      <c r="H83" s="266" t="n">
        <v>4481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>
        <v>-89402</v>
      </c>
      <c r="F84" s="266" t="n">
        <v>-77550</v>
      </c>
      <c r="G84" s="266" t="n">
        <v>-94949</v>
      </c>
      <c r="H84" s="266" t="n">
        <v>-90711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-89402</v>
      </c>
      <c r="F85" s="266" t="n">
        <v>-77550</v>
      </c>
      <c r="G85" s="266" t="n">
        <v>-94949</v>
      </c>
      <c r="H85" s="266" t="n">
        <v>-90711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35929</v>
      </c>
      <c r="F90" s="266" t="n">
        <v>24977</v>
      </c>
      <c r="G90" s="266" t="n">
        <v>30737</v>
      </c>
      <c r="H90" s="266" t="n">
        <v>29943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248.8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14681.14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1.116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0.0444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0.0594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0.1557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0.9737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0.0263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0.03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Apple Inc.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AAPL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Technology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USD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2026-03-29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51" t="n"/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IF(D9&lt;&gt;"",1,0)+IF(E9&lt;&gt;"",1,0)+IF(F9&lt;&gt;"",1,0)+IF(G9&lt;&gt;"",1,0)+IF(H9&lt;&gt;"",1,0)</f>
        <v/>
      </c>
      <c r="G128" s="419">
        <f>IF(NOT(ISBLANK(H9)),F128,IF(NOT(ISBLANK(G9)),F128,IF(NOT(ISBLANK(F9)),F128,IF(NOT(ISBLANK(E9)),F128,IF(NOT(ISBLANK(D9)),F128,0)))))</f>
        <v/>
      </c>
      <c r="H128" s="419" t="n"/>
      <c r="I128" s="417" t="n"/>
      <c r="J128" s="417" t="n"/>
      <c r="K128" s="417" t="n"/>
    </row>
    <row r="129" ht="15" customHeight="1">
      <c r="B129" s="51" t="n"/>
    </row>
    <row r="130" ht="15" customHeight="1">
      <c r="B130" s="51" t="n"/>
    </row>
    <row r="131" ht="15" customHeight="1">
      <c r="B131" s="51" t="n"/>
    </row>
    <row r="132" ht="15" customHeight="1">
      <c r="B132" s="51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$F$128&lt;5</formula>
    </cfRule>
  </conditionalFormatting>
  <conditionalFormatting sqref="E1:E122">
    <cfRule type="expression" priority="7" dxfId="0">
      <formula>$F$128&lt;4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$F$128&lt;2</formula>
    </cfRule>
  </conditionalFormatting>
  <conditionalFormatting sqref="H1:H122">
    <cfRule type="expression" priority="10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50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IF(INPUT!D5="","",INPUT!D5)</f>
        <v/>
      </c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>
      <c r="D90" s="22">
        <f>IF(INPUT!D9="",NA(),D5)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G86/1000</f>
        <v/>
      </c>
      <c r="H92" s="433">
        <f>H86/1000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G87/1000</f>
        <v/>
      </c>
      <c r="H93" s="433">
        <f>H87/1000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G88/1000</f>
        <v/>
      </c>
      <c r="H94" s="433">
        <f>H88/1000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IF(INPUT!D5="","",INPUT!D5)</f>
        <v/>
      </c>
      <c r="E5" s="138">
        <f>IF(INPUT!E5="","",INPUT!E5)</f>
        <v/>
      </c>
      <c r="F5" s="138">
        <f>IF(INPUT!F5="","",INPUT!F5)</f>
        <v/>
      </c>
      <c r="G5" s="138">
        <f>IF(INPUT!G5="","",INPUT!G5)</f>
        <v/>
      </c>
      <c r="H5" s="138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IF(INPUT!H5="","",INPUT!H5)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E26" sqref="E26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IF(INPUT!H9&lt;&gt;"",INPUT!H9,INPUT!G9)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IF(INPUT!H10&lt;&gt;"",INPUT!H10,INPUT!G10)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IF(INPUT!H14&lt;&gt;"",INPUT!H14,INPUT!G14)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IF(INPUT!H15&lt;&gt;"",INPUT!H15,INPUT!G15)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IF(INPUT!H30&lt;&gt;"",INPUT!H30,INPUT!G30)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IF(INPUT!H16&lt;&gt;"",INPUT!H16,INPUT!G16)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IF(INPUT!H20&lt;&gt;"",INPUT!H20,INPUT!G20)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IF(INPUT!H24&lt;&gt;"",INPUT!H24,INPUT!G24)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IFERROR(IF(NOT(ISBLANK(INPUT!H9)),INPUT!H9/INPUT!G9-1,IF(NOT(ISBLANK(INPUT!G9)),INPUT!G9/INPUT!F9-1,IF(NOT(ISBLANK(INPUT!F9)),INPUT!F9/INPUT!E9-1,IF(NOT(ISBLANK(INPUT!E9)),INPUT!E9/INPUT!D9-1,0.05)))),0.05)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IFERROR(IF(NOT(ISBLANK(INPUT!H9)),INPUT!H9/INPUT!G9-1,IF(NOT(ISBLANK(INPUT!G9)),INPUT!G9/INPUT!F9-1,IF(NOT(ISBLANK(INPUT!F9)),INPUT!F9/INPUT!E9-1,IF(NOT(ISBLANK(INPUT!E9)),INPUT!E9/INPUT!D9-1,0.05)))),0.05)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IF(INPUT!H78&lt;&gt;"",INPUT!H78,INPUT!G78)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IF(INPUT!H70&lt;&gt;"",INPUT!H70,INPUT!G70)+IF(INPUT!H71&lt;&gt;"",INPUT!H71,INPUT!G71)+IF(INPUT!H72&lt;&gt;"",INPUT!H72,INPUT!G72)+IF(INPUT!H73&lt;&gt;"",INPUT!H73,INPUT!G73)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tabSelected="1" zoomScale="79" zoomScaleNormal="100" workbookViewId="0">
      <selection activeCell="N9" sqref="N9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Microsoft Corporation</t>
        </is>
      </c>
      <c r="C9" s="9" t="inlineStr">
        <is>
          <t>MSFT</t>
        </is>
      </c>
      <c r="D9" s="477" t="n">
        <v>356.77</v>
      </c>
      <c r="E9" s="36" t="n">
        <v>2683057.73</v>
      </c>
      <c r="F9" s="36" t="n">
        <v>305453.01</v>
      </c>
      <c r="G9" s="36" t="n">
        <v>175258.99</v>
      </c>
      <c r="H9" s="478">
        <f>IFERROR(E9/G9,"–")</f>
        <v/>
      </c>
      <c r="I9" s="478">
        <f>IFERROR(E9/F9,"–")</f>
        <v/>
      </c>
      <c r="J9" s="479" t="n"/>
      <c r="K9" s="477" t="n">
        <v>15.98</v>
      </c>
      <c r="L9" s="478">
        <f>IFERROR(D9/K9,"–")</f>
        <v/>
      </c>
    </row>
    <row r="10" ht="15" customHeight="1">
      <c r="A10" s="3" t="n"/>
      <c r="B10" s="41" t="inlineStr">
        <is>
          <t>Alphabet Inc.</t>
        </is>
      </c>
      <c r="C10" s="9" t="inlineStr">
        <is>
          <t>GOOG</t>
        </is>
      </c>
      <c r="D10" s="477" t="n">
        <v>273.76</v>
      </c>
      <c r="E10" s="36" t="n">
        <v>3251827.64</v>
      </c>
      <c r="F10" s="36" t="n">
        <v>402836</v>
      </c>
      <c r="G10" s="36" t="n">
        <v>150175.01</v>
      </c>
      <c r="H10" s="478">
        <f>IFERROR(E10/G10,"–")</f>
        <v/>
      </c>
      <c r="I10" s="478">
        <f>IFERROR(E10/F10,"–")</f>
        <v/>
      </c>
      <c r="J10" s="479" t="n"/>
      <c r="K10" s="477" t="n">
        <v>10.81</v>
      </c>
      <c r="L10" s="478">
        <f>IFERROR(D10/K10,"–")</f>
        <v/>
      </c>
    </row>
    <row r="11" ht="15" customHeight="1">
      <c r="A11" s="3" t="n"/>
      <c r="B11" s="41" t="inlineStr">
        <is>
          <t>Meta Platforms, Inc.</t>
        </is>
      </c>
      <c r="C11" s="9" t="inlineStr">
        <is>
          <t>META</t>
        </is>
      </c>
      <c r="D11" s="477" t="n">
        <v>525.72</v>
      </c>
      <c r="E11" s="36" t="n">
        <v>1333326.91</v>
      </c>
      <c r="F11" s="36" t="n">
        <v>200966</v>
      </c>
      <c r="G11" s="36" t="n">
        <v>101892</v>
      </c>
      <c r="H11" s="478">
        <f>IFERROR(E11/G11,"–")</f>
        <v/>
      </c>
      <c r="I11" s="478">
        <f>IFERROR(E11/F11,"–")</f>
        <v/>
      </c>
      <c r="J11" s="479" t="n"/>
      <c r="K11" s="477" t="n">
        <v>23.5</v>
      </c>
      <c r="L11" s="478">
        <f>IFERROR(D11/K11,"–")</f>
        <v/>
      </c>
    </row>
    <row r="12" ht="15" customHeight="1">
      <c r="A12" s="3" t="n"/>
      <c r="B12" s="41" t="inlineStr">
        <is>
          <t>Sony Group Corporation</t>
        </is>
      </c>
      <c r="C12" s="9" t="inlineStr">
        <is>
          <t>SONY</t>
        </is>
      </c>
      <c r="D12" s="477" t="n">
        <v>19.91</v>
      </c>
      <c r="E12" s="36" t="n">
        <v>45174.36</v>
      </c>
      <c r="F12" s="36" t="n">
        <v>13170287.58</v>
      </c>
      <c r="G12" s="36" t="n">
        <v>2036071.01</v>
      </c>
      <c r="H12" s="478">
        <f>IFERROR(E12/G12,"–")</f>
        <v/>
      </c>
      <c r="I12" s="478">
        <f>IFERROR(E12/F12,"–")</f>
        <v/>
      </c>
      <c r="J12" s="479" t="n"/>
      <c r="K12" s="477" t="n">
        <v>1.3</v>
      </c>
      <c r="L12" s="478">
        <f>IFERROR(D12/K12,"–")</f>
        <v/>
      </c>
    </row>
    <row r="13" ht="15" customHeight="1">
      <c r="A13" s="3" t="n"/>
      <c r="B13" s="41" t="inlineStr">
        <is>
          <t>SMSNG.KS</t>
        </is>
      </c>
      <c r="C13" s="9" t="inlineStr">
        <is>
          <t>SMSNG.KS</t>
        </is>
      </c>
      <c r="D13" s="480" t="n"/>
      <c r="E13" s="71" t="n"/>
      <c r="F13" s="71" t="n"/>
      <c r="G13" s="71" t="n"/>
      <c r="H13" s="481">
        <f>IFERROR(E13/G13,"–")</f>
        <v/>
      </c>
      <c r="I13" s="481">
        <f>IFERROR(E13/F13,"–")</f>
        <v/>
      </c>
      <c r="J13" s="482" t="n"/>
      <c r="K13" s="480" t="n"/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INPUT!H95</f>
        <v/>
      </c>
      <c r="E37" s="485">
        <f>INPUT!H95</f>
        <v/>
      </c>
      <c r="F37" s="485">
        <f>INPUT!H95</f>
        <v/>
      </c>
      <c r="G37" s="485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TEXT(INPUT!D117,"0")</f>
        <v/>
      </c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C1:C200">
    <cfRule type="expression" priority="1" dxfId="0">
      <formula>INPUT!$F$128&lt;5</formula>
    </cfRule>
  </conditionalFormatting>
  <conditionalFormatting sqref="D1:D200">
    <cfRule type="expression" priority="2" dxfId="0">
      <formula>INPUT!$F$128&lt;5</formula>
    </cfRule>
  </conditionalFormatting>
  <conditionalFormatting sqref="E1:E200">
    <cfRule type="expression" priority="3" dxfId="0">
      <formula>INPUT!$F$128&lt;4</formula>
    </cfRule>
  </conditionalFormatting>
  <conditionalFormatting sqref="F1:F200">
    <cfRule type="expression" priority="4" dxfId="0">
      <formula>INPUT!$F$128&lt;3</formula>
    </cfRule>
  </conditionalFormatting>
  <conditionalFormatting sqref="G1:G200">
    <cfRule type="expression" priority="5" dxfId="0">
      <formula>INPUT!$F$128&lt;2</formula>
    </cfRule>
  </conditionalFormatting>
  <conditionalFormatting sqref="H1:H200">
    <cfRule type="expression" priority="6" dxfId="0">
      <formula>INPUT!$F$128&lt;1</formula>
    </cfRule>
  </conditionalFormatting>
  <conditionalFormatting sqref="J1:J200">
    <cfRule type="expression" priority="7" dxfId="0">
      <formula>INPUT!$F$128&lt;5</formula>
    </cfRule>
  </conditionalFormatting>
  <conditionalFormatting sqref="K1:K200">
    <cfRule type="expression" priority="8" dxfId="0">
      <formula>INPUT!$F$128&lt;4</formula>
    </cfRule>
  </conditionalFormatting>
  <conditionalFormatting sqref="L1:L200">
    <cfRule type="expression" priority="9" dxfId="0">
      <formula>INPUT!$F$128&lt;3</formula>
    </cfRule>
  </conditionalFormatting>
  <conditionalFormatting sqref="M1:M200">
    <cfRule type="expression" priority="10" dxfId="0">
      <formula>INPUT!$F$128&lt;2</formula>
    </cfRule>
  </conditionalFormatting>
  <conditionalFormatting sqref="N1:N200">
    <cfRule type="expression" priority="11" dxfId="0">
      <formula>INPUT!$F$128&lt;1</formula>
    </cfRule>
  </conditionalFormatting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topLeftCell="B1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conditionalFormatting sqref="T1:T200">
    <cfRule type="expression" priority="1" dxfId="0">
      <formula>INPUT!$F$128&lt;5</formula>
    </cfRule>
  </conditionalFormatting>
  <conditionalFormatting sqref="U1:U200">
    <cfRule type="expression" priority="2" dxfId="0">
      <formula>INPUT!$F$128&lt;4</formula>
    </cfRule>
  </conditionalFormatting>
  <conditionalFormatting sqref="V1:V200">
    <cfRule type="expression" priority="3" dxfId="0">
      <formula>INPUT!$F$128&lt;3</formula>
    </cfRule>
  </conditionalFormatting>
  <conditionalFormatting sqref="W1:W200">
    <cfRule type="expression" priority="4" dxfId="0">
      <formula>INPUT!$F$128&lt;2</formula>
    </cfRule>
  </conditionalFormatting>
  <conditionalFormatting sqref="X1:X200">
    <cfRule type="expression" priority="5" dxfId="0">
      <formula>INPUT!$F$128&lt;1</formula>
    </cfRule>
  </conditionalFormatting>
  <pageMargins left="0.005555555555555556" right="0.005555555555555556" top="0.005555555555555556" bottom="0.005555555555555556" header="0.3" footer="0.3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211.58</v>
      </c>
    </row>
    <row r="4">
      <c r="A4" s="286" t="n">
        <v>2</v>
      </c>
      <c r="B4" t="inlineStr">
        <is>
          <t>May-25</t>
        </is>
      </c>
      <c r="C4" s="536" t="n">
        <v>199.98</v>
      </c>
    </row>
    <row r="5">
      <c r="A5" s="286" t="n">
        <v>3</v>
      </c>
      <c r="B5" t="inlineStr">
        <is>
          <t>Jun-25</t>
        </is>
      </c>
      <c r="C5" s="536" t="n">
        <v>204.55</v>
      </c>
    </row>
    <row r="6">
      <c r="A6" s="286" t="n">
        <v>4</v>
      </c>
      <c r="B6" t="inlineStr">
        <is>
          <t>Jul-25</t>
        </is>
      </c>
      <c r="C6" s="536" t="n">
        <v>206.94</v>
      </c>
    </row>
    <row r="7">
      <c r="A7" s="286" t="n">
        <v>5</v>
      </c>
      <c r="B7" t="inlineStr">
        <is>
          <t>Aug-25</t>
        </is>
      </c>
      <c r="C7" s="536" t="n">
        <v>231.44</v>
      </c>
    </row>
    <row r="8">
      <c r="A8" s="286" t="n">
        <v>6</v>
      </c>
      <c r="B8" t="inlineStr">
        <is>
          <t>Sep-25</t>
        </is>
      </c>
      <c r="C8" s="536" t="n">
        <v>254.15</v>
      </c>
    </row>
    <row r="9">
      <c r="A9" s="286" t="n">
        <v>7</v>
      </c>
      <c r="B9" t="inlineStr">
        <is>
          <t>Oct-25</t>
        </is>
      </c>
      <c r="C9" s="536" t="n">
        <v>269.86</v>
      </c>
    </row>
    <row r="10">
      <c r="A10" s="286" t="n">
        <v>8</v>
      </c>
      <c r="B10" t="inlineStr">
        <is>
          <t>Nov-25</t>
        </is>
      </c>
      <c r="C10" s="536" t="n">
        <v>278.32</v>
      </c>
    </row>
    <row r="11">
      <c r="A11" s="286" t="n">
        <v>9</v>
      </c>
      <c r="B11" t="inlineStr">
        <is>
          <t>Dec-25</t>
        </is>
      </c>
      <c r="C11" s="536" t="n">
        <v>271.61</v>
      </c>
    </row>
    <row r="12">
      <c r="A12" s="286" t="n">
        <v>10</v>
      </c>
      <c r="B12" t="inlineStr">
        <is>
          <t>Jan-26</t>
        </is>
      </c>
      <c r="C12" s="536" t="n">
        <v>259.24</v>
      </c>
    </row>
    <row r="13">
      <c r="A13" s="286" t="n">
        <v>11</v>
      </c>
      <c r="B13" t="inlineStr">
        <is>
          <t>Feb-26</t>
        </is>
      </c>
      <c r="C13" s="536" t="n">
        <v>263.93</v>
      </c>
    </row>
    <row r="14">
      <c r="A14" s="286" t="n">
        <v>12</v>
      </c>
      <c r="B14" t="inlineStr">
        <is>
          <t>Mar-26</t>
        </is>
      </c>
      <c r="C14" s="536" t="n">
        <v>248.8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2026-03-29T08:40:54Z</dcterms:modified>
  <cp:lastModifiedBy>Baptiste jeh</cp:lastModifiedBy>
  <cp:lastPrinted>2026-03-07T11:51:18Z</cp:lastPrinted>
</cp:coreProperties>
</file>