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  <max val="15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  <max val="7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  <max val="800000"/>
          <min val="3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  <max val="30000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  <max val="130"/>
          <min val="0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v>ACME Share Price</v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topLeftCell="A82" zoomScale="9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>
        <f>IF(1&gt;$F$128,"",IF(1=$G$128,VALUE($D$117)&amp;" (LTM)",VALUE($D$117)-($G$128-1)))</f>
        <v/>
      </c>
      <c r="E5" s="24">
        <f>IF(2&gt;$F$128,"",IF(2=$G$128,VALUE($D$117)&amp;" (LTM)",VALUE($D$117)-($G$128-2)))</f>
        <v/>
      </c>
      <c r="F5" s="24">
        <f>IF(3&gt;$F$128,"",IF(3=$G$128,VALUE($D$117)&amp;" (LTM)",VALUE($D$117)-($G$128-3)))</f>
        <v/>
      </c>
      <c r="G5" s="24">
        <f>IF(4&gt;$F$128,"",IF(4=$G$128,VALUE($D$117)&amp;" (LTM)",VALUE($D$117)-($G$128-4)))</f>
        <v/>
      </c>
      <c r="H5" s="24">
        <f>IF(5&gt;$F$128,"",IF(5=$G$128,VALUE($D$117)&amp;" (LTM)",VALUE($D$117)-($G$128-5)))</f>
        <v/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>
        <v>394328</v>
      </c>
      <c r="E9" s="266" t="n">
        <v>383285</v>
      </c>
      <c r="F9" s="266" t="n">
        <v>391035</v>
      </c>
      <c r="G9" s="266" t="n">
        <v>416161</v>
      </c>
      <c r="H9" s="266" t="n"/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>
        <v>-223546</v>
      </c>
      <c r="E10" s="267" t="n">
        <v>-214137</v>
      </c>
      <c r="F10" s="267" t="n">
        <v>-210352</v>
      </c>
      <c r="G10" s="267" t="n">
        <v>-220960</v>
      </c>
      <c r="H10" s="267" t="n"/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>
        <v>-25094</v>
      </c>
      <c r="E14" s="266" t="n">
        <v>-24932</v>
      </c>
      <c r="F14" s="266" t="n">
        <v>-26097</v>
      </c>
      <c r="G14" s="266" t="n">
        <v>-27601</v>
      </c>
      <c r="H14" s="266" t="n"/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>
        <v>-26251</v>
      </c>
      <c r="E15" s="266" t="n">
        <v>-29915</v>
      </c>
      <c r="F15" s="266" t="n">
        <v>-31370</v>
      </c>
      <c r="G15" s="266" t="n">
        <v>-34550</v>
      </c>
      <c r="H15" s="266" t="n"/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>
        <v>-11104</v>
      </c>
      <c r="E16" s="268" t="n">
        <v>-11519</v>
      </c>
      <c r="F16" s="268" t="n">
        <v>-11445</v>
      </c>
      <c r="G16" s="268" t="n">
        <v>-11698</v>
      </c>
      <c r="H16" s="268" t="n"/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>
        <v>-2931</v>
      </c>
      <c r="E20" s="266" t="n">
        <v>-3933</v>
      </c>
      <c r="F20" s="266" t="n">
        <v>0</v>
      </c>
      <c r="G20" s="266" t="n">
        <v>0</v>
      </c>
      <c r="H20" s="266" t="n"/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>
        <v>2825</v>
      </c>
      <c r="E21" s="268" t="n">
        <v>3750</v>
      </c>
      <c r="F21" s="268" t="n">
        <v>0</v>
      </c>
      <c r="G21" s="268" t="n">
        <v>0</v>
      </c>
      <c r="H21" s="268" t="n"/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>
        <v>-19300</v>
      </c>
      <c r="E25" s="266" t="n">
        <v>-16741</v>
      </c>
      <c r="F25" s="266" t="n">
        <v>-29749</v>
      </c>
      <c r="G25" s="266" t="n">
        <v>-20719</v>
      </c>
      <c r="H25" s="266" t="n"/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/>
      <c r="F29" s="266" t="n"/>
      <c r="G29" s="266" t="n"/>
      <c r="H29" s="266" t="n"/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>
        <v>23646</v>
      </c>
      <c r="E34" s="269" t="n">
        <v>29965</v>
      </c>
      <c r="F34" s="269" t="n">
        <v>29943</v>
      </c>
      <c r="G34" s="269" t="n">
        <v>35934</v>
      </c>
      <c r="H34" s="269" t="n"/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>
        <v>28184</v>
      </c>
      <c r="E35" s="266" t="n">
        <v>29508</v>
      </c>
      <c r="F35" s="266" t="n">
        <v>33410</v>
      </c>
      <c r="G35" s="266" t="n">
        <v>39777</v>
      </c>
      <c r="H35" s="266" t="n"/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>
        <v>4946</v>
      </c>
      <c r="E36" s="266" t="n">
        <v>6331</v>
      </c>
      <c r="F36" s="266" t="n">
        <v>7286</v>
      </c>
      <c r="G36" s="266" t="n">
        <v>5718</v>
      </c>
      <c r="H36" s="266" t="n"/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>
        <v>21223</v>
      </c>
      <c r="E37" s="268" t="n">
        <v>14695</v>
      </c>
      <c r="F37" s="268" t="n">
        <v>14287</v>
      </c>
      <c r="G37" s="268" t="n">
        <v>14585</v>
      </c>
      <c r="H37" s="268" t="n"/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>
        <v>42117</v>
      </c>
      <c r="E41" s="266" t="n">
        <v>43715</v>
      </c>
      <c r="F41" s="266" t="n">
        <v>45680</v>
      </c>
      <c r="G41" s="266" t="n">
        <v>49834</v>
      </c>
      <c r="H41" s="266" t="n"/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>
        <v>39053</v>
      </c>
      <c r="E43" s="266" t="n">
        <v>46906</v>
      </c>
      <c r="F43" s="266" t="n">
        <v>55335</v>
      </c>
      <c r="G43" s="266" t="n">
        <v>62950</v>
      </c>
      <c r="H43" s="266" t="n"/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>
        <v>64115</v>
      </c>
      <c r="E47" s="266" t="n">
        <v>62611</v>
      </c>
      <c r="F47" s="266" t="n">
        <v>68960</v>
      </c>
      <c r="G47" s="266" t="n">
        <v>69860</v>
      </c>
      <c r="H47" s="266" t="n"/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>
        <v>21110</v>
      </c>
      <c r="E48" s="266" t="n">
        <v>15807</v>
      </c>
      <c r="F48" s="266" t="n">
        <v>20879</v>
      </c>
      <c r="G48" s="266" t="n">
        <v>20329</v>
      </c>
      <c r="H48" s="266" t="n"/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>
        <v>6552</v>
      </c>
      <c r="E49" s="266" t="n">
        <v>8819</v>
      </c>
      <c r="F49" s="266" t="n">
        <v>26601</v>
      </c>
      <c r="G49" s="266" t="n">
        <v>13016</v>
      </c>
      <c r="H49" s="266" t="n"/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>
        <v>52630</v>
      </c>
      <c r="E50" s="268" t="n">
        <v>50010</v>
      </c>
      <c r="F50" s="268" t="n">
        <v>44024</v>
      </c>
      <c r="G50" s="268" t="n">
        <v>44452</v>
      </c>
      <c r="H50" s="268" t="n"/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>
        <v>98959</v>
      </c>
      <c r="E54" s="268" t="n">
        <v>95281</v>
      </c>
      <c r="F54" s="268" t="n">
        <v>85750</v>
      </c>
      <c r="G54" s="268" t="n">
        <v>78328</v>
      </c>
      <c r="H54" s="268" t="n"/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>
        <v>64849</v>
      </c>
      <c r="E58" s="266" t="n">
        <v>73812</v>
      </c>
      <c r="F58" s="266" t="n">
        <v>83276</v>
      </c>
      <c r="G58" s="266" t="n">
        <v>93568</v>
      </c>
      <c r="H58" s="266" t="n"/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/>
      <c r="F59" s="276" t="n"/>
      <c r="G59" s="276" t="n"/>
      <c r="H59" s="276" t="n"/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>
        <v>-9343</v>
      </c>
      <c r="E71" s="266" t="n">
        <v>-417</v>
      </c>
      <c r="F71" s="266" t="n">
        <v>-5144</v>
      </c>
      <c r="G71" s="266" t="n">
        <v>-7029</v>
      </c>
      <c r="H71" s="266" t="n"/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>
        <v>1484</v>
      </c>
      <c r="E72" s="266" t="n">
        <v>-1618</v>
      </c>
      <c r="F72" s="266" t="n">
        <v>-1046</v>
      </c>
      <c r="G72" s="266" t="n">
        <v>1400</v>
      </c>
      <c r="H72" s="266" t="n"/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>
        <v>9448</v>
      </c>
      <c r="E73" s="266" t="n">
        <v>-1889</v>
      </c>
      <c r="F73" s="266" t="n">
        <v>6020</v>
      </c>
      <c r="G73" s="266" t="n">
        <v>902</v>
      </c>
      <c r="H73" s="266" t="n"/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>
        <v>1006</v>
      </c>
      <c r="E74" s="266" t="n">
        <v>-2227</v>
      </c>
      <c r="F74" s="266" t="n">
        <v>-2266</v>
      </c>
      <c r="G74" s="266" t="n">
        <v>-89</v>
      </c>
      <c r="H74" s="266" t="n"/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>
        <v>-10708</v>
      </c>
      <c r="E78" s="266" t="n">
        <v>-10959</v>
      </c>
      <c r="F78" s="266" t="n">
        <v>-9447</v>
      </c>
      <c r="G78" s="266" t="n">
        <v>-12715</v>
      </c>
      <c r="H78" s="266" t="n"/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/>
      <c r="F79" s="266" t="n"/>
      <c r="G79" s="266" t="n"/>
      <c r="H79" s="266" t="n"/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>
        <v>5465</v>
      </c>
      <c r="E83" s="266" t="n">
        <v>5228</v>
      </c>
      <c r="F83" s="266" t="n">
        <v>0</v>
      </c>
      <c r="G83" s="266" t="n">
        <v>4481</v>
      </c>
      <c r="H83" s="266" t="n"/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>
        <v>-89402</v>
      </c>
      <c r="E84" s="266" t="n">
        <v>-77550</v>
      </c>
      <c r="F84" s="266" t="n">
        <v>-94949</v>
      </c>
      <c r="G84" s="266" t="n">
        <v>-90711</v>
      </c>
      <c r="H84" s="266" t="n"/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>
        <v>-89402</v>
      </c>
      <c r="E85" s="266" t="n">
        <v>-77550</v>
      </c>
      <c r="F85" s="266" t="n">
        <v>-94949</v>
      </c>
      <c r="G85" s="266" t="n">
        <v>-90711</v>
      </c>
      <c r="H85" s="266" t="n"/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>
        <v>35929</v>
      </c>
      <c r="E90" s="266" t="n">
        <v>24977</v>
      </c>
      <c r="F90" s="266" t="n">
        <v>30737</v>
      </c>
      <c r="G90" s="266" t="n">
        <v>29943</v>
      </c>
      <c r="H90" s="266" t="n"/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253.53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0.0433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0.0583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0.9742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0.0258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2026-03-25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inlineStr">
        <is>
          <t>--- SYNTHESE IA ---</t>
        </is>
      </c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inlineStr">
        <is>
          <t>Recommandation : BUY</t>
        </is>
      </c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inlineStr">
        <is>
          <t>Conviction : 78%</t>
        </is>
      </c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inlineStr">
        <is>
          <t>Confiance IA : 82%</t>
        </is>
      </c>
      <c r="E126" s="25" t="n"/>
      <c r="F126" s="25" t="n"/>
      <c r="G126" s="25" t="n"/>
      <c r="H126" s="25" t="n"/>
    </row>
    <row r="127" ht="15" customHeight="1">
      <c r="B127" s="51" t="n"/>
      <c r="D127" t="inlineStr">
        <is>
          <t>Cible Base : 285.0</t>
        </is>
      </c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IF(COUNTA(D9,D10,D14,D15,D16,D20,D21,D25)=8,1,0)+IF(COUNTA(E9,E10,E14,E15,E16,E20,E21,E25)=8,1,0)+IF(COUNTA(F9,F10,F14,F15,F16,F20,F21,F25)=8,1,0)+IF(COUNTA(G9,G10,G14,G15,G16,G20,G21,G25)=8,1,0)+IF(COUNTA(H9,H10,H14,H15,H16,H20,H21,H25)=8,1,0)</f>
        <v/>
      </c>
      <c r="G128" s="419">
        <f>IF(COUNTA(H9,H10,H14,H15,H16,H20,H21,H25)=8,$F$128,IF(COUNTA(G9,G10,G14,G15,G16,G20,G21,G25)=8,$F$128,IF(COUNTA(F9,F10,F14,F15,F16,F20,F21,F25)=8,$F$128,IF(COUNTA(E9,E10,E14,E15,E16,E20,E21,E25)=8,$F$128,IF(COUNTA(D9,D10,D14,D15,D16,D20,D21,D25)=8,$F$128,0)))))</f>
        <v/>
      </c>
      <c r="H128" s="419" t="n"/>
      <c r="I128" s="417" t="n"/>
      <c r="J128" s="417" t="n"/>
      <c r="K128" s="417" t="n"/>
    </row>
    <row r="129" ht="15" customHeight="1">
      <c r="B129" s="51" t="n"/>
      <c r="D129" t="inlineStr">
        <is>
          <t>Cible Bear : 240.0</t>
        </is>
      </c>
    </row>
    <row r="130" ht="15" customHeight="1">
      <c r="B130" s="51" t="n"/>
      <c r="D130" t="inlineStr">
        <is>
          <t>Apple maintient une croissance solide avec des marges élevées et une trésorerie abondante. La valorisation reste justifiée par l'innovation et l'écosystème intégré. Les risques géopolitiques et la dép</t>
        </is>
      </c>
    </row>
    <row r="131" ht="15" customHeight="1">
      <c r="B131" s="51" t="n"/>
      <c r="D131" t="inlineStr">
        <is>
          <t>Invalidation : Récession macro, régulation IA stricte ou perte de parts de marché en Chine</t>
        </is>
      </c>
    </row>
    <row r="132" ht="15" customHeight="1">
      <c r="B132" s="51" t="n"/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$F$128&lt;1</formula>
    </cfRule>
  </conditionalFormatting>
  <conditionalFormatting sqref="E1:E122">
    <cfRule type="expression" priority="7" dxfId="0">
      <formula>$F$128&lt;2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$F$128&lt;4</formula>
    </cfRule>
  </conditionalFormatting>
  <conditionalFormatting sqref="H1:H122">
    <cfRule type="expression" priority="10" dxfId="0">
      <formula>$F$128&lt;5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7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12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INPUT!D5</f>
        <v/>
      </c>
      <c r="E5" s="1">
        <f>INPUT!E5</f>
        <v/>
      </c>
      <c r="F5" s="1">
        <f>INPUT!F5</f>
        <v/>
      </c>
      <c r="G5" s="1">
        <f>INPUT!G5</f>
        <v/>
      </c>
      <c r="H5" s="1">
        <f>INPUT!H5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/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G85/1000</f>
        <v/>
      </c>
      <c r="H92" s="433">
        <f>H85/1000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G86/1000</f>
        <v/>
      </c>
      <c r="H93" s="433">
        <f>H86/1000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G87/1000</f>
        <v/>
      </c>
      <c r="H94" s="433">
        <f>H87/1000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INPUT!D5</f>
        <v/>
      </c>
      <c r="E5" s="138">
        <f>INPUT!E5</f>
        <v/>
      </c>
      <c r="F5" s="138">
        <f>INPUT!F5</f>
        <v/>
      </c>
      <c r="G5" s="138">
        <f>INPUT!G5</f>
        <v/>
      </c>
      <c r="H5" s="138">
        <f>INPUT!H5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INPUT!H5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Q120" sqref="Q120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INPUT!D5</f>
        <v/>
      </c>
      <c r="E5" s="24">
        <f>INPUT!E5</f>
        <v/>
      </c>
      <c r="F5" s="24">
        <f>INPUT!F5</f>
        <v/>
      </c>
      <c r="G5" s="24">
        <f>INPUT!G5</f>
        <v/>
      </c>
      <c r="H5" s="24">
        <f>INPUT!H5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INPUT!H9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INPUT!H10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INPUT!H14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INPUT!H15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INPUT!H30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INPUT!H16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INPUT!H20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INPUT!H24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IFERROR(INPUT!H9/INPUT!G9-1,0.05)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IFERROR(INPUT!H9/INPUT!G9-1,0.05)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INPUT!H78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INPUT!H70+INPUT!H71+INPUT!H72+INPUT!H73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zoomScaleNormal="100" workbookViewId="0">
      <selection activeCell="E22" sqref="E22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370.18</v>
      </c>
      <c r="E9" s="36" t="n">
        <v>2801644.86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15.99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288.09</v>
      </c>
      <c r="E10" s="36" t="n">
        <v>3438605.5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10.82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598.23</v>
      </c>
      <c r="E11" s="36" t="n">
        <v>1503313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23.48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20.61</v>
      </c>
      <c r="E12" s="36" t="n">
        <v>49113.28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INPUT!F95</f>
        <v/>
      </c>
      <c r="E37" s="485">
        <f>INPUT!F95</f>
        <v/>
      </c>
      <c r="F37" s="485">
        <f>INPUT!F95</f>
        <v/>
      </c>
      <c r="G37" s="485">
        <f>INPUT!F95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INPUT!D117</f>
        <v/>
      </c>
      <c r="E5" s="16">
        <f>INPUT!D117-3</f>
        <v/>
      </c>
      <c r="F5" s="16">
        <f>INPUT!D117-2</f>
        <v/>
      </c>
      <c r="G5" s="16">
        <f>INPUT!D117-1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F107"/>
  <sheetViews>
    <sheetView showGridLines="0" topLeftCell="B22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pageMargins left="0.005555555555555556" right="0.005555555555555556" top="0.005555555555555556" bottom="0.005555555555555556" header="0.3" footer="0.3"/>
  <pageSetup orientation="landscape" paperSize="9" scale="1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253.53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2026-03-25T18:43:26Z</dcterms:modified>
  <cp:lastModifiedBy>Baptiste jeh</cp:lastModifiedBy>
  <cp:lastPrinted>2026-03-07T11:51:18Z</cp:lastPrinted>
</cp:coreProperties>
</file>