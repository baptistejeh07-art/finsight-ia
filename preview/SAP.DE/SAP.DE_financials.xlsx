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1" firstSheet="0" activeTab="5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chart.v1.0" hidden="1">RATIOS!$D$74:$H$74</definedName>
    <definedName name="_xlchart.v1.1" hidden="1">RATIOS!$D$75:$H$75</definedName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M-SCORE'!$A$1:$G$57</definedName>
    <definedName name="_xlnm.Print_Area" localSheetId="4">'DCF'!$A$1:$L$115</definedName>
    <definedName name="_xlnm.Print_Area" localSheetId="5">'COMPARABLES'!$A$1:$L$44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#,##0\ &quot;€&quot;;[Red]\-#,##0\ &quot;€&quot;"/>
    <numFmt numFmtId="165" formatCode="_(#,##0.0%_);\(#,##0.0%\);_(&quot;–&quot;_);_(@_)"/>
    <numFmt numFmtId="166" formatCode="_(#,##0_);\(#,##0\);_(&quot;–&quot;_);_(@_)"/>
    <numFmt numFmtId="167" formatCode="_(0_);\(0\);_(&quot;–&quot;_);_(@_)"/>
    <numFmt numFmtId="168" formatCode="_(0.000_);\(0.000\);_(&quot;–&quot;_);_(@_)"/>
    <numFmt numFmtId="169" formatCode="_(#,##0.00_);\(#,##0.00\);_(&quot;–&quot;_);_(@_)"/>
    <numFmt numFmtId="170" formatCode="_(#,##0%_);\(#,##0%\);_(&quot;–&quot;_);_(@_)"/>
    <numFmt numFmtId="171" formatCode="0.0%"/>
    <numFmt numFmtId="172" formatCode="&quot;€&quot;#,##0.00"/>
    <numFmt numFmtId="173" formatCode="_(* #,##0_);_(* \(#,##0\);_(* &quot;-&quot;??_);_(@_)"/>
    <numFmt numFmtId="174" formatCode="_-* #,##0.00_-;\-* #,##0.00_-;_-* &quot;-&quot;??_-;_-@_-"/>
    <numFmt numFmtId="175" formatCode="&quot;€&quot;#,##0;\(&quot;€&quot;#,##0\);\-"/>
    <numFmt numFmtId="176" formatCode="0.0\x"/>
    <numFmt numFmtId="177" formatCode="0.0"/>
    <numFmt numFmtId="178" formatCode="_(0.00_);\(0.00\);_(&quot;–&quot;_);_(@_)"/>
    <numFmt numFmtId="179" formatCode="0.00\x"/>
    <numFmt numFmtId="180" formatCode="0.000"/>
    <numFmt numFmtId="181" formatCode="&quot;€&quot;#,##0.00;\(&quot;€&quot;#,##0.00\);\-"/>
    <numFmt numFmtId="182" formatCode="_(0.0\x_);\(0.0\x\);_(&quot;–&quot;_);_(@_)"/>
    <numFmt numFmtId="183" formatCode="_(#,##0.0_);\(#,##0.0\);_(&quot;–&quot;_);_(@_)"/>
    <numFmt numFmtId="184" formatCode="_(&quot;$&quot;* #,##0.00_);_(&quot;$&quot;* \(#,##0.00\);_(&quot;$&quot;* &quot;-&quot;??_);_(@_)"/>
  </numFmts>
  <fonts count="89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b val="1"/>
      <color rgb="FFEB6105"/>
      <sz val="11"/>
      <scheme val="minor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Open Sans"/>
      <family val="2"/>
      <b val="1"/>
      <color rgb="FF3271D2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</fonts>
  <fills count="1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4" fontId="33" fillId="0" borderId="0"/>
    <xf numFmtId="9" fontId="33" fillId="0" borderId="0"/>
    <xf numFmtId="0" fontId="33" fillId="0" borderId="0"/>
  </cellStyleXfs>
  <cellXfs count="537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6" fontId="9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169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5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5" fontId="6" fillId="7" borderId="0" applyAlignment="1" pivotButton="0" quotePrefix="0" xfId="0">
      <alignment horizontal="right"/>
    </xf>
    <xf numFmtId="166" fontId="10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6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166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0" fontId="13" fillId="5" borderId="6" applyAlignment="1" pivotButton="0" quotePrefix="0" xfId="0">
      <alignment horizontal="center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164" fontId="21" fillId="7" borderId="0" applyAlignment="1" pivotButton="0" quotePrefix="0" xfId="0">
      <alignment horizontal="center"/>
    </xf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pivotButton="0" quotePrefix="0" xfId="0"/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6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4" fontId="44" fillId="7" borderId="0" applyAlignment="1" pivotButton="0" quotePrefix="0" xfId="0">
      <alignment horizontal="center"/>
    </xf>
    <xf numFmtId="166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1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0" fontId="37" fillId="7" borderId="4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0" fontId="0" fillId="2" borderId="0" pivotButton="0" quotePrefix="0" xfId="0"/>
    <xf numFmtId="0" fontId="0" fillId="7" borderId="7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7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7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3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1" fillId="7" borderId="0" pivotButton="0" quotePrefix="0" xfId="0"/>
    <xf numFmtId="0" fontId="53" fillId="0" borderId="0" applyAlignment="1" pivotButton="0" quotePrefix="0" xfId="0">
      <alignment horizontal="left"/>
    </xf>
    <xf numFmtId="0" fontId="72" fillId="0" borderId="0" pivotButton="0" quotePrefix="0" xfId="0"/>
    <xf numFmtId="0" fontId="51" fillId="7" borderId="9" applyAlignment="1" pivotButton="0" quotePrefix="0" xfId="0">
      <alignment horizontal="right"/>
    </xf>
    <xf numFmtId="0" fontId="56" fillId="7" borderId="9" pivotButton="0" quotePrefix="0" xfId="0"/>
    <xf numFmtId="0" fontId="51" fillId="7" borderId="10" applyAlignment="1" pivotButton="0" quotePrefix="0" xfId="0">
      <alignment horizontal="center"/>
    </xf>
    <xf numFmtId="0" fontId="51" fillId="7" borderId="10" applyAlignment="1" pivotButton="0" quotePrefix="0" xfId="0">
      <alignment horizontal="left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4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5" fillId="0" borderId="0" pivotButton="0" quotePrefix="0" xfId="2"/>
    <xf numFmtId="0" fontId="76" fillId="0" borderId="0" pivotButton="0" quotePrefix="0" xfId="0"/>
    <xf numFmtId="173" fontId="76" fillId="0" borderId="0" pivotButton="0" quotePrefix="0" xfId="0"/>
    <xf numFmtId="174" fontId="0" fillId="0" borderId="0" pivotButton="0" quotePrefix="0" xfId="1"/>
    <xf numFmtId="0" fontId="62" fillId="0" borderId="0" pivotButton="0" quotePrefix="0" xfId="0"/>
    <xf numFmtId="0" fontId="36" fillId="7" borderId="7" applyAlignment="1" pivotButton="0" quotePrefix="0" xfId="0">
      <alignment horizontal="centerContinuous"/>
    </xf>
    <xf numFmtId="0" fontId="56" fillId="7" borderId="7" applyAlignment="1" pivotButton="0" quotePrefix="0" xfId="0">
      <alignment horizontal="centerContinuous"/>
    </xf>
    <xf numFmtId="0" fontId="37" fillId="7" borderId="7" applyAlignment="1" pivotButton="0" quotePrefix="0" xfId="0">
      <alignment horizontal="centerContinuous"/>
    </xf>
    <xf numFmtId="0" fontId="77" fillId="7" borderId="7" applyAlignment="1" pivotButton="0" quotePrefix="0" xfId="0">
      <alignment horizontal="centerContinuous"/>
    </xf>
    <xf numFmtId="174" fontId="56" fillId="7" borderId="0" pivotButton="0" quotePrefix="0" xfId="1"/>
    <xf numFmtId="10" fontId="56" fillId="7" borderId="0" pivotButton="0" quotePrefix="0" xfId="0"/>
    <xf numFmtId="0" fontId="0" fillId="7" borderId="7" applyAlignment="1" pivotButton="0" quotePrefix="0" xfId="0">
      <alignment horizontal="centerContinuous"/>
    </xf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73" fillId="0" borderId="0" pivotButton="0" quotePrefix="0" xfId="0"/>
    <xf numFmtId="171" fontId="9" fillId="0" borderId="0" applyAlignment="1" pivotButton="0" quotePrefix="0" xfId="0">
      <alignment horizontal="right"/>
    </xf>
    <xf numFmtId="0" fontId="84" fillId="3" borderId="0" applyAlignment="1" pivotButton="0" quotePrefix="0" xfId="0">
      <alignment horizontal="left"/>
    </xf>
    <xf numFmtId="0" fontId="75" fillId="7" borderId="0" pivotButton="0" quotePrefix="0" xfId="0"/>
    <xf numFmtId="0" fontId="86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2" fillId="8" borderId="0" pivotButton="0" quotePrefix="0" xfId="0"/>
    <xf numFmtId="0" fontId="6" fillId="8" borderId="0" pivotButton="0" quotePrefix="0" xfId="0"/>
    <xf numFmtId="0" fontId="19" fillId="8" borderId="0" pivotButton="0" quotePrefix="0" xfId="0"/>
    <xf numFmtId="0" fontId="4" fillId="8" borderId="0" pivotButton="0" quotePrefix="0" xfId="0"/>
    <xf numFmtId="0" fontId="10" fillId="8" borderId="0" pivotButton="0" quotePrefix="0" xfId="0"/>
    <xf numFmtId="0" fontId="0" fillId="8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5" fontId="6" fillId="0" borderId="0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5" fontId="10" fillId="7" borderId="3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71" fontId="3" fillId="0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6" fontId="36" fillId="9" borderId="0" applyAlignment="1" pivotButton="0" quotePrefix="0" xfId="0">
      <alignment horizontal="right"/>
    </xf>
    <xf numFmtId="166" fontId="36" fillId="9" borderId="1" applyAlignment="1" pivotButton="0" quotePrefix="0" xfId="0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6" fontId="3" fillId="9" borderId="0" applyAlignment="1" pivotButton="0" quotePrefix="0" xfId="0">
      <alignment horizontal="right"/>
    </xf>
    <xf numFmtId="166" fontId="3" fillId="9" borderId="1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0" fontId="23" fillId="9" borderId="0" applyAlignment="1" pivotButton="0" quotePrefix="0" xfId="0">
      <alignment horizontal="right"/>
    </xf>
    <xf numFmtId="0" fontId="6" fillId="9" borderId="0" applyAlignment="1" pivotButton="0" quotePrefix="0" xfId="0">
      <alignment horizontal="right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6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81" fontId="13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1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6" fontId="0" fillId="9" borderId="0" pivotButton="0" quotePrefix="0" xfId="0"/>
    <xf numFmtId="182" fontId="3" fillId="9" borderId="0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6" fontId="6" fillId="9" borderId="2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6" fontId="6" fillId="9" borderId="3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0" fontId="27" fillId="9" borderId="0" pivotButton="0" quotePrefix="0" xfId="0"/>
    <xf numFmtId="0" fontId="27" fillId="9" borderId="0" applyAlignment="1" pivotButton="0" quotePrefix="0" xfId="0">
      <alignment horizontal="right"/>
    </xf>
    <xf numFmtId="0" fontId="85" fillId="9" borderId="0" applyAlignment="1" pivotButton="0" quotePrefix="0" xfId="0">
      <alignment horizontal="righ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3" fontId="4" fillId="9" borderId="0" applyAlignment="1" pivotButton="0" quotePrefix="0" xfId="0">
      <alignment horizontal="center"/>
    </xf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0" fontId="13" fillId="9" borderId="4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0" fontId="37" fillId="9" borderId="4" applyAlignment="1" pivotButton="0" quotePrefix="0" xfId="0">
      <alignment horizontal="right"/>
    </xf>
    <xf numFmtId="1" fontId="4" fillId="9" borderId="0" applyAlignment="1" pivotButton="0" quotePrefix="0" xfId="0">
      <alignment horizontal="center"/>
    </xf>
    <xf numFmtId="171" fontId="36" fillId="9" borderId="0" applyAlignment="1" pivotButton="0" quotePrefix="0" xfId="0">
      <alignment horizontal="right"/>
    </xf>
    <xf numFmtId="0" fontId="16" fillId="9" borderId="0" applyAlignment="1" pivotButton="0" quotePrefix="0" xfId="0">
      <alignment horizontal="right"/>
    </xf>
    <xf numFmtId="166" fontId="6" fillId="9" borderId="0" pivotButton="0" quotePrefix="0" xfId="0"/>
    <xf numFmtId="0" fontId="49" fillId="9" borderId="0" applyAlignment="1" pivotButton="0" quotePrefix="0" xfId="0">
      <alignment horizontal="right"/>
    </xf>
    <xf numFmtId="0" fontId="61" fillId="9" borderId="0" applyAlignment="1" pivotButton="0" quotePrefix="0" xfId="0">
      <alignment horizontal="right"/>
    </xf>
    <xf numFmtId="0" fontId="36" fillId="9" borderId="0" applyAlignment="1" pivotButton="0" quotePrefix="0" xfId="0">
      <alignment horizontal="center"/>
    </xf>
    <xf numFmtId="174" fontId="36" fillId="9" borderId="0" pivotButton="0" quotePrefix="0" xfId="1"/>
    <xf numFmtId="174" fontId="36" fillId="9" borderId="0" pivotButton="0" quotePrefix="0" xfId="1"/>
    <xf numFmtId="10" fontId="36" fillId="9" borderId="0" pivotButton="0" quotePrefix="0" xfId="0"/>
    <xf numFmtId="0" fontId="36" fillId="9" borderId="5" applyAlignment="1" pivotButton="0" quotePrefix="0" xfId="0">
      <alignment horizontal="right"/>
    </xf>
    <xf numFmtId="0" fontId="36" fillId="9" borderId="0" applyAlignment="1" pivotButton="0" quotePrefix="0" xfId="0">
      <alignment horizontal="right"/>
    </xf>
    <xf numFmtId="0" fontId="56" fillId="9" borderId="0" pivotButton="0" quotePrefix="0" xfId="0"/>
    <xf numFmtId="0" fontId="13" fillId="9" borderId="3" applyAlignment="1" pivotButton="0" quotePrefix="0" xfId="0">
      <alignment horizontal="right"/>
    </xf>
    <xf numFmtId="0" fontId="13" fillId="9" borderId="0" applyAlignment="1" pivotButton="0" quotePrefix="0" xfId="0">
      <alignment horizontal="right"/>
    </xf>
    <xf numFmtId="0" fontId="36" fillId="9" borderId="2" applyAlignment="1" pivotButton="0" quotePrefix="0" xfId="0">
      <alignment horizontal="right"/>
    </xf>
    <xf numFmtId="0" fontId="77" fillId="9" borderId="0" pivotButton="0" quotePrefix="0" xfId="0"/>
    <xf numFmtId="0" fontId="37" fillId="9" borderId="3" applyAlignment="1" pivotButton="0" quotePrefix="0" xfId="0">
      <alignment horizontal="right"/>
    </xf>
    <xf numFmtId="0" fontId="37" fillId="9" borderId="7" pivotButton="0" quotePrefix="0" xfId="0"/>
    <xf numFmtId="0" fontId="63" fillId="9" borderId="7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0" fontId="63" fillId="9" borderId="8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0" fontId="75" fillId="9" borderId="0" pivotButton="0" quotePrefix="0" xfId="2"/>
    <xf numFmtId="0" fontId="76" fillId="9" borderId="0" pivotButton="0" quotePrefix="0" xfId="0"/>
    <xf numFmtId="172" fontId="0" fillId="9" borderId="0" pivotButton="0" quotePrefix="0" xfId="0"/>
    <xf numFmtId="0" fontId="6" fillId="9" borderId="0" pivotButton="0" quotePrefix="0" xfId="0"/>
    <xf numFmtId="0" fontId="75" fillId="0" borderId="0" pivotButton="0" quotePrefix="0" xfId="0"/>
    <xf numFmtId="1" fontId="87" fillId="0" borderId="0" applyAlignment="1" pivotButton="0" quotePrefix="0" xfId="0">
      <alignment horizontal="left"/>
    </xf>
    <xf numFmtId="1" fontId="86" fillId="0" borderId="0" pivotButton="0" quotePrefix="0" xfId="0"/>
    <xf numFmtId="1" fontId="86" fillId="0" borderId="0" applyAlignment="1" pivotButton="0" quotePrefix="0" xfId="0">
      <alignment horizontal="right"/>
    </xf>
    <xf numFmtId="0" fontId="86" fillId="0" borderId="0" applyAlignment="1" pivotButton="0" quotePrefix="0" xfId="0">
      <alignment horizontal="right"/>
    </xf>
    <xf numFmtId="0" fontId="87" fillId="0" borderId="0" applyAlignment="1" pivotButton="0" quotePrefix="0" xfId="0">
      <alignment horizontal="left"/>
    </xf>
    <xf numFmtId="0" fontId="83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8" fillId="7" borderId="0" pivotButton="0" quotePrefix="0" xfId="0"/>
    <xf numFmtId="0" fontId="88" fillId="7" borderId="0" applyAlignment="1" pivotButton="0" quotePrefix="0" xfId="0">
      <alignment horizontal="left"/>
    </xf>
    <xf numFmtId="0" fontId="88" fillId="7" borderId="0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  <xf numFmtId="0" fontId="8" fillId="2" borderId="0" pivotButton="0" quotePrefix="0" xfId="0"/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64" fontId="44" fillId="7" borderId="0" applyAlignment="1" pivotButton="0" quotePrefix="0" xfId="0">
      <alignment horizontal="center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0" borderId="0" applyAlignment="1" pivotButton="0" quotePrefix="0" xfId="0">
      <alignment horizontal="right"/>
    </xf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64" fontId="21" fillId="7" borderId="0" applyAlignment="1" pivotButton="0" quotePrefix="0" xfId="0">
      <alignment horizontal="center"/>
    </xf>
    <xf numFmtId="175" fontId="10" fillId="7" borderId="3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69" fontId="10" fillId="9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64" fontId="4" fillId="3" borderId="0" applyAlignment="1" pivotButton="0" quotePrefix="0" xfId="0">
      <alignment horizontal="lef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171" fontId="36" fillId="9" borderId="0" applyAlignment="1" pivotButton="0" quotePrefix="0" xfId="0">
      <alignment horizontal="right"/>
    </xf>
    <xf numFmtId="171" fontId="36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174" fontId="36" fillId="9" borderId="0" pivotButton="0" quotePrefix="0" xfId="1"/>
    <xf numFmtId="174" fontId="56" fillId="7" borderId="0" pivotButton="0" quotePrefix="0" xfId="1"/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174" fontId="0" fillId="0" borderId="0" pivotButton="0" quotePrefix="0" xfId="1"/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173" fontId="65" fillId="0" borderId="0" pivotButton="0" quotePrefix="0" xfId="1"/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173" fontId="76" fillId="0" borderId="0" pivotButton="0" quotePrefix="0" xfId="0"/>
    <xf numFmtId="172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22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1F</v>
                </pt>
                <pt idx="1">
                  <v>2F</v>
                </pt>
                <pt idx="2">
                  <v>3F</v>
                </pt>
                <pt idx="3">
                  <v>4F</v>
                </pt>
                <pt idx="4">
                  <v>5F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DCF!$B$121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DCF!$C$120:$G$120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2917376"/>
        <axId val="1412916896"/>
      </lineChart>
      <catAx>
        <axId val="141291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6896"/>
        <crosses val="autoZero"/>
        <auto val="1"/>
        <lblAlgn val="ctr"/>
        <lblOffset val="100"/>
        <noMultiLvlLbl val="0"/>
      </catAx>
      <valAx>
        <axId val="14129168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7376"/>
        <crosses val="autoZero"/>
        <crossBetween val="between"/>
        <majorUnit val="10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Peer EV Multiples Comparison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COMPARABLES!$C$46</f>
              <strCache>
                <ptCount val="1"/>
                <pt idx="0">
                  <v>EV/EBITDA (x)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COMPARABLES!$C$47:$C$52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COMPARABLES!$D$46</f>
              <strCache>
                <ptCount val="1"/>
                <pt idx="0">
                  <v>EV/Revenue (x)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solidFill>
                <a:srgbClr val="3271D2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COMPARABLES!$D$47:$D$52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24325679"/>
        <axId val="1424324719"/>
      </barChart>
      <catAx>
        <axId val="14243256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4719"/>
        <crosses val="autoZero"/>
        <auto val="1"/>
        <lblAlgn val="ctr"/>
        <lblOffset val="100"/>
        <noMultiLvlLbl val="0"/>
      </catAx>
      <valAx>
        <axId val="1424324719"/>
        <scaling>
          <orientation val="minMax"/>
          <max val="2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0\.0&quot;x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5679"/>
        <crosses val="autoZero"/>
        <crossBetween val="between"/>
        <majorUnit val="5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SCENARIOS!$C$58:$G$58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SCENARIOS!$C$59:$G$59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SCENARIOS!$C$60:$G$60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SCENARIOS!$C$63:$G$63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SCENARIOS!$C$64:$G$64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SCENARIOS!$C$65:$G$65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53166666666667"/>
          <y val="0.1590133305705208"/>
          <w val="0.9310655555555556"/>
          <h val="0.6702016853156514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8575" cap="rnd">
              <a:noFill/>
              <a:prstDash val="solid"/>
            </a:ln>
          </spPr>
          <invertIfNegative val="0"/>
          <val>
            <numRef>
              <f>RATIOS!$D$82:$H$82</f>
              <numCache>
                <formatCode>0.00%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2"/>
        <axId val="1558562207"/>
        <axId val="1558569407"/>
      </barChart>
      <catAx>
        <axId val="15585622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9407"/>
        <crosses val="autoZero"/>
        <auto val="1"/>
        <lblAlgn val="ctr"/>
        <lblOffset val="100"/>
        <noMultiLvlLbl val="0"/>
      </catAx>
      <valAx>
        <axId val="1558569407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220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areaChart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RATIOS!$D$91:$H$91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RATIOS!$D$92:$H$92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rgbClr val="E8612C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RATIOS!$D$93:$H$93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rgbClr val="B0B0B0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RATIOS!$D$94:$H$94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2'!$V$96:$V$100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2'!$W$96:$W$100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2'!$X$96:$X$100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elete val="1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2'!$C$105:$G$105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2'!$C$104:$G$104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450052860337888"/>
          <y val="0.06161299096138327"/>
          <w val="0.880192419129427"/>
          <h val="0.8604469035965099"/>
        </manualLayout>
      </layout>
      <lineChart>
        <grouping val="standard"/>
        <varyColors val="0"/>
        <ser>
          <idx val="0"/>
          <order val="0"/>
          <tx>
            <v>EBITDA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2'!$P$104:$T$104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1"/>
          <order val="1"/>
          <tx>
            <v>CFO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2'!$P$105:$T$105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2"/>
          <order val="2"/>
          <tx>
            <v>Net Income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2'!$P$106:$T$106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35109167"/>
        <axId val="1535092847"/>
      </lineChart>
      <catAx>
        <axId val="15351091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092847"/>
        <crosses val="autoZero"/>
        <auto val="1"/>
        <lblAlgn val="ctr"/>
        <lblOffset val="100"/>
        <noMultiLvlLbl val="0"/>
      </catAx>
      <valAx>
        <axId val="15350928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109167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Share Price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mars</v>
                </pt>
                <pt idx="1">
                  <v>avr</v>
                </pt>
                <pt idx="2">
                  <v>mai</v>
                </pt>
                <pt idx="3">
                  <v>juin</v>
                </pt>
                <pt idx="4">
                  <v>juil</v>
                </pt>
                <pt idx="5">
                  <v>août</v>
                </pt>
                <pt idx="6">
                  <v>sept</v>
                </pt>
                <pt idx="7">
                  <v>oct</v>
                </pt>
                <pt idx="8">
                  <v>nov</v>
                </pt>
                <pt idx="9">
                  <v>déc</v>
                </pt>
                <pt idx="10">
                  <v>janv</v>
                </pt>
                <pt idx="11">
                  <v>févr</v>
                </pt>
                <pt idx="12">
                  <v>mars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39.2</v>
                </pt>
                <pt idx="1">
                  <v>41.5</v>
                </pt>
                <pt idx="2">
                  <v>44.8</v>
                </pt>
                <pt idx="3">
                  <v>43.2</v>
                </pt>
                <pt idx="4">
                  <v>47.6</v>
                </pt>
                <pt idx="5">
                  <v>50.3</v>
                </pt>
                <pt idx="6">
                  <v>52.1</v>
                </pt>
                <pt idx="7">
                  <v>49.8</v>
                </pt>
                <pt idx="8">
                  <v>51.4</v>
                </pt>
                <pt idx="9">
                  <v>53.9</v>
                </pt>
                <pt idx="10">
                  <v>51.2</v>
                </pt>
                <pt idx="11">
                  <v>49.6</v>
                </pt>
                <pt idx="12">
                  <v>48.5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drawing1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98284</colOff>
      <row>122</row>
      <rowOff>69026</rowOff>
    </from>
    <to>
      <col>11</col>
      <colOff>46214</colOff>
      <row>141</row>
      <rowOff>22483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269875</colOff>
      <row>46</row>
      <rowOff>28575</rowOff>
    </from>
    <to>
      <col>11</col>
      <colOff>695325</colOff>
      <row>63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</col>
      <colOff>406399</colOff>
      <row>9</row>
      <rowOff>95250</rowOff>
    </from>
    <to>
      <col>12</col>
      <colOff>390525</colOff>
      <row>22</row>
      <rowOff>92074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711202</colOff>
      <row>25</row>
      <rowOff>124945</rowOff>
    </from>
    <to>
      <col>12</col>
      <colOff>180977</colOff>
      <row>39</row>
      <rowOff>123825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9527</colOff>
      <row>40</row>
      <rowOff>33617</rowOff>
    </from>
    <to>
      <col>15</col>
      <colOff>0</colOff>
      <row>56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zoomScale="54" zoomScaleNormal="130" workbookViewId="0">
      <selection activeCell="J96" sqref="J96"/>
    </sheetView>
  </sheetViews>
  <sheetFormatPr baseColWidth="10" defaultRowHeight="14.4"/>
  <cols>
    <col width="11" customWidth="1" min="1" max="1"/>
    <col width="50" customWidth="1" style="19" min="2" max="2"/>
    <col width="15.6640625" customWidth="1" min="3" max="3"/>
    <col width="13.33203125" customWidth="1" style="21" min="4" max="8"/>
  </cols>
  <sheetData>
    <row r="1" ht="54.9" customHeight="1">
      <c r="A1" s="250" t="n"/>
      <c r="B1" s="118" t="n"/>
      <c r="C1" s="5" t="n"/>
      <c r="D1" s="5" t="n"/>
      <c r="E1" s="5" t="n"/>
      <c r="F1" s="117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26" t="n"/>
      <c r="B3" s="15" t="inlineStr">
        <is>
          <t>INPUT — Raw Data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51" t="n"/>
      <c r="B5" s="16" t="inlineStr">
        <is>
          <t>METRIC</t>
        </is>
      </c>
      <c r="C5" s="1" t="inlineStr">
        <is>
          <t>UNIT</t>
        </is>
      </c>
      <c r="D5" s="24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26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26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3" t="n"/>
      <c r="B9" s="17" t="inlineStr">
        <is>
          <t>Revenue</t>
        </is>
      </c>
      <c r="C9" s="45" t="inlineStr">
        <is>
          <t>($000)</t>
        </is>
      </c>
      <c r="D9" s="266" t="n"/>
      <c r="E9" s="266" t="n">
        <v>29519</v>
      </c>
      <c r="F9" s="266" t="n">
        <v>31207</v>
      </c>
      <c r="G9" s="266" t="n">
        <v>34176</v>
      </c>
      <c r="H9" s="266" t="n">
        <v>36800</v>
      </c>
    </row>
    <row r="10" ht="15" customHeight="1">
      <c r="A10" s="3" t="n"/>
      <c r="B10" s="17" t="inlineStr">
        <is>
          <t>Cost of Goods Sold (COGS)</t>
        </is>
      </c>
      <c r="C10" s="45" t="inlineStr">
        <is>
          <t>($000)</t>
        </is>
      </c>
      <c r="D10" s="267" t="n"/>
      <c r="E10" s="267" t="n">
        <v>-8038</v>
      </c>
      <c r="F10" s="267" t="n">
        <v>-8674</v>
      </c>
      <c r="G10" s="267" t="n">
        <v>-9243</v>
      </c>
      <c r="H10" s="267" t="n">
        <v>-9986</v>
      </c>
    </row>
    <row r="11" ht="15" customHeight="1">
      <c r="A11" s="3" t="n"/>
      <c r="B11" s="55" t="inlineStr">
        <is>
          <t>Gross Profit</t>
        </is>
      </c>
      <c r="C11" s="56" t="inlineStr">
        <is>
          <t>($000)</t>
        </is>
      </c>
      <c r="D11" s="274">
        <f>D9+D10</f>
        <v/>
      </c>
      <c r="E11" s="274">
        <f>E9+E10</f>
        <v/>
      </c>
      <c r="F11" s="274">
        <f>F9+F10</f>
        <v/>
      </c>
      <c r="G11" s="274">
        <f>G9+G10</f>
        <v/>
      </c>
      <c r="H11" s="274">
        <f>H9+H10</f>
        <v/>
      </c>
    </row>
    <row r="12" ht="15" customHeight="1">
      <c r="A12" s="3" t="n"/>
      <c r="B12" s="55" t="n"/>
      <c r="C12" s="56" t="n"/>
      <c r="D12" s="57" t="n"/>
      <c r="E12" s="57" t="n"/>
      <c r="F12" s="57" t="n"/>
      <c r="G12" s="57" t="n"/>
      <c r="H12" s="57" t="n"/>
    </row>
    <row r="13" ht="15" customHeight="1">
      <c r="A13" s="3" t="n"/>
      <c r="B13" s="55" t="n"/>
      <c r="C13" s="56" t="n"/>
      <c r="D13" s="274">
        <f>SUM(D14:D16)</f>
        <v/>
      </c>
      <c r="E13" s="274">
        <f>SUM(E14:E16)</f>
        <v/>
      </c>
      <c r="F13" s="274">
        <f>SUM(F14:F16)</f>
        <v/>
      </c>
      <c r="G13" s="274">
        <f>SUM(G14:G16)</f>
        <v/>
      </c>
      <c r="H13" s="274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5" t="inlineStr">
        <is>
          <t>($000)</t>
        </is>
      </c>
      <c r="D14" s="266" t="n"/>
      <c r="E14" s="266" t="n">
        <v>-9235</v>
      </c>
      <c r="F14" s="266" t="n">
        <v>-10192</v>
      </c>
      <c r="G14" s="266" t="n">
        <v>-10525</v>
      </c>
      <c r="H14" s="266" t="n">
        <v>-10512</v>
      </c>
    </row>
    <row r="15" ht="15" customHeight="1">
      <c r="A15" s="3" t="n"/>
      <c r="B15" s="17" t="inlineStr">
        <is>
          <t>Research &amp; Development</t>
        </is>
      </c>
      <c r="C15" s="45" t="inlineStr">
        <is>
          <t>($000)</t>
        </is>
      </c>
      <c r="D15" s="266" t="n"/>
      <c r="E15" s="266" t="n">
        <v>-6080</v>
      </c>
      <c r="F15" s="266" t="n">
        <v>-6324</v>
      </c>
      <c r="G15" s="266" t="n">
        <v>-6514</v>
      </c>
      <c r="H15" s="266" t="n">
        <v>-6633</v>
      </c>
    </row>
    <row r="16" ht="15" customHeight="1">
      <c r="A16" s="3" t="n"/>
      <c r="B16" s="17" t="inlineStr">
        <is>
          <t>Depreciation &amp; Amortization</t>
        </is>
      </c>
      <c r="C16" s="45" t="inlineStr">
        <is>
          <t>($000)</t>
        </is>
      </c>
      <c r="D16" s="268" t="n"/>
      <c r="E16" s="268" t="n">
        <v>-1569</v>
      </c>
      <c r="F16" s="268" t="n">
        <v>-1373</v>
      </c>
      <c r="G16" s="268" t="n">
        <v>-1280</v>
      </c>
      <c r="H16" s="268" t="n">
        <v>-1311</v>
      </c>
    </row>
    <row r="17" ht="15" customHeight="1">
      <c r="A17" s="3" t="n"/>
      <c r="B17" s="55" t="inlineStr">
        <is>
          <t>EBIT (Operating Profit)</t>
        </is>
      </c>
      <c r="C17" s="56" t="inlineStr">
        <is>
          <t>($000)</t>
        </is>
      </c>
      <c r="D17" s="274">
        <f>D11+D13</f>
        <v/>
      </c>
      <c r="E17" s="274">
        <f>E11+E13</f>
        <v/>
      </c>
      <c r="F17" s="274">
        <f>F11+F13</f>
        <v/>
      </c>
      <c r="G17" s="274">
        <f>G11+G13</f>
        <v/>
      </c>
      <c r="H17" s="274">
        <f>H11+H13</f>
        <v/>
      </c>
    </row>
    <row r="18" ht="15" customHeight="1">
      <c r="A18" s="3" t="n"/>
      <c r="B18" s="55" t="n"/>
      <c r="C18" s="56" t="n"/>
      <c r="D18" s="57" t="n"/>
      <c r="E18" s="57" t="n"/>
      <c r="F18" s="57" t="n"/>
      <c r="G18" s="57" t="n"/>
      <c r="H18" s="57" t="n"/>
    </row>
    <row r="19" ht="15" customHeight="1">
      <c r="A19" s="3" t="n"/>
      <c r="B19" s="55" t="n"/>
      <c r="C19" s="56" t="n"/>
      <c r="D19" s="274">
        <f>D17+D20+D21</f>
        <v/>
      </c>
      <c r="E19" s="274">
        <f>E17+E20+E21</f>
        <v/>
      </c>
      <c r="F19" s="274">
        <f>F17+F20+F21</f>
        <v/>
      </c>
      <c r="G19" s="274">
        <f>G17+G20+G21</f>
        <v/>
      </c>
      <c r="H19" s="274">
        <f>H17+H20+H21</f>
        <v/>
      </c>
    </row>
    <row r="20" ht="15" customHeight="1">
      <c r="A20" s="3" t="n"/>
      <c r="B20" s="17" t="inlineStr">
        <is>
          <t>Interest Expense</t>
        </is>
      </c>
      <c r="C20" s="45" t="inlineStr">
        <is>
          <t>($000)</t>
        </is>
      </c>
      <c r="D20" s="266" t="n"/>
      <c r="E20" s="266" t="n">
        <v>-398</v>
      </c>
      <c r="F20" s="266" t="n">
        <v>-639</v>
      </c>
      <c r="G20" s="266" t="n">
        <v>-545</v>
      </c>
      <c r="H20" s="266" t="n">
        <v>-492</v>
      </c>
    </row>
    <row r="21" ht="15" customHeight="1">
      <c r="A21" s="3" t="n"/>
      <c r="B21" s="17" t="inlineStr">
        <is>
          <t>Interest Income</t>
        </is>
      </c>
      <c r="C21" s="45" t="inlineStr">
        <is>
          <t>($000)</t>
        </is>
      </c>
      <c r="D21" s="268" t="n"/>
      <c r="E21" s="268" t="n">
        <v>203</v>
      </c>
      <c r="F21" s="268" t="n">
        <v>486</v>
      </c>
      <c r="G21" s="268" t="n">
        <v>631</v>
      </c>
      <c r="H21" s="268" t="n">
        <v>428</v>
      </c>
    </row>
    <row r="22" ht="15" customHeight="1">
      <c r="A22" s="3" t="n"/>
      <c r="B22" s="55" t="inlineStr">
        <is>
          <t>Earnings Before Tax (EBT)</t>
        </is>
      </c>
      <c r="C22" s="56" t="inlineStr">
        <is>
          <t>($000)</t>
        </is>
      </c>
      <c r="D22" s="274">
        <f>D19</f>
        <v/>
      </c>
      <c r="E22" s="274">
        <f>E19</f>
        <v/>
      </c>
      <c r="F22" s="274">
        <f>F19</f>
        <v/>
      </c>
      <c r="G22" s="274">
        <f>G19</f>
        <v/>
      </c>
      <c r="H22" s="274">
        <f>H19</f>
        <v/>
      </c>
    </row>
    <row r="23" ht="15" customHeight="1">
      <c r="A23" s="3" t="n"/>
      <c r="B23" s="55" t="n"/>
      <c r="C23" s="56" t="n"/>
      <c r="D23" s="57" t="n"/>
      <c r="E23" s="57" t="n"/>
      <c r="F23" s="57" t="n"/>
      <c r="G23" s="57" t="n"/>
      <c r="H23" s="57" t="n"/>
    </row>
    <row r="24" ht="15" customHeight="1">
      <c r="A24" s="3" t="n"/>
      <c r="B24" s="55" t="n"/>
      <c r="C24" s="56" t="n"/>
      <c r="D24" s="274">
        <f>-ROUND(D22*0.21,0)</f>
        <v/>
      </c>
      <c r="E24" s="274">
        <f>-ROUND(E22*0.21,0)</f>
        <v/>
      </c>
      <c r="F24" s="274">
        <f>-ROUND(F22*0.21,0)</f>
        <v/>
      </c>
      <c r="G24" s="274">
        <f>-ROUND(G22*0.21,0)</f>
        <v/>
      </c>
      <c r="H24" s="274">
        <f>-ROUND(H22*0.21,0)</f>
        <v/>
      </c>
    </row>
    <row r="25" ht="15" customHeight="1">
      <c r="A25" s="3" t="n"/>
      <c r="B25" s="17" t="inlineStr">
        <is>
          <t>Income Tax Expense</t>
        </is>
      </c>
      <c r="C25" s="45" t="inlineStr">
        <is>
          <t>($000)</t>
        </is>
      </c>
      <c r="D25" s="266" t="n"/>
      <c r="E25" s="266" t="n">
        <v>-1446</v>
      </c>
      <c r="F25" s="266" t="n">
        <v>-1741</v>
      </c>
      <c r="G25" s="266" t="n">
        <v>-1614</v>
      </c>
      <c r="H25" s="266" t="n">
        <v>-2944</v>
      </c>
    </row>
    <row r="26" ht="15" customHeight="1" thickBot="1">
      <c r="A26" s="3" t="n"/>
      <c r="B26" s="58" t="inlineStr">
        <is>
          <t>Net Income</t>
        </is>
      </c>
      <c r="C26" s="56" t="inlineStr">
        <is>
          <t>($000)</t>
        </is>
      </c>
      <c r="D26" s="275">
        <f>D22+D24</f>
        <v/>
      </c>
      <c r="E26" s="275">
        <f>E22+E24</f>
        <v/>
      </c>
      <c r="F26" s="275">
        <f>F22+F24</f>
        <v/>
      </c>
      <c r="G26" s="275">
        <f>G22+G24</f>
        <v/>
      </c>
      <c r="H26" s="275">
        <f>H22+H24</f>
        <v/>
      </c>
    </row>
    <row r="27" ht="15" customHeight="1">
      <c r="A27" s="3" t="n"/>
      <c r="B27" s="58" t="n"/>
      <c r="C27" s="56" t="n"/>
      <c r="D27" s="57" t="n"/>
      <c r="E27" s="57" t="n"/>
      <c r="F27" s="57" t="n"/>
      <c r="G27" s="57" t="n"/>
      <c r="H27" s="57" t="n"/>
    </row>
    <row r="28" ht="15" customHeight="1">
      <c r="A28" s="3" t="n"/>
      <c r="B28" s="58" t="n"/>
      <c r="C28" s="56" t="n"/>
    </row>
    <row r="29" ht="15" customHeight="1">
      <c r="A29" s="3" t="n"/>
      <c r="B29" s="17" t="inlineStr">
        <is>
          <t>Common Dividends</t>
        </is>
      </c>
      <c r="C29" s="45" t="inlineStr">
        <is>
          <t>($000)</t>
        </is>
      </c>
      <c r="D29" s="266" t="n"/>
      <c r="E29" s="266" t="n"/>
      <c r="F29" s="266" t="n"/>
      <c r="G29" s="266" t="n"/>
      <c r="H29" s="266" t="n"/>
    </row>
    <row r="30" ht="15" customHeight="1">
      <c r="A30" s="3" t="n"/>
      <c r="B30" s="55" t="inlineStr">
        <is>
          <t>EBITDA</t>
        </is>
      </c>
      <c r="C30" s="56" t="inlineStr">
        <is>
          <t>($000)</t>
        </is>
      </c>
      <c r="D30" s="274">
        <f>D17-D16</f>
        <v/>
      </c>
      <c r="E30" s="274">
        <f>E17-E16</f>
        <v/>
      </c>
      <c r="F30" s="274">
        <f>F17-F16</f>
        <v/>
      </c>
      <c r="G30" s="274">
        <f>G17-G16</f>
        <v/>
      </c>
      <c r="H30" s="274">
        <f>H17-H16</f>
        <v/>
      </c>
    </row>
    <row r="31" ht="15" customHeight="1">
      <c r="A31" s="3" t="n"/>
      <c r="B31" s="14" t="n"/>
      <c r="C31" s="9" t="n"/>
      <c r="D31" s="46" t="n"/>
      <c r="E31" s="46" t="n"/>
      <c r="F31" s="46" t="n"/>
      <c r="G31" s="46" t="n"/>
      <c r="H31" s="46" t="n"/>
    </row>
    <row r="32" ht="18" customHeight="1">
      <c r="A32" s="126" t="inlineStr">
        <is>
          <t xml:space="preserve"> </t>
        </is>
      </c>
      <c r="B32" s="53" t="inlineStr">
        <is>
          <t>BALANCE SHEET</t>
        </is>
      </c>
      <c r="C32" s="48" t="n"/>
      <c r="D32" s="49" t="n"/>
      <c r="E32" s="49" t="n"/>
      <c r="F32" s="49" t="n"/>
      <c r="G32" s="49" t="n"/>
      <c r="H32" s="49" t="n"/>
    </row>
    <row r="33" ht="18" customHeight="1">
      <c r="A33" s="126" t="n"/>
      <c r="B33" s="139" t="n"/>
      <c r="C33" s="130" t="n"/>
      <c r="D33" s="140" t="n"/>
      <c r="E33" s="140" t="n"/>
      <c r="F33" s="140" t="n"/>
      <c r="G33" s="140" t="n"/>
      <c r="H33" s="140" t="n"/>
    </row>
    <row r="34" ht="15" customHeight="1">
      <c r="A34" s="3" t="n"/>
      <c r="B34" s="17" t="inlineStr">
        <is>
          <t>Cash &amp; Cash Equivalents</t>
        </is>
      </c>
      <c r="C34" s="45" t="inlineStr">
        <is>
          <t>($000)</t>
        </is>
      </c>
      <c r="D34" s="269" t="n"/>
      <c r="E34" s="269" t="n">
        <v>9008</v>
      </c>
      <c r="F34" s="269" t="n">
        <v>8124</v>
      </c>
      <c r="G34" s="269" t="n">
        <v>9609</v>
      </c>
      <c r="H34" s="269" t="n">
        <v>8220</v>
      </c>
    </row>
    <row r="35" ht="15" customHeight="1">
      <c r="A35" s="3" t="n"/>
      <c r="B35" s="17" t="inlineStr">
        <is>
          <t>Accounts Receivable</t>
        </is>
      </c>
      <c r="C35" s="45" t="inlineStr">
        <is>
          <t>($000)</t>
        </is>
      </c>
      <c r="D35" s="266" t="n"/>
      <c r="E35" s="266" t="n">
        <v>5782</v>
      </c>
      <c r="F35" s="266" t="n">
        <v>5892</v>
      </c>
      <c r="G35" s="266" t="n">
        <v>6231</v>
      </c>
      <c r="H35" s="266" t="n">
        <v>5790</v>
      </c>
    </row>
    <row r="36" ht="15" customHeight="1">
      <c r="A36" s="3" t="n"/>
      <c r="B36" s="17" t="inlineStr">
        <is>
          <t>Inventories</t>
        </is>
      </c>
      <c r="C36" s="45" t="inlineStr">
        <is>
          <t>($000)</t>
        </is>
      </c>
      <c r="D36" s="266" t="n"/>
      <c r="E36" s="266" t="n"/>
      <c r="F36" s="266" t="n"/>
      <c r="G36" s="266" t="n"/>
      <c r="H36" s="266" t="n"/>
    </row>
    <row r="37" ht="15" customHeight="1">
      <c r="A37" s="3" t="n"/>
      <c r="B37" s="17" t="inlineStr">
        <is>
          <t>Other Current Assets</t>
        </is>
      </c>
      <c r="C37" s="45" t="inlineStr">
        <is>
          <t>($000)</t>
        </is>
      </c>
      <c r="D37" s="268" t="n"/>
      <c r="E37" s="268" t="n">
        <v>30</v>
      </c>
      <c r="F37" s="268" t="n">
        <v>44</v>
      </c>
      <c r="G37" s="268" t="n">
        <v>88</v>
      </c>
      <c r="H37" s="268" t="n">
        <v>265</v>
      </c>
    </row>
    <row r="38" ht="15" customHeight="1">
      <c r="A38" s="3" t="n"/>
      <c r="B38" s="55" t="inlineStr">
        <is>
          <t>Total Current Assets</t>
        </is>
      </c>
      <c r="C38" s="56" t="inlineStr">
        <is>
          <t>($000)</t>
        </is>
      </c>
      <c r="D38" s="274">
        <f>SUM(D34:D37)</f>
        <v/>
      </c>
      <c r="E38" s="274">
        <f>SUM(E34:E37)</f>
        <v/>
      </c>
      <c r="F38" s="274">
        <f>SUM(F34:F37)</f>
        <v/>
      </c>
      <c r="G38" s="274">
        <f>SUM(G34:G37)</f>
        <v/>
      </c>
      <c r="H38" s="274">
        <f>SUM(H34:H37)</f>
        <v/>
      </c>
    </row>
    <row r="39" ht="15" customHeight="1">
      <c r="A39" s="3" t="n"/>
      <c r="B39" s="55" t="n"/>
      <c r="C39" s="56" t="n"/>
      <c r="D39" s="57" t="n"/>
      <c r="E39" s="57" t="n"/>
      <c r="F39" s="57" t="n"/>
      <c r="G39" s="57" t="n"/>
      <c r="H39" s="57" t="n"/>
    </row>
    <row r="40" ht="15" customHeight="1">
      <c r="A40" s="3" t="n"/>
      <c r="B40" s="55" t="n"/>
      <c r="C40" s="56" t="n"/>
      <c r="D40" s="57" t="n"/>
      <c r="E40" s="57" t="n"/>
      <c r="F40" s="57" t="n"/>
      <c r="G40" s="57" t="n"/>
      <c r="H40" s="57" t="n"/>
    </row>
    <row r="41" ht="15" customHeight="1">
      <c r="A41" s="3" t="n"/>
      <c r="B41" s="17" t="inlineStr">
        <is>
          <t>PP&amp;E (Net)</t>
        </is>
      </c>
      <c r="C41" s="45" t="inlineStr">
        <is>
          <t>($000)</t>
        </is>
      </c>
      <c r="D41" s="266" t="n"/>
      <c r="E41" s="266" t="n">
        <v>4934</v>
      </c>
      <c r="F41" s="266" t="n">
        <v>4276</v>
      </c>
      <c r="G41" s="266" t="n">
        <v>4493</v>
      </c>
      <c r="H41" s="266" t="n">
        <v>4497</v>
      </c>
    </row>
    <row r="42" ht="15" customHeight="1">
      <c r="A42" s="3" t="n"/>
      <c r="B42" s="17" t="inlineStr">
        <is>
          <t>Intangible Assets</t>
        </is>
      </c>
      <c r="C42" s="45" t="inlineStr">
        <is>
          <t>($000)</t>
        </is>
      </c>
      <c r="D42" s="266" t="n"/>
      <c r="E42" s="266" t="n">
        <v>36912</v>
      </c>
      <c r="F42" s="266" t="n">
        <v>31586</v>
      </c>
      <c r="G42" s="266" t="n">
        <v>33970</v>
      </c>
      <c r="H42" s="266" t="n">
        <v>31296</v>
      </c>
    </row>
    <row r="43" ht="15" customHeight="1">
      <c r="A43" s="3" t="n"/>
      <c r="B43" s="17" t="inlineStr">
        <is>
          <t>Other Long-Term Assets</t>
        </is>
      </c>
      <c r="C43" s="45" t="inlineStr">
        <is>
          <t>($000)</t>
        </is>
      </c>
      <c r="D43" s="266" t="n"/>
      <c r="E43" s="266" t="n">
        <v>-1</v>
      </c>
      <c r="F43" s="266" t="n">
        <v>1</v>
      </c>
      <c r="G43" s="266" t="n">
        <v>1</v>
      </c>
      <c r="H43" s="266" t="n"/>
    </row>
    <row r="44" ht="15" customHeight="1" thickBot="1">
      <c r="A44" s="3" t="n"/>
      <c r="B44" s="55" t="inlineStr">
        <is>
          <t>Total Assets</t>
        </is>
      </c>
      <c r="C44" s="56" t="inlineStr">
        <is>
          <t>($000)</t>
        </is>
      </c>
      <c r="D44" s="275">
        <f>D38+SUM(D41:D43)</f>
        <v/>
      </c>
      <c r="E44" s="275">
        <f>E38+SUM(E41:E43)</f>
        <v/>
      </c>
      <c r="F44" s="275">
        <f>F38+SUM(F41:F43)</f>
        <v/>
      </c>
      <c r="G44" s="275">
        <f>G38+SUM(G41:G43)</f>
        <v/>
      </c>
      <c r="H44" s="275">
        <f>H38+SUM(H41:H43)</f>
        <v/>
      </c>
    </row>
    <row r="45" ht="15" customHeight="1">
      <c r="A45" s="3" t="n"/>
      <c r="B45" s="55" t="n"/>
      <c r="C45" s="56" t="n"/>
      <c r="D45" s="57" t="n"/>
      <c r="E45" s="57" t="n"/>
      <c r="F45" s="57" t="n"/>
      <c r="G45" s="57" t="n"/>
      <c r="H45" s="57" t="n"/>
    </row>
    <row r="46" ht="15" customHeight="1">
      <c r="A46" s="3" t="n"/>
      <c r="B46" s="55" t="n"/>
      <c r="C46" s="56" t="n"/>
      <c r="D46" s="57" t="n"/>
      <c r="E46" s="57" t="n"/>
      <c r="F46" s="57" t="n"/>
      <c r="G46" s="57" t="n"/>
      <c r="H46" s="57" t="n"/>
    </row>
    <row r="47" ht="15" customHeight="1">
      <c r="A47" s="3" t="n"/>
      <c r="B47" s="17" t="inlineStr">
        <is>
          <t>Accounts Payable</t>
        </is>
      </c>
      <c r="C47" s="45" t="inlineStr">
        <is>
          <t>($000)</t>
        </is>
      </c>
      <c r="D47" s="266" t="n"/>
      <c r="E47" s="266" t="n">
        <v>2146</v>
      </c>
      <c r="F47" s="266" t="n">
        <v>1783</v>
      </c>
      <c r="G47" s="266" t="n">
        <v>1988</v>
      </c>
      <c r="H47" s="266" t="n">
        <v>2431</v>
      </c>
    </row>
    <row r="48" ht="15" customHeight="1">
      <c r="A48" s="3" t="n"/>
      <c r="B48" s="17" t="inlineStr">
        <is>
          <t>Short-Term Debt</t>
        </is>
      </c>
      <c r="C48" s="45" t="inlineStr">
        <is>
          <t>($000)</t>
        </is>
      </c>
      <c r="D48" s="266" t="n"/>
      <c r="E48" s="266" t="n">
        <v>3984</v>
      </c>
      <c r="F48" s="266" t="n">
        <v>1143</v>
      </c>
      <c r="G48" s="266" t="n">
        <v>3636</v>
      </c>
      <c r="H48" s="266" t="n">
        <v>1598</v>
      </c>
    </row>
    <row r="49" ht="15" customHeight="1">
      <c r="A49" s="3" t="n"/>
      <c r="B49" s="17" t="inlineStr">
        <is>
          <t>Income Tax Payable</t>
        </is>
      </c>
      <c r="C49" s="45" t="inlineStr">
        <is>
          <t>($000)</t>
        </is>
      </c>
      <c r="D49" s="266" t="n"/>
      <c r="E49" s="266" t="n">
        <v>945</v>
      </c>
      <c r="F49" s="266" t="n">
        <v>1136</v>
      </c>
      <c r="G49" s="266" t="n">
        <v>585</v>
      </c>
      <c r="H49" s="266" t="n">
        <v>968</v>
      </c>
    </row>
    <row r="50" ht="15" customHeight="1">
      <c r="A50" s="3" t="n"/>
      <c r="B50" s="17" t="inlineStr">
        <is>
          <t>Other Current Liabilities</t>
        </is>
      </c>
      <c r="C50" s="45" t="inlineStr">
        <is>
          <t>($000)</t>
        </is>
      </c>
      <c r="D50" s="268" t="n"/>
      <c r="E50" s="268" t="n">
        <v>474</v>
      </c>
      <c r="F50" s="268" t="n">
        <v>315</v>
      </c>
      <c r="G50" s="268" t="n">
        <v>1373</v>
      </c>
      <c r="H50" s="268" t="n">
        <v>1132</v>
      </c>
    </row>
    <row r="51" ht="15" customHeight="1">
      <c r="A51" s="3" t="n"/>
      <c r="B51" s="55" t="inlineStr">
        <is>
          <t>Total Current Liabilities</t>
        </is>
      </c>
      <c r="C51" s="56" t="inlineStr">
        <is>
          <t>($000)</t>
        </is>
      </c>
      <c r="D51" s="274">
        <f>SUM(D47:D50)</f>
        <v/>
      </c>
      <c r="E51" s="274">
        <f>SUM(E47:E50)</f>
        <v/>
      </c>
      <c r="F51" s="274">
        <f>SUM(F47:F50)</f>
        <v/>
      </c>
      <c r="G51" s="274">
        <f>SUM(G47:G50)</f>
        <v/>
      </c>
      <c r="H51" s="274">
        <f>SUM(H47:H50)</f>
        <v/>
      </c>
    </row>
    <row r="52" ht="15" customHeight="1">
      <c r="A52" s="3" t="n"/>
      <c r="B52" s="55" t="n"/>
      <c r="C52" s="56" t="n"/>
      <c r="D52" s="57" t="n"/>
      <c r="E52" s="57" t="n"/>
      <c r="F52" s="57" t="n"/>
      <c r="G52" s="57" t="n"/>
      <c r="H52" s="57" t="n"/>
    </row>
    <row r="53" ht="15" customHeight="1">
      <c r="A53" s="3" t="n"/>
      <c r="B53" s="55" t="n"/>
      <c r="C53" s="56" t="n"/>
      <c r="D53" s="57" t="n"/>
      <c r="E53" s="57" t="n"/>
      <c r="F53" s="57" t="n"/>
      <c r="G53" s="57" t="n"/>
      <c r="H53" s="57" t="n"/>
    </row>
    <row r="54" ht="15" customHeight="1">
      <c r="A54" s="3" t="n"/>
      <c r="B54" s="17" t="inlineStr">
        <is>
          <t>Long-Term Debt</t>
        </is>
      </c>
      <c r="C54" s="45" t="inlineStr">
        <is>
          <t>($000)</t>
        </is>
      </c>
      <c r="D54" s="268" t="n"/>
      <c r="E54" s="268" t="n">
        <v>6961</v>
      </c>
      <c r="F54" s="268" t="n">
        <v>6027</v>
      </c>
      <c r="G54" s="268" t="n">
        <v>5300</v>
      </c>
      <c r="H54" s="268" t="n">
        <v>4194</v>
      </c>
    </row>
    <row r="55" ht="15" customHeight="1">
      <c r="A55" s="3" t="n"/>
      <c r="B55" s="58" t="inlineStr">
        <is>
          <t>Total Liabilities</t>
        </is>
      </c>
      <c r="C55" s="56" t="inlineStr">
        <is>
          <t>($000)</t>
        </is>
      </c>
      <c r="D55" s="274">
        <f>D51+D54</f>
        <v/>
      </c>
      <c r="E55" s="274">
        <f>E51+E54</f>
        <v/>
      </c>
      <c r="F55" s="274">
        <f>F51+F54</f>
        <v/>
      </c>
      <c r="G55" s="274">
        <f>G51+G54</f>
        <v/>
      </c>
      <c r="H55" s="274">
        <f>H51+H54</f>
        <v/>
      </c>
    </row>
    <row r="56" ht="15" customHeight="1">
      <c r="A56" s="3" t="n"/>
      <c r="B56" s="58" t="n"/>
      <c r="C56" s="56" t="n"/>
      <c r="D56" s="57" t="n"/>
      <c r="E56" s="57" t="n"/>
      <c r="F56" s="57" t="n"/>
      <c r="G56" s="57" t="n"/>
      <c r="H56" s="57" t="n"/>
    </row>
    <row r="57" ht="15" customHeight="1">
      <c r="A57" s="3" t="n"/>
      <c r="B57" s="58" t="n"/>
      <c r="C57" s="56" t="n"/>
      <c r="D57" s="57" t="n"/>
      <c r="E57" s="57" t="n"/>
      <c r="F57" s="57" t="n"/>
      <c r="G57" s="57" t="n"/>
      <c r="H57" s="57" t="n"/>
    </row>
    <row r="58" ht="15" customHeight="1">
      <c r="A58" s="3" t="n"/>
      <c r="B58" s="17" t="inlineStr">
        <is>
          <t>Common Equity (Paid-In Capital)</t>
        </is>
      </c>
      <c r="C58" s="45" t="inlineStr">
        <is>
          <t>($000)</t>
        </is>
      </c>
      <c r="D58" s="266" t="n"/>
      <c r="E58" s="266" t="n">
        <v>4310</v>
      </c>
      <c r="F58" s="266" t="n">
        <v>3074</v>
      </c>
      <c r="G58" s="266" t="n">
        <v>3793</v>
      </c>
      <c r="H58" s="266" t="n">
        <v>3793</v>
      </c>
    </row>
    <row r="59" ht="15" customHeight="1">
      <c r="A59" s="3" t="n"/>
      <c r="B59" s="17" t="inlineStr">
        <is>
          <t>Retained Earnings</t>
        </is>
      </c>
      <c r="C59" s="45" t="inlineStr">
        <is>
          <t>($000)</t>
        </is>
      </c>
      <c r="D59" s="276" t="n"/>
      <c r="E59" s="276" t="n"/>
      <c r="F59" s="276" t="n"/>
      <c r="G59" s="276" t="n"/>
      <c r="H59" s="276" t="n"/>
    </row>
    <row r="60" ht="15" customHeight="1">
      <c r="A60" s="3" t="n"/>
      <c r="B60" s="58" t="inlineStr">
        <is>
          <t>Total Shareholders Equity</t>
        </is>
      </c>
      <c r="C60" s="56" t="inlineStr">
        <is>
          <t>($000)</t>
        </is>
      </c>
      <c r="D60" s="274">
        <f>D58+D59</f>
        <v/>
      </c>
      <c r="E60" s="274">
        <f>E58+E59</f>
        <v/>
      </c>
      <c r="F60" s="274">
        <f>F58+F59</f>
        <v/>
      </c>
      <c r="G60" s="274">
        <f>G58+G59</f>
        <v/>
      </c>
      <c r="H60" s="274">
        <f>H58+H59</f>
        <v/>
      </c>
    </row>
    <row r="61" ht="15" customHeight="1">
      <c r="A61" s="3" t="n"/>
      <c r="B61" s="58" t="n"/>
      <c r="C61" s="56" t="n"/>
      <c r="D61" s="57" t="n"/>
      <c r="E61" s="57" t="n"/>
      <c r="F61" s="57" t="n"/>
      <c r="G61" s="57" t="n"/>
      <c r="H61" s="57" t="n"/>
    </row>
    <row r="62" ht="15" customHeight="1">
      <c r="A62" s="3" t="n"/>
      <c r="B62" s="58" t="n"/>
      <c r="C62" s="56" t="n"/>
      <c r="D62" s="57" t="n"/>
      <c r="E62" s="57" t="n"/>
      <c r="F62" s="57" t="n"/>
      <c r="G62" s="57" t="n"/>
      <c r="H62" s="57" t="n"/>
    </row>
    <row r="63" ht="15" customHeight="1" thickBot="1">
      <c r="A63" s="3" t="n"/>
      <c r="B63" s="58" t="inlineStr">
        <is>
          <t>Total Liabilities &amp; Equity</t>
        </is>
      </c>
      <c r="C63" s="56" t="inlineStr">
        <is>
          <t>($000)</t>
        </is>
      </c>
      <c r="D63" s="275">
        <f>D55+D60</f>
        <v/>
      </c>
      <c r="E63" s="275">
        <f>E55+E60</f>
        <v/>
      </c>
      <c r="F63" s="275">
        <f>F55+F60</f>
        <v/>
      </c>
      <c r="G63" s="275">
        <f>G55+G60</f>
        <v/>
      </c>
      <c r="H63" s="275">
        <f>H55+H60</f>
        <v/>
      </c>
    </row>
    <row r="64" ht="15" customHeight="1">
      <c r="A64" s="3" t="n"/>
      <c r="B64" s="58" t="n"/>
      <c r="C64" s="56" t="n"/>
      <c r="D64" s="57" t="n"/>
      <c r="E64" s="57" t="n"/>
      <c r="F64" s="57" t="n"/>
      <c r="G64" s="57" t="n"/>
      <c r="H64" s="57" t="n"/>
    </row>
    <row r="65" ht="15" customHeight="1">
      <c r="A65" s="3" t="n"/>
      <c r="B65" s="58" t="n"/>
      <c r="C65" s="56" t="n"/>
      <c r="D65" s="57" t="n"/>
      <c r="E65" s="57" t="n"/>
      <c r="F65" s="57" t="n"/>
      <c r="G65" s="57" t="n"/>
      <c r="H65" s="57" t="n"/>
    </row>
    <row r="66" ht="15" customHeight="1">
      <c r="A66" s="3" t="n"/>
      <c r="B66" s="14" t="n"/>
      <c r="C66" s="9" t="n"/>
      <c r="D66" s="46" t="n"/>
      <c r="E66" s="46" t="n"/>
      <c r="F66" s="46" t="n"/>
      <c r="G66" s="46" t="n"/>
      <c r="H66" s="46" t="n"/>
    </row>
    <row r="67" ht="18" customHeight="1">
      <c r="A67" s="126" t="n"/>
      <c r="B67" s="53" t="inlineStr">
        <is>
          <t>CASH FLOW STATEMENT</t>
        </is>
      </c>
      <c r="C67" s="48" t="n"/>
      <c r="D67" s="49" t="n"/>
      <c r="E67" s="49" t="n"/>
      <c r="F67" s="49" t="n"/>
      <c r="G67" s="49" t="n"/>
      <c r="H67" s="49" t="n"/>
    </row>
    <row r="68" ht="18" customHeight="1">
      <c r="A68" s="126" t="n"/>
      <c r="B68" s="139" t="n"/>
      <c r="C68" s="130" t="n"/>
      <c r="D68" s="140" t="n"/>
      <c r="E68" s="140" t="n"/>
      <c r="F68" s="140" t="n"/>
      <c r="G68" s="140" t="n"/>
      <c r="H68" s="140" t="n"/>
    </row>
    <row r="69" ht="15" customHeight="1">
      <c r="A69" s="3" t="n"/>
      <c r="B69" s="17" t="inlineStr">
        <is>
          <t>Net Income</t>
        </is>
      </c>
      <c r="C69" s="45" t="inlineStr">
        <is>
          <t>($000)</t>
        </is>
      </c>
      <c r="D69" s="269">
        <f>D26</f>
        <v/>
      </c>
      <c r="E69" s="269">
        <f>E26</f>
        <v/>
      </c>
      <c r="F69" s="269">
        <f>F26</f>
        <v/>
      </c>
      <c r="G69" s="269">
        <f>G26</f>
        <v/>
      </c>
      <c r="H69" s="269">
        <f>H26</f>
        <v/>
      </c>
    </row>
    <row r="70" ht="15" customHeight="1">
      <c r="A70" s="3" t="n"/>
      <c r="B70" s="17" t="inlineStr">
        <is>
          <t>Depreciation &amp; Amortization</t>
        </is>
      </c>
      <c r="C70" s="45" t="inlineStr">
        <is>
          <t>($000)</t>
        </is>
      </c>
      <c r="D70" s="269">
        <f>-D16</f>
        <v/>
      </c>
      <c r="E70" s="269">
        <f>-E16</f>
        <v/>
      </c>
      <c r="F70" s="269">
        <f>-F16</f>
        <v/>
      </c>
      <c r="G70" s="269">
        <f>-G16</f>
        <v/>
      </c>
      <c r="H70" s="269">
        <f>-H16</f>
        <v/>
      </c>
    </row>
    <row r="71" ht="15" customHeight="1">
      <c r="A71" s="3" t="n"/>
      <c r="B71" s="17" t="inlineStr">
        <is>
          <t>Change in Accounts Receivable</t>
        </is>
      </c>
      <c r="C71" s="45" t="inlineStr">
        <is>
          <t>($000)</t>
        </is>
      </c>
      <c r="D71" s="266" t="n"/>
      <c r="E71" s="266" t="n">
        <v>196</v>
      </c>
      <c r="F71" s="266" t="n">
        <v>-393</v>
      </c>
      <c r="G71" s="266" t="n">
        <v>-247</v>
      </c>
      <c r="H71" s="266" t="n">
        <v>-388</v>
      </c>
    </row>
    <row r="72" ht="15" customHeight="1">
      <c r="A72" s="3" t="n"/>
      <c r="B72" s="17" t="inlineStr">
        <is>
          <t>Change in Inventories</t>
        </is>
      </c>
      <c r="C72" s="45" t="inlineStr">
        <is>
          <t>($000)</t>
        </is>
      </c>
      <c r="D72" s="266" t="n"/>
      <c r="E72" s="266" t="n"/>
      <c r="F72" s="266" t="n"/>
      <c r="G72" s="266" t="n"/>
      <c r="H72" s="266" t="n"/>
    </row>
    <row r="73" ht="15" customHeight="1">
      <c r="A73" s="3" t="n"/>
      <c r="B73" s="17" t="inlineStr">
        <is>
          <t>Change in Accounts Payable</t>
        </is>
      </c>
      <c r="C73" s="45" t="inlineStr">
        <is>
          <t>($000)</t>
        </is>
      </c>
      <c r="D73" s="266" t="n"/>
      <c r="E73" s="266" t="n">
        <v>154</v>
      </c>
      <c r="F73" s="266" t="n">
        <v>633</v>
      </c>
      <c r="G73" s="266" t="n">
        <v>603</v>
      </c>
      <c r="H73" s="266" t="n">
        <v>-308</v>
      </c>
    </row>
    <row r="74" ht="15" customHeight="1">
      <c r="A74" s="3" t="n"/>
      <c r="B74" s="17" t="inlineStr">
        <is>
          <t>Other Working Capital Changes</t>
        </is>
      </c>
      <c r="C74" s="45" t="inlineStr">
        <is>
          <t>($000)</t>
        </is>
      </c>
      <c r="D74" s="266" t="n"/>
      <c r="E74" s="266" t="n">
        <v>36</v>
      </c>
      <c r="F74" s="266" t="n">
        <v>-614</v>
      </c>
      <c r="G74" s="266" t="n">
        <v>-1568</v>
      </c>
      <c r="H74" s="266" t="n">
        <v>-1258</v>
      </c>
    </row>
    <row r="75" ht="15" customHeight="1" thickBot="1">
      <c r="A75" s="3" t="n"/>
      <c r="B75" s="55" t="inlineStr">
        <is>
          <t>Cash from Operating Activities</t>
        </is>
      </c>
      <c r="C75" s="56" t="inlineStr">
        <is>
          <t>($000)</t>
        </is>
      </c>
      <c r="D75" s="275">
        <f>SUM(D69:D74)</f>
        <v/>
      </c>
      <c r="E75" s="275">
        <f>SUM(E69:E74)</f>
        <v/>
      </c>
      <c r="F75" s="275">
        <f>SUM(F69:F74)</f>
        <v/>
      </c>
      <c r="G75" s="275">
        <f>SUM(G69:G74)</f>
        <v/>
      </c>
      <c r="H75" s="275">
        <f>SUM(H69:H74)</f>
        <v/>
      </c>
    </row>
    <row r="76" ht="15" customHeight="1">
      <c r="A76" s="3" t="n"/>
      <c r="B76" s="55" t="n"/>
      <c r="C76" s="56" t="n"/>
      <c r="D76" s="57" t="n"/>
      <c r="E76" s="57" t="n"/>
      <c r="F76" s="57" t="n"/>
      <c r="G76" s="57" t="n"/>
      <c r="H76" s="57" t="n"/>
    </row>
    <row r="77" ht="15" customHeight="1">
      <c r="A77" s="3" t="n"/>
      <c r="B77" s="55" t="n"/>
      <c r="C77" s="56" t="n"/>
      <c r="D77" s="57" t="n"/>
      <c r="E77" s="57" t="n"/>
      <c r="F77" s="57" t="n"/>
      <c r="G77" s="57" t="n"/>
      <c r="H77" s="57" t="n"/>
    </row>
    <row r="78" ht="15" customHeight="1">
      <c r="A78" s="3" t="n"/>
      <c r="B78" s="17" t="inlineStr">
        <is>
          <t>Capital Expenditures (CapEx)</t>
        </is>
      </c>
      <c r="C78" s="45" t="inlineStr">
        <is>
          <t>($000)</t>
        </is>
      </c>
      <c r="D78" s="266" t="n"/>
      <c r="E78" s="266" t="n">
        <v>-877</v>
      </c>
      <c r="F78" s="266" t="n">
        <v>-785</v>
      </c>
      <c r="G78" s="266" t="n">
        <v>-797</v>
      </c>
      <c r="H78" s="266" t="n">
        <v>-739</v>
      </c>
    </row>
    <row r="79" ht="15" customHeight="1">
      <c r="A79" s="3" t="n"/>
      <c r="B79" s="17" t="inlineStr">
        <is>
          <t>Other Investing Activities</t>
        </is>
      </c>
      <c r="C79" s="45" t="inlineStr">
        <is>
          <t>($000)</t>
        </is>
      </c>
      <c r="D79" s="266" t="n"/>
      <c r="E79" s="266" t="n"/>
      <c r="F79" s="266" t="n"/>
      <c r="G79" s="266" t="n"/>
      <c r="H79" s="266" t="n"/>
    </row>
    <row r="80" ht="15" customHeight="1" thickBot="1">
      <c r="A80" s="3" t="n"/>
      <c r="B80" s="58" t="inlineStr">
        <is>
          <t>Cash from Investing Activities</t>
        </is>
      </c>
      <c r="C80" s="56" t="inlineStr">
        <is>
          <t>($000)</t>
        </is>
      </c>
      <c r="D80" s="275">
        <f>SUM(D78:D79)</f>
        <v/>
      </c>
      <c r="E80" s="275">
        <f>SUM(E78:E79)</f>
        <v/>
      </c>
      <c r="F80" s="275">
        <f>SUM(F78:F79)</f>
        <v/>
      </c>
      <c r="G80" s="275">
        <f>SUM(G78:G79)</f>
        <v/>
      </c>
      <c r="H80" s="275">
        <f>SUM(H78:H79)</f>
        <v/>
      </c>
    </row>
    <row r="81" ht="15" customHeight="1">
      <c r="A81" s="3" t="n"/>
      <c r="B81" s="58" t="n"/>
      <c r="C81" s="56" t="n"/>
      <c r="D81" s="57" t="n"/>
      <c r="E81" s="57" t="n"/>
      <c r="F81" s="57" t="n"/>
      <c r="G81" s="57" t="n"/>
      <c r="H81" s="57" t="n"/>
    </row>
    <row r="82" ht="15" customHeight="1">
      <c r="A82" s="3" t="n"/>
      <c r="B82" s="58" t="n"/>
      <c r="C82" s="56" t="n"/>
      <c r="D82" s="57" t="n"/>
      <c r="E82" s="57" t="n"/>
      <c r="F82" s="57" t="n"/>
      <c r="G82" s="57" t="n"/>
      <c r="H82" s="57" t="n"/>
    </row>
    <row r="83" ht="15" customHeight="1">
      <c r="A83" s="3" t="n"/>
      <c r="B83" s="17" t="inlineStr">
        <is>
          <t>Change in Long-Term Debt</t>
        </is>
      </c>
      <c r="C83" s="45" t="inlineStr">
        <is>
          <t>($000)</t>
        </is>
      </c>
      <c r="D83" s="266" t="n"/>
      <c r="E83" s="266" t="n">
        <v>158</v>
      </c>
      <c r="F83" s="266" t="n">
        <v>13</v>
      </c>
      <c r="G83" s="266" t="n">
        <v>2767</v>
      </c>
      <c r="H83" s="266" t="n">
        <v>2</v>
      </c>
    </row>
    <row r="84" ht="15" customHeight="1">
      <c r="A84" s="3" t="n"/>
      <c r="B84" s="17" t="inlineStr">
        <is>
          <t>Change in Common Equity</t>
        </is>
      </c>
      <c r="C84" s="45" t="inlineStr">
        <is>
          <t>($000)</t>
        </is>
      </c>
      <c r="D84" s="266" t="n"/>
      <c r="E84" s="266" t="n">
        <v>-1500</v>
      </c>
      <c r="F84" s="266" t="n">
        <v>-949</v>
      </c>
      <c r="G84" s="266" t="n">
        <v>-2106</v>
      </c>
      <c r="H84" s="266" t="n">
        <v>-1937</v>
      </c>
    </row>
    <row r="85" ht="15" customHeight="1">
      <c r="A85" s="3" t="n"/>
      <c r="B85" s="17" t="inlineStr">
        <is>
          <t>Dividends Paid</t>
        </is>
      </c>
      <c r="C85" s="45" t="inlineStr">
        <is>
          <t>($000)</t>
        </is>
      </c>
      <c r="D85" s="266" t="n"/>
      <c r="E85" s="266" t="n">
        <v>-1500</v>
      </c>
      <c r="F85" s="266" t="n">
        <v>-949</v>
      </c>
      <c r="G85" s="266" t="n">
        <v>-2106</v>
      </c>
      <c r="H85" s="266" t="n">
        <v>-1937</v>
      </c>
    </row>
    <row r="86" ht="15" customHeight="1" thickBot="1">
      <c r="A86" s="3" t="n"/>
      <c r="B86" s="55" t="inlineStr">
        <is>
          <t>Cash from Financing Activities</t>
        </is>
      </c>
      <c r="C86" s="56" t="inlineStr">
        <is>
          <t>($000)</t>
        </is>
      </c>
      <c r="D86" s="275">
        <f>SUM(D83:D85)</f>
        <v/>
      </c>
      <c r="E86" s="275">
        <f>SUM(E83:E85)</f>
        <v/>
      </c>
      <c r="F86" s="275">
        <f>SUM(F83:F85)</f>
        <v/>
      </c>
      <c r="G86" s="275">
        <f>SUM(G83:G85)</f>
        <v/>
      </c>
      <c r="H86" s="275">
        <f>SUM(H83:H85)</f>
        <v/>
      </c>
    </row>
    <row r="87" ht="15" customHeight="1">
      <c r="A87" s="3" t="n"/>
      <c r="B87" s="55" t="n"/>
      <c r="C87" s="56" t="n"/>
      <c r="D87" s="57" t="n"/>
      <c r="E87" s="57" t="n"/>
      <c r="F87" s="57" t="n"/>
      <c r="G87" s="57" t="n"/>
      <c r="H87" s="57" t="n"/>
    </row>
    <row r="88" ht="15" customHeight="1">
      <c r="A88" s="3" t="n"/>
      <c r="B88" s="55" t="n"/>
      <c r="C88" s="56" t="n"/>
      <c r="D88" s="57" t="n"/>
      <c r="E88" s="57" t="n"/>
      <c r="F88" s="57" t="n"/>
      <c r="G88" s="57" t="n"/>
      <c r="H88" s="57" t="n"/>
    </row>
    <row r="89" ht="15" customHeight="1">
      <c r="A89" s="3" t="n"/>
      <c r="B89" s="58" t="inlineStr">
        <is>
          <t>Net Change in Cash</t>
        </is>
      </c>
      <c r="C89" s="56" t="inlineStr">
        <is>
          <t>($000)</t>
        </is>
      </c>
      <c r="D89" s="274">
        <f>D75+D80+D86</f>
        <v/>
      </c>
      <c r="E89" s="274">
        <f>E75+E80+E86</f>
        <v/>
      </c>
      <c r="F89" s="274">
        <f>F75+F80+F86</f>
        <v/>
      </c>
      <c r="G89" s="274">
        <f>G75+G80+G86</f>
        <v/>
      </c>
      <c r="H89" s="274">
        <f>H75+H80+H86</f>
        <v/>
      </c>
    </row>
    <row r="90" ht="15" customHeight="1">
      <c r="A90" s="3" t="n"/>
      <c r="B90" s="17" t="inlineStr">
        <is>
          <t>Beginning Cash Balance</t>
        </is>
      </c>
      <c r="C90" s="45" t="inlineStr">
        <is>
          <t>($000)</t>
        </is>
      </c>
      <c r="D90" s="266" t="n"/>
      <c r="E90" s="266" t="n">
        <v>8898</v>
      </c>
      <c r="F90" s="266" t="n">
        <v>9008</v>
      </c>
      <c r="G90" s="266" t="n">
        <v>8124</v>
      </c>
      <c r="H90" s="266" t="n">
        <v>9609</v>
      </c>
    </row>
    <row r="91" ht="15" customHeight="1" thickBot="1">
      <c r="A91" s="3" t="n"/>
      <c r="B91" s="58" t="inlineStr">
        <is>
          <t>Ending Cash Balance</t>
        </is>
      </c>
      <c r="C91" s="56" t="inlineStr">
        <is>
          <t>($000)</t>
        </is>
      </c>
      <c r="D91" s="275">
        <f>D90+D89</f>
        <v/>
      </c>
      <c r="E91" s="275">
        <f>E90+E89</f>
        <v/>
      </c>
      <c r="F91" s="275">
        <f>F90+F89</f>
        <v/>
      </c>
      <c r="G91" s="275">
        <f>G90+G89</f>
        <v/>
      </c>
      <c r="H91" s="275">
        <f>H90+H89</f>
        <v/>
      </c>
    </row>
    <row r="92" ht="15" customHeight="1">
      <c r="A92" s="3" t="n"/>
      <c r="B92" s="14" t="n"/>
      <c r="C92" s="9" t="n"/>
      <c r="D92" s="46" t="n"/>
      <c r="E92" s="46" t="n"/>
      <c r="F92" s="46" t="n"/>
      <c r="G92" s="46" t="n"/>
      <c r="H92" s="46" t="n"/>
    </row>
    <row r="93" ht="18" customHeight="1">
      <c r="A93" s="126" t="n"/>
      <c r="B93" s="53" t="inlineStr">
        <is>
          <t>MARKET &amp; VALUATION DATA</t>
        </is>
      </c>
      <c r="C93" s="48" t="n"/>
      <c r="D93" s="49" t="n"/>
      <c r="E93" s="49" t="n"/>
      <c r="F93" s="49" t="n"/>
      <c r="G93" s="49" t="n"/>
      <c r="H93" s="49" t="n"/>
    </row>
    <row r="94" ht="18" customHeight="1">
      <c r="A94" s="126" t="n"/>
      <c r="B94" s="139" t="n"/>
      <c r="C94" s="130" t="n"/>
      <c r="D94" s="140" t="n"/>
      <c r="E94" s="140" t="n"/>
      <c r="F94" s="140" t="n"/>
      <c r="G94" s="140" t="n"/>
      <c r="H94" s="140" t="n"/>
    </row>
    <row r="95" ht="15" customHeight="1">
      <c r="A95" s="3" t="n"/>
      <c r="B95" s="17" t="inlineStr">
        <is>
          <t>Share Price</t>
        </is>
      </c>
      <c r="C95" s="45" t="inlineStr">
        <is>
          <t>($)</t>
        </is>
      </c>
      <c r="D95" s="266" t="n"/>
      <c r="E95" s="266" t="n"/>
      <c r="F95" s="266" t="n"/>
      <c r="G95" s="266" t="n"/>
      <c r="H95" s="266" t="n">
        <v>144.64</v>
      </c>
    </row>
    <row r="96" ht="15" customHeight="1">
      <c r="A96" s="3" t="n"/>
      <c r="B96" s="17" t="inlineStr">
        <is>
          <t>Shares Outstanding (Diluted)</t>
        </is>
      </c>
      <c r="C96" s="45" t="inlineStr">
        <is>
          <t>(000)</t>
        </is>
      </c>
      <c r="D96" s="270" t="n"/>
      <c r="E96" s="270" t="n"/>
      <c r="F96" s="270" t="n"/>
      <c r="G96" s="270" t="n"/>
      <c r="H96" s="270" t="n">
        <v>1167.56</v>
      </c>
    </row>
    <row r="97" ht="15" customHeight="1">
      <c r="A97" s="3" t="n"/>
      <c r="B97" s="17" t="inlineStr">
        <is>
          <t>Market Capitalization</t>
        </is>
      </c>
      <c r="C97" s="45" t="inlineStr">
        <is>
          <t>($000)</t>
        </is>
      </c>
      <c r="D97" s="274">
        <f>D95*D96</f>
        <v/>
      </c>
      <c r="E97" s="274">
        <f>E95*E96</f>
        <v/>
      </c>
      <c r="F97" s="274">
        <f>F95*F96</f>
        <v/>
      </c>
      <c r="G97" s="274">
        <f>G95*G96</f>
        <v/>
      </c>
      <c r="H97" s="274">
        <f>H95*H96</f>
        <v/>
      </c>
    </row>
    <row r="98" ht="15" customHeight="1">
      <c r="A98" s="3" t="n"/>
      <c r="B98" s="14" t="inlineStr">
        <is>
          <t>Enterprise Value (EV)</t>
        </is>
      </c>
      <c r="C98" s="45" t="inlineStr">
        <is>
          <t>($000)</t>
        </is>
      </c>
      <c r="D98" s="274">
        <f>D97+D54+D48-D34</f>
        <v/>
      </c>
      <c r="E98" s="274">
        <f>E97+E54+E48-E34</f>
        <v/>
      </c>
      <c r="F98" s="274">
        <f>F97+F54+F48-F34</f>
        <v/>
      </c>
      <c r="G98" s="274">
        <f>G97+G54+G48-G34</f>
        <v/>
      </c>
      <c r="H98" s="274">
        <f>H97+H54+H48-H34</f>
        <v/>
      </c>
    </row>
    <row r="99" ht="15" customHeight="1">
      <c r="A99" s="3" t="n"/>
      <c r="B99" s="17" t="inlineStr">
        <is>
          <t>Beta (Levered)</t>
        </is>
      </c>
      <c r="C99" s="45" t="inlineStr">
        <is>
          <t>(x)</t>
        </is>
      </c>
      <c r="D99" s="266" t="n"/>
      <c r="E99" s="266" t="n"/>
      <c r="F99" s="266" t="n"/>
      <c r="G99" s="266" t="n"/>
      <c r="H99" s="266" t="n">
        <v>0.6919999999999999</v>
      </c>
    </row>
    <row r="100" ht="15" customHeight="1">
      <c r="A100" s="3" t="n"/>
      <c r="B100" s="17" t="inlineStr">
        <is>
          <t>Risk-Free Rate</t>
        </is>
      </c>
      <c r="C100" s="45" t="inlineStr">
        <is>
          <t>(%)</t>
        </is>
      </c>
      <c r="D100" s="266" t="n"/>
      <c r="E100" s="266" t="n"/>
      <c r="F100" s="266" t="n"/>
      <c r="G100" s="266" t="n"/>
      <c r="H100" s="266" t="n">
        <v>0.0442</v>
      </c>
    </row>
    <row r="101" ht="15" customHeight="1">
      <c r="A101" s="3" t="n"/>
      <c r="B101" s="17" t="inlineStr">
        <is>
          <t>Equity Risk Premium (ERP)</t>
        </is>
      </c>
      <c r="C101" s="45" t="inlineStr">
        <is>
          <t>(%)</t>
        </is>
      </c>
      <c r="D101" s="266" t="n"/>
      <c r="E101" s="266" t="n"/>
      <c r="F101" s="266" t="n"/>
      <c r="G101" s="266" t="n"/>
      <c r="H101" s="266" t="n">
        <v>0.055</v>
      </c>
    </row>
    <row r="102" ht="15" customHeight="1">
      <c r="A102" s="3" t="n"/>
      <c r="B102" s="17" t="inlineStr">
        <is>
          <t>Cost of Equity (CAPM)</t>
        </is>
      </c>
      <c r="C102" s="45" t="inlineStr">
        <is>
          <t>(%)</t>
        </is>
      </c>
      <c r="D102" s="269" t="n">
        <v>0.1083</v>
      </c>
      <c r="E102" s="269" t="n">
        <v>0.1083</v>
      </c>
      <c r="F102" s="269" t="n">
        <v>0.1063</v>
      </c>
      <c r="G102" s="269" t="n">
        <v>0.1063</v>
      </c>
      <c r="H102" s="269" t="n">
        <v>0.1063</v>
      </c>
    </row>
    <row r="103" ht="15" customHeight="1">
      <c r="A103" s="3" t="n"/>
      <c r="B103" s="17" t="inlineStr">
        <is>
          <t>Cost of Debt (Pre-Tax)</t>
        </is>
      </c>
      <c r="C103" s="45" t="inlineStr">
        <is>
          <t>(%)</t>
        </is>
      </c>
      <c r="D103" s="266" t="n"/>
      <c r="E103" s="266" t="n"/>
      <c r="F103" s="266" t="n"/>
      <c r="G103" s="266" t="n"/>
      <c r="H103" s="266" t="n">
        <v>0.0849</v>
      </c>
    </row>
    <row r="104" ht="15" customHeight="1">
      <c r="A104" s="3" t="n"/>
      <c r="B104" s="17" t="inlineStr">
        <is>
          <t>Tax Rate</t>
        </is>
      </c>
      <c r="C104" s="45" t="inlineStr">
        <is>
          <t>(%)</t>
        </is>
      </c>
      <c r="D104" s="266" t="n"/>
      <c r="E104" s="266" t="n"/>
      <c r="F104" s="266" t="n"/>
      <c r="G104" s="266" t="n"/>
      <c r="H104" s="266" t="n">
        <v>0.2752</v>
      </c>
    </row>
    <row r="105" ht="15" customHeight="1">
      <c r="A105" s="3" t="n"/>
      <c r="B105" s="17" t="inlineStr">
        <is>
          <t>After-Tax Cost of Debt</t>
        </is>
      </c>
      <c r="C105" s="45" t="inlineStr">
        <is>
          <t>(%)</t>
        </is>
      </c>
      <c r="D105" s="269" t="n">
        <v>0.0379</v>
      </c>
      <c r="E105" s="269" t="n">
        <v>0.0379</v>
      </c>
      <c r="F105" s="269" t="n">
        <v>0.0363</v>
      </c>
      <c r="G105" s="269" t="n">
        <v>0.0363</v>
      </c>
      <c r="H105" s="269" t="n">
        <v>0.0363</v>
      </c>
    </row>
    <row r="106" ht="15" customHeight="1">
      <c r="A106" s="3" t="n"/>
      <c r="B106" s="17" t="inlineStr">
        <is>
          <t>Weight of Equity (%)</t>
        </is>
      </c>
      <c r="C106" s="45" t="inlineStr">
        <is>
          <t>(%)</t>
        </is>
      </c>
      <c r="D106" s="266" t="n"/>
      <c r="E106" s="266" t="n"/>
      <c r="F106" s="266" t="n"/>
      <c r="G106" s="266" t="n"/>
      <c r="H106" s="266" t="n">
        <v>0.9668</v>
      </c>
    </row>
    <row r="107" ht="15" customHeight="1">
      <c r="A107" s="3" t="n"/>
      <c r="B107" s="17" t="inlineStr">
        <is>
          <t>Weight of Debt (%)</t>
        </is>
      </c>
      <c r="C107" s="45" t="inlineStr">
        <is>
          <t>(%)</t>
        </is>
      </c>
      <c r="D107" s="266" t="n"/>
      <c r="E107" s="266" t="n"/>
      <c r="F107" s="266" t="n"/>
      <c r="G107" s="266" t="n"/>
      <c r="H107" s="266" t="n">
        <v>0.0332</v>
      </c>
    </row>
    <row r="108" ht="15" customHeight="1">
      <c r="A108" s="3" t="n"/>
      <c r="B108" s="14" t="inlineStr">
        <is>
          <t>WACC</t>
        </is>
      </c>
      <c r="C108" s="45" t="inlineStr">
        <is>
          <t>(%)</t>
        </is>
      </c>
      <c r="D108" s="266">
        <f>D106*(D100+D99*D101)+D107*D103*(1-D104)</f>
        <v/>
      </c>
      <c r="E108" s="266">
        <f>E106*(E100+E99*E101)+E107*E103*(1-E104)</f>
        <v/>
      </c>
      <c r="F108" s="266">
        <f>F106*(F100+F99*F101)+F107*F103*(1-F104)</f>
        <v/>
      </c>
      <c r="G108" s="266">
        <f>G106*(G100+G99*G101)+G107*G103*(1-G104)</f>
        <v/>
      </c>
      <c r="H108" s="266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5" t="inlineStr">
        <is>
          <t>(%)</t>
        </is>
      </c>
      <c r="D109" s="266" t="n"/>
      <c r="E109" s="266" t="n"/>
      <c r="F109" s="266" t="n"/>
      <c r="G109" s="266" t="n"/>
      <c r="H109" s="266" t="n">
        <v>0.03</v>
      </c>
    </row>
    <row r="110" ht="15" customHeight="1">
      <c r="A110" s="3" t="n"/>
      <c r="B110" s="17" t="inlineStr">
        <is>
          <t>Days in Period</t>
        </is>
      </c>
      <c r="C110" s="45" t="inlineStr">
        <is>
          <t>(days)</t>
        </is>
      </c>
      <c r="D110" s="266" t="n"/>
      <c r="E110" s="266" t="n"/>
      <c r="F110" s="266" t="n"/>
      <c r="G110" s="266" t="n"/>
      <c r="H110" s="266" t="n">
        <v>365</v>
      </c>
    </row>
    <row r="111" ht="15" customHeight="1">
      <c r="A111" s="3" t="n"/>
      <c r="B111" s="14" t="n"/>
      <c r="C111" s="9" t="n"/>
      <c r="D111" s="46" t="n"/>
      <c r="E111" s="46" t="n"/>
      <c r="F111" s="46" t="n"/>
      <c r="G111" s="46" t="n"/>
      <c r="H111" s="46" t="n"/>
    </row>
    <row r="112" ht="18" customHeight="1">
      <c r="A112" s="126" t="n"/>
      <c r="B112" s="53" t="inlineStr">
        <is>
          <t>COMPANY INFORMATION</t>
        </is>
      </c>
      <c r="C112" s="48" t="n"/>
      <c r="D112" s="49" t="n"/>
      <c r="E112" s="49" t="n"/>
      <c r="F112" s="49" t="n"/>
      <c r="G112" s="49" t="n"/>
      <c r="H112" s="49" t="n"/>
    </row>
    <row r="113" ht="18" customHeight="1">
      <c r="A113" s="126" t="n"/>
      <c r="B113" s="139" t="n"/>
      <c r="C113" s="130" t="n"/>
      <c r="D113" s="140" t="n"/>
      <c r="E113" s="140" t="n"/>
      <c r="F113" s="140" t="n"/>
      <c r="G113" s="140" t="n"/>
      <c r="H113" s="140" t="n"/>
    </row>
    <row r="114" ht="15" customHeight="1">
      <c r="A114" s="3" t="n"/>
      <c r="B114" s="14" t="inlineStr">
        <is>
          <t>Company Name</t>
        </is>
      </c>
      <c r="C114" s="45" t="inlineStr">
        <is>
          <t>(text)</t>
        </is>
      </c>
      <c r="D114" s="266" t="inlineStr">
        <is>
          <t>SAP SE</t>
        </is>
      </c>
      <c r="E114" s="46" t="n"/>
      <c r="F114" s="46" t="n"/>
      <c r="G114" s="46" t="n"/>
      <c r="H114" s="46" t="n"/>
    </row>
    <row r="115" ht="15" customHeight="1">
      <c r="A115" s="3" t="n"/>
      <c r="B115" s="14" t="inlineStr">
        <is>
          <t>Ticker Symbol</t>
        </is>
      </c>
      <c r="C115" s="45" t="inlineStr">
        <is>
          <t>(text)</t>
        </is>
      </c>
      <c r="D115" s="266" t="inlineStr">
        <is>
          <t>SAP.DE</t>
        </is>
      </c>
      <c r="E115" s="46" t="n"/>
      <c r="F115" s="46" t="n"/>
      <c r="G115" s="46" t="n"/>
      <c r="H115" s="46" t="n"/>
    </row>
    <row r="116" ht="15" customHeight="1">
      <c r="A116" s="3" t="n"/>
      <c r="B116" s="14" t="inlineStr">
        <is>
          <t>Sector / Industry</t>
        </is>
      </c>
      <c r="C116" s="45" t="inlineStr">
        <is>
          <t>(text)</t>
        </is>
      </c>
      <c r="D116" s="271" t="inlineStr">
        <is>
          <t>Technology</t>
        </is>
      </c>
      <c r="E116" s="46" t="n"/>
      <c r="F116" s="46" t="n"/>
      <c r="G116" s="46" t="n"/>
      <c r="H116" s="46" t="n"/>
    </row>
    <row r="117" ht="15" customHeight="1">
      <c r="A117" s="3" t="n"/>
      <c r="B117" s="86" t="inlineStr">
        <is>
          <t>Base Year (LTM)</t>
        </is>
      </c>
      <c r="C117" s="45" t="inlineStr">
        <is>
          <t>(text)</t>
        </is>
      </c>
      <c r="D117" s="95" t="n">
        <v>2025</v>
      </c>
      <c r="E117" s="46" t="n"/>
      <c r="F117" s="46" t="n"/>
      <c r="G117" s="46" t="n"/>
      <c r="H117" s="46" t="n"/>
    </row>
    <row r="118" ht="15" customHeight="1">
      <c r="A118" s="3" t="n"/>
      <c r="B118" s="14" t="inlineStr">
        <is>
          <t>Currency</t>
        </is>
      </c>
      <c r="C118" s="45" t="inlineStr">
        <is>
          <t>(text)</t>
        </is>
      </c>
      <c r="D118" s="266" t="inlineStr">
        <is>
          <t>EUR</t>
        </is>
      </c>
      <c r="E118" s="46" t="n"/>
      <c r="F118" s="46" t="n"/>
      <c r="G118" s="46" t="n"/>
      <c r="H118" s="46" t="n"/>
    </row>
    <row r="119" ht="15" customHeight="1">
      <c r="A119" s="3" t="n"/>
      <c r="B119" s="14" t="inlineStr">
        <is>
          <t>Units</t>
        </is>
      </c>
      <c r="C119" s="45" t="inlineStr">
        <is>
          <t>(text)</t>
        </is>
      </c>
      <c r="D119" s="266" t="inlineStr">
        <is>
          <t>M</t>
        </is>
      </c>
      <c r="E119" s="46" t="n"/>
      <c r="F119" s="46" t="n"/>
      <c r="G119" s="46" t="n"/>
      <c r="H119" s="46" t="n"/>
    </row>
    <row r="120" ht="15" customHeight="1">
      <c r="A120" s="3" t="n"/>
      <c r="B120" s="14" t="inlineStr">
        <is>
          <t>Analysis Date</t>
        </is>
      </c>
      <c r="C120" s="45" t="inlineStr">
        <is>
          <t>(text)</t>
        </is>
      </c>
      <c r="D120" s="272" t="inlineStr">
        <is>
          <t>2026-03-27</t>
        </is>
      </c>
      <c r="E120" s="273" t="n"/>
      <c r="F120" s="273" t="n"/>
      <c r="G120" s="273" t="n"/>
      <c r="H120" s="273" t="n"/>
    </row>
    <row r="121" ht="15" customHeight="1">
      <c r="A121" s="3" t="n"/>
      <c r="B121" s="14" t="n"/>
      <c r="C121" s="9" t="n"/>
      <c r="D121" s="46" t="n"/>
      <c r="E121" s="46" t="n"/>
      <c r="F121" s="46" t="n"/>
      <c r="G121" s="46" t="n"/>
      <c r="H121" s="46" t="n"/>
    </row>
    <row r="122" ht="15" customHeight="1">
      <c r="A122" s="3" t="n"/>
      <c r="B122" s="54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50" t="n"/>
      <c r="B124" s="33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50" t="n"/>
      <c r="B125" s="33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50" t="n"/>
      <c r="B126" s="33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51" t="n"/>
    </row>
    <row r="128" ht="3" customHeight="1">
      <c r="A128" s="417" t="n"/>
      <c r="B128" s="418" t="n"/>
      <c r="C128" s="417" t="n"/>
      <c r="D128" s="419">
        <f>IF(COUNTA(D9,D10,D14,D15,D16,D20,D21,D25)=8,1,0)+IF(COUNTA(E9,E10,E14,E15,E16,E20,E21,E25)=8,1,0)+IF(COUNTA(F9,F10,F14,F15,F16,F20,F21,F25)=8,1,0)+IF(COUNTA(G9,G10,G14,G15,G16,G20,G21,G25)=8,1,0)</f>
        <v/>
      </c>
      <c r="E128" s="419" t="n"/>
      <c r="F128" s="419">
        <f>IF(D9&lt;&gt;"",1,0)+IF(E9&lt;&gt;"",1,0)+IF(F9&lt;&gt;"",1,0)+IF(G9&lt;&gt;"",1,0)+IF(H9&lt;&gt;"",1,0)</f>
        <v/>
      </c>
      <c r="G128" s="419">
        <f>IF(NOT(ISBLANK(H9)),F128,IF(NOT(ISBLANK(G9)),F128,IF(NOT(ISBLANK(F9)),F128,IF(NOT(ISBLANK(E9)),F128,IF(NOT(ISBLANK(D9)),F128,0)))))</f>
        <v/>
      </c>
      <c r="H128" s="419" t="n"/>
      <c r="I128" s="417" t="n"/>
      <c r="J128" s="417" t="n"/>
      <c r="K128" s="417" t="n"/>
    </row>
    <row r="129" ht="15" customHeight="1">
      <c r="B129" s="51" t="n"/>
    </row>
    <row r="130" ht="15" customHeight="1">
      <c r="B130" s="51" t="n"/>
    </row>
    <row r="131" ht="15" customHeight="1">
      <c r="B131" s="51" t="n"/>
    </row>
    <row r="132" ht="15" customHeight="1">
      <c r="B132" s="51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51" t="n"/>
    </row>
    <row r="134" ht="15" customHeight="1">
      <c r="B134" s="51" t="n"/>
    </row>
    <row r="135" ht="15" customHeight="1">
      <c r="B135" s="51" t="n"/>
    </row>
    <row r="136" ht="15" customHeight="1">
      <c r="B136" s="51" t="n"/>
    </row>
    <row r="137" ht="15" customHeight="1">
      <c r="B137" s="51" t="n"/>
    </row>
    <row r="138" ht="15" customHeight="1">
      <c r="B138" s="51" t="n"/>
    </row>
    <row r="139" ht="15" customHeight="1">
      <c r="B139" s="51" t="n"/>
    </row>
    <row r="140" ht="15" customHeight="1">
      <c r="B140" s="51" t="n"/>
    </row>
    <row r="141" ht="15" customHeight="1">
      <c r="B141" s="51" t="n"/>
    </row>
    <row r="142" ht="15" customHeight="1">
      <c r="B142" s="51" t="n"/>
    </row>
    <row r="143" ht="15" customHeight="1">
      <c r="B143" s="51" t="n"/>
    </row>
    <row r="144" ht="15" customHeight="1">
      <c r="B144" s="51" t="n"/>
    </row>
    <row r="145" ht="15" customHeight="1">
      <c r="B145" s="51" t="n"/>
    </row>
    <row r="146" ht="15" customHeight="1">
      <c r="B146" s="51" t="n"/>
    </row>
    <row r="147" ht="15" customHeight="1">
      <c r="B147" s="51" t="n"/>
    </row>
    <row r="148" ht="15" customHeight="1">
      <c r="B148" s="51" t="n"/>
    </row>
    <row r="149" ht="15" customHeight="1">
      <c r="B149" s="51" t="n"/>
    </row>
    <row r="150" ht="15" customHeight="1">
      <c r="B150" s="51" t="n"/>
    </row>
    <row r="151" ht="15" customHeight="1">
      <c r="B151" s="51" t="n"/>
    </row>
  </sheetData>
  <conditionalFormatting sqref="D1:D122">
    <cfRule type="expression" priority="6" dxfId="0">
      <formula>$F$128&lt;5</formula>
    </cfRule>
  </conditionalFormatting>
  <conditionalFormatting sqref="E1:E122">
    <cfRule type="expression" priority="7" dxfId="0">
      <formula>$F$128&lt;4</formula>
    </cfRule>
  </conditionalFormatting>
  <conditionalFormatting sqref="F1:F122">
    <cfRule type="expression" priority="8" dxfId="0">
      <formula>$F$128&lt;3</formula>
    </cfRule>
  </conditionalFormatting>
  <conditionalFormatting sqref="G1:G122">
    <cfRule type="expression" priority="9" dxfId="0">
      <formula>$F$128&lt;2</formula>
    </cfRule>
  </conditionalFormatting>
  <conditionalFormatting sqref="H1:H122">
    <cfRule type="expression" priority="10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topLeftCell="A50" zoomScale="65" workbookViewId="0">
      <selection activeCell="D77" sqref="D77"/>
    </sheetView>
  </sheetViews>
  <sheetFormatPr baseColWidth="10" defaultRowHeight="14.4"/>
  <cols>
    <col width="11" customWidth="1" style="229" min="1" max="1"/>
    <col width="49.5546875" customWidth="1" style="19" min="2" max="2"/>
    <col width="12.33203125" customWidth="1" min="3" max="3"/>
    <col width="13.33203125" customWidth="1" style="21" min="4" max="8"/>
  </cols>
  <sheetData>
    <row r="1" ht="54.9" customHeight="1">
      <c r="A1" s="225" t="n"/>
      <c r="B1" s="118" t="inlineStr">
        <is>
          <t>FinSight</t>
        </is>
      </c>
      <c r="C1" s="5" t="n"/>
      <c r="D1" s="29" t="n"/>
      <c r="E1" s="29" t="n"/>
      <c r="F1" s="117" t="inlineStr">
        <is>
          <t>RATIOS — Financial Ratio Analysis</t>
        </is>
      </c>
      <c r="G1" s="29" t="n"/>
      <c r="H1" s="29" t="n"/>
    </row>
    <row r="2" ht="15" customHeight="1">
      <c r="A2" s="226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227" t="n"/>
      <c r="B3" s="15" t="inlineStr">
        <is>
          <t>RATIOS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226" t="n"/>
      <c r="B4" s="13" t="n"/>
      <c r="C4" s="3" t="n"/>
      <c r="D4" s="22" t="n"/>
      <c r="E4" s="22" t="n"/>
      <c r="F4" s="22" t="n"/>
      <c r="G4" s="22" t="n"/>
      <c r="H4" s="22" t="n"/>
    </row>
    <row r="5" ht="15" customHeight="1">
      <c r="A5" s="228" t="inlineStr">
        <is>
          <t xml:space="preserve"> </t>
        </is>
      </c>
      <c r="B5" s="16" t="inlineStr">
        <is>
          <t>Year</t>
        </is>
      </c>
      <c r="C5" s="1" t="n"/>
      <c r="D5" s="1">
        <f>IF(INPUT!D5="","",INPUT!D5)</f>
        <v/>
      </c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26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227" t="inlineStr">
        <is>
          <t xml:space="preserve"> </t>
        </is>
      </c>
      <c r="B7" s="15" t="inlineStr">
        <is>
          <t>VALUATION RATIOS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227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226" t="n"/>
      <c r="B9" s="27" t="inlineStr">
        <is>
          <t>Price / Earnings (P/E)</t>
        </is>
      </c>
      <c r="C9" s="9" t="n"/>
      <c r="D9" s="423">
        <f>IFERROR(INPUT!D95/( INPUT!D26/INPUT!D96),"–")</f>
        <v/>
      </c>
      <c r="E9" s="423">
        <f>IFERROR(INPUT!E95/(INPUT!E26/INPUT!E96),"–")</f>
        <v/>
      </c>
      <c r="F9" s="423">
        <f>IFERROR(INPUT!F95/(INPUT!F26/INPUT!F96),"–")</f>
        <v/>
      </c>
      <c r="G9" s="423">
        <f>IFERROR(INPUT!G95/(INPUT!G26/INPUT!G96),"–")</f>
        <v/>
      </c>
      <c r="H9" s="423">
        <f>IFERROR(INPUT!H95/(INPUT!H26/INPUT!H96),"–")</f>
        <v/>
      </c>
    </row>
    <row r="10" ht="15" customHeight="1">
      <c r="A10" s="226" t="n"/>
      <c r="B10" s="27" t="inlineStr">
        <is>
          <t>EV / EBITDA</t>
        </is>
      </c>
      <c r="C10" s="9" t="n"/>
      <c r="D10" s="423">
        <f>IFERROR(INPUT!D98/INPUT!D30,"–")</f>
        <v/>
      </c>
      <c r="E10" s="423">
        <f>IFERROR(INPUT!E98/INPUT!E30,"–")</f>
        <v/>
      </c>
      <c r="F10" s="423">
        <f>IFERROR(INPUT!F98/INPUT!F30,"–")</f>
        <v/>
      </c>
      <c r="G10" s="423">
        <f>IFERROR(INPUT!G98/INPUT!G30,"–")</f>
        <v/>
      </c>
      <c r="H10" s="423">
        <f>IFERROR(INPUT!H98/INPUT!H30,"–")</f>
        <v/>
      </c>
    </row>
    <row r="11" ht="15" customHeight="1">
      <c r="A11" s="226" t="n"/>
      <c r="B11" s="27" t="inlineStr">
        <is>
          <t>EV / Revenue</t>
        </is>
      </c>
      <c r="C11" s="9" t="n"/>
      <c r="D11" s="423">
        <f>IFERROR(INPUT!D98/INPUT!D9,"–")</f>
        <v/>
      </c>
      <c r="E11" s="423">
        <f>IFERROR(INPUT!E98/INPUT!E9,"–")</f>
        <v/>
      </c>
      <c r="F11" s="423">
        <f>IFERROR(INPUT!F98/INPUT!F9,"–")</f>
        <v/>
      </c>
      <c r="G11" s="423">
        <f>IFERROR(INPUT!G98/INPUT!G9,"–")</f>
        <v/>
      </c>
      <c r="H11" s="423">
        <f>IFERROR(INPUT!H98/INPUT!H9,"–")</f>
        <v/>
      </c>
    </row>
    <row r="12" ht="15" customHeight="1">
      <c r="A12" s="226" t="n"/>
      <c r="B12" s="27" t="inlineStr">
        <is>
          <t>EV / EBIT</t>
        </is>
      </c>
      <c r="C12" s="9" t="n"/>
      <c r="D12" s="423">
        <f>IFERROR(INPUT!D98/INPUT!D17,"–")</f>
        <v/>
      </c>
      <c r="E12" s="423">
        <f>IFERROR(INPUT!E98/INPUT!E17,"–")</f>
        <v/>
      </c>
      <c r="F12" s="423">
        <f>IFERROR(INPUT!F98/INPUT!F17,"–")</f>
        <v/>
      </c>
      <c r="G12" s="423">
        <f>IFERROR(INPUT!G98/INPUT!G17,"–")</f>
        <v/>
      </c>
      <c r="H12" s="423">
        <f>IFERROR(INPUT!H98/INPUT!H17,"–")</f>
        <v/>
      </c>
    </row>
    <row r="13" ht="15" customHeight="1">
      <c r="A13" s="226" t="n"/>
      <c r="B13" s="27" t="inlineStr">
        <is>
          <t>Price / Book (P/B)</t>
        </is>
      </c>
      <c r="C13" s="9" t="n"/>
      <c r="D13" s="423">
        <f>IFERROR(INPUT!D97/INPUT!D60,"–")</f>
        <v/>
      </c>
      <c r="E13" s="423">
        <f>IFERROR(INPUT!E97/INPUT!E60,"–")</f>
        <v/>
      </c>
      <c r="F13" s="423">
        <f>IFERROR(INPUT!F97/INPUT!F60,"–")</f>
        <v/>
      </c>
      <c r="G13" s="423">
        <f>IFERROR(INPUT!G97/INPUT!G60,"–")</f>
        <v/>
      </c>
      <c r="H13" s="423">
        <f>IFERROR(INPUT!H97/INPUT!H60,"–")</f>
        <v/>
      </c>
    </row>
    <row r="14" ht="15" customHeight="1">
      <c r="A14" s="226" t="n"/>
      <c r="B14" s="27" t="inlineStr">
        <is>
          <t>Price / Sales (P/S)</t>
        </is>
      </c>
      <c r="C14" s="9" t="n"/>
      <c r="D14" s="423">
        <f>IFERROR(INPUT!D97/INPUT!D9,"–")</f>
        <v/>
      </c>
      <c r="E14" s="423">
        <f>IFERROR(INPUT!E97/INPUT!E9,"–")</f>
        <v/>
      </c>
      <c r="F14" s="423">
        <f>IFERROR(INPUT!F97/INPUT!F9,"–")</f>
        <v/>
      </c>
      <c r="G14" s="423">
        <f>IFERROR(INPUT!G97/INPUT!G9,"–")</f>
        <v/>
      </c>
      <c r="H14" s="423">
        <f>IFERROR(INPUT!H97/INPUT!H9,"–")</f>
        <v/>
      </c>
    </row>
    <row r="15" ht="15" customHeight="1">
      <c r="A15" s="226" t="n"/>
      <c r="B15" s="27" t="inlineStr">
        <is>
          <t>Earnings Per Share (EPS)</t>
        </is>
      </c>
      <c r="C15" s="9" t="n"/>
      <c r="D15" s="424">
        <f>IFERROR(INPUT!D26/INPUT!D96,"–")</f>
        <v/>
      </c>
      <c r="E15" s="424">
        <f>IFERROR(INPUT!E26/INPUT!E96,"–")</f>
        <v/>
      </c>
      <c r="F15" s="424">
        <f>IFERROR(INPUT!F26/INPUT!F96,"–")</f>
        <v/>
      </c>
      <c r="G15" s="424">
        <f>IFERROR(INPUT!G26/INPUT!G96,"–")</f>
        <v/>
      </c>
      <c r="H15" s="424">
        <f>IFERROR(INPUT!H26/INPUT!H96,"–")</f>
        <v/>
      </c>
    </row>
    <row r="16" ht="15" customHeight="1">
      <c r="A16" s="226" t="n"/>
      <c r="B16" s="28" t="n"/>
      <c r="C16" s="9" t="n"/>
      <c r="D16" s="31" t="n"/>
      <c r="E16" s="31" t="n"/>
      <c r="F16" s="31" t="n"/>
      <c r="G16" s="31" t="n"/>
      <c r="H16" s="31" t="n"/>
    </row>
    <row r="17" ht="18" customHeight="1">
      <c r="A17" s="227" t="inlineStr">
        <is>
          <t xml:space="preserve"> </t>
        </is>
      </c>
      <c r="B17" s="53" t="inlineStr">
        <is>
          <t>PROFITABILITY RATIOS</t>
        </is>
      </c>
      <c r="C17" s="48" t="n"/>
      <c r="D17" s="23" t="n"/>
      <c r="E17" s="23" t="n"/>
      <c r="F17" s="23" t="n"/>
      <c r="G17" s="23" t="n"/>
      <c r="H17" s="23" t="n"/>
    </row>
    <row r="18" ht="18" customHeight="1">
      <c r="A18" s="227" t="n"/>
      <c r="B18" s="139" t="n"/>
      <c r="C18" s="130" t="n"/>
      <c r="D18" s="123" t="n"/>
      <c r="E18" s="123" t="n"/>
      <c r="F18" s="123" t="n"/>
      <c r="G18" s="123" t="n"/>
      <c r="H18" s="123" t="n"/>
    </row>
    <row r="19" ht="15" customHeight="1">
      <c r="A19" s="226" t="n"/>
      <c r="B19" s="27" t="inlineStr">
        <is>
          <t>Gross Profit Margin</t>
        </is>
      </c>
      <c r="C19" s="9" t="n"/>
      <c r="D19" s="425">
        <f>IFERROR(INPUT!D11/INPUT!D9,"–")</f>
        <v/>
      </c>
      <c r="E19" s="425">
        <f>IFERROR(INPUT!E11/INPUT!E9,"–")</f>
        <v/>
      </c>
      <c r="F19" s="425">
        <f>IFERROR(INPUT!F11/INPUT!F9,"–")</f>
        <v/>
      </c>
      <c r="G19" s="425">
        <f>IFERROR(INPUT!G11/INPUT!G9,"–")</f>
        <v/>
      </c>
      <c r="H19" s="425">
        <f>IFERROR(INPUT!H11/INPUT!H9,"–")</f>
        <v/>
      </c>
    </row>
    <row r="20" ht="15" customHeight="1">
      <c r="A20" s="226" t="n"/>
      <c r="B20" s="27" t="inlineStr">
        <is>
          <t>EBITDA Margin</t>
        </is>
      </c>
      <c r="C20" s="9" t="n"/>
      <c r="D20" s="425">
        <f>IFERROR(INPUT!D30/INPUT!D9,"–")</f>
        <v/>
      </c>
      <c r="E20" s="425">
        <f>IFERROR(INPUT!E30/INPUT!E9,"–")</f>
        <v/>
      </c>
      <c r="F20" s="425">
        <f>IFERROR(INPUT!F30/INPUT!F9,"–")</f>
        <v/>
      </c>
      <c r="G20" s="425">
        <f>IFERROR(INPUT!G30/INPUT!G9,"–")</f>
        <v/>
      </c>
      <c r="H20" s="425">
        <f>IFERROR(INPUT!H30/INPUT!H9,"–")</f>
        <v/>
      </c>
    </row>
    <row r="21" ht="15" customHeight="1">
      <c r="A21" s="226" t="n"/>
      <c r="B21" s="27" t="inlineStr">
        <is>
          <t>EBIT (Operating) Margin</t>
        </is>
      </c>
      <c r="C21" s="9" t="n"/>
      <c r="D21" s="425">
        <f>IFERROR(INPUT!D17/INPUT!D9,"–")</f>
        <v/>
      </c>
      <c r="E21" s="425">
        <f>IFERROR(INPUT!E17/INPUT!E9,"–")</f>
        <v/>
      </c>
      <c r="F21" s="425">
        <f>IFERROR(INPUT!F17/INPUT!F9,"–")</f>
        <v/>
      </c>
      <c r="G21" s="425">
        <f>IFERROR(INPUT!G17/INPUT!G9,"–")</f>
        <v/>
      </c>
      <c r="H21" s="425">
        <f>IFERROR(INPUT!H17/INPUT!H9,"–")</f>
        <v/>
      </c>
    </row>
    <row r="22" ht="15" customHeight="1">
      <c r="A22" s="226" t="n"/>
      <c r="B22" s="27" t="inlineStr">
        <is>
          <t>Net Profit Margin</t>
        </is>
      </c>
      <c r="C22" s="9" t="n"/>
      <c r="D22" s="425">
        <f>IFERROR(INPUT!D26/INPUT!D9,"–")</f>
        <v/>
      </c>
      <c r="E22" s="425">
        <f>IFERROR(INPUT!E26/INPUT!E9,"–")</f>
        <v/>
      </c>
      <c r="F22" s="425">
        <f>IFERROR(INPUT!F26/INPUT!F9,"–")</f>
        <v/>
      </c>
      <c r="G22" s="425">
        <f>IFERROR(INPUT!G26/INPUT!G9,"–")</f>
        <v/>
      </c>
      <c r="H22" s="425">
        <f>IFERROR(INPUT!H26/INPUT!H9,"–")</f>
        <v/>
      </c>
    </row>
    <row r="23" ht="15" customHeight="1">
      <c r="A23" s="226" t="n"/>
      <c r="B23" s="27" t="inlineStr">
        <is>
          <t>Return on Equity (ROE)</t>
        </is>
      </c>
      <c r="C23" s="9" t="n"/>
      <c r="D23" s="425">
        <f>IFERROR(INPUT!D26/INPUT!D60,"–")</f>
        <v/>
      </c>
      <c r="E23" s="425">
        <f>IFERROR(INPUT!E26/INPUT!E60,"–")</f>
        <v/>
      </c>
      <c r="F23" s="425">
        <f>IFERROR(INPUT!F26/INPUT!F60,"–")</f>
        <v/>
      </c>
      <c r="G23" s="425">
        <f>IFERROR(INPUT!G26/INPUT!G60,"–")</f>
        <v/>
      </c>
      <c r="H23" s="425">
        <f>IFERROR(INPUT!H26/INPUT!H60,"–")</f>
        <v/>
      </c>
    </row>
    <row r="24" ht="15" customHeight="1">
      <c r="A24" s="226" t="n"/>
      <c r="B24" s="27" t="inlineStr">
        <is>
          <t>Return on Assets (ROA)</t>
        </is>
      </c>
      <c r="C24" s="9" t="n"/>
      <c r="D24" s="425">
        <f>IFERROR(INPUT!D26/INPUT!D44,"–")</f>
        <v/>
      </c>
      <c r="E24" s="425">
        <f>IFERROR(INPUT!E26/INPUT!E44,"–")</f>
        <v/>
      </c>
      <c r="F24" s="425">
        <f>IFERROR(INPUT!F26/INPUT!F44,"–")</f>
        <v/>
      </c>
      <c r="G24" s="425">
        <f>IFERROR(INPUT!G26/INPUT!G44,"–")</f>
        <v/>
      </c>
      <c r="H24" s="425">
        <f>IFERROR(INPUT!H26/INPUT!H44,"–")</f>
        <v/>
      </c>
    </row>
    <row r="25" ht="15" customHeight="1">
      <c r="A25" s="226" t="n"/>
      <c r="B25" s="27" t="inlineStr">
        <is>
          <t>Return on Invested Capital (ROIC)</t>
        </is>
      </c>
      <c r="C25" s="9" t="n"/>
      <c r="D25" s="426">
        <f>IFERROR(INPUT!D17*(1-INPUT!D104)/(INPUT!D58+INPUT!D59),"–")</f>
        <v/>
      </c>
      <c r="E25" s="426">
        <f>IFERROR(INPUT!E17*(1-INPUT!E104)/(INPUT!E58+INPUT!E59),"–")</f>
        <v/>
      </c>
      <c r="F25" s="426">
        <f>IFERROR(INPUT!F17*(1-INPUT!F104)/(INPUT!F58+INPUT!F59),"–")</f>
        <v/>
      </c>
      <c r="G25" s="426">
        <f>IFERROR(INPUT!G17*(1-INPUT!G104)/(INPUT!G58+INPUT!G59),"–")</f>
        <v/>
      </c>
      <c r="H25" s="426">
        <f>IFERROR(INPUT!H17*(1-INPUT!H104)/(INPUT!H58+INPUT!H59),"–")</f>
        <v/>
      </c>
    </row>
    <row r="26" ht="15" customHeight="1">
      <c r="A26" s="226" t="n"/>
      <c r="B26" s="28" t="n"/>
      <c r="C26" s="9" t="n"/>
      <c r="D26" s="31" t="n"/>
      <c r="E26" s="31" t="n"/>
      <c r="F26" s="31" t="n"/>
      <c r="G26" s="31" t="n"/>
      <c r="H26" s="31" t="n"/>
    </row>
    <row r="27" ht="18" customHeight="1">
      <c r="A27" s="227" t="inlineStr">
        <is>
          <t xml:space="preserve"> </t>
        </is>
      </c>
      <c r="B27" s="53" t="inlineStr">
        <is>
          <t>LIQUIDITY &amp; SOLVENCY RATIOS</t>
        </is>
      </c>
      <c r="C27" s="48" t="n"/>
      <c r="D27" s="23" t="n"/>
      <c r="E27" s="23" t="n"/>
      <c r="F27" s="23" t="n"/>
      <c r="G27" s="23" t="n"/>
      <c r="H27" s="23" t="n"/>
    </row>
    <row r="28" ht="18" customHeight="1">
      <c r="A28" s="227" t="n"/>
      <c r="B28" s="139" t="n"/>
      <c r="C28" s="130" t="n"/>
      <c r="D28" s="123" t="n"/>
      <c r="E28" s="123" t="n"/>
      <c r="F28" s="123" t="n"/>
      <c r="G28" s="123" t="n"/>
      <c r="H28" s="123" t="n"/>
    </row>
    <row r="29" ht="15" customHeight="1">
      <c r="A29" s="226" t="n"/>
      <c r="B29" s="27" t="inlineStr">
        <is>
          <t>Current Ratio</t>
        </is>
      </c>
      <c r="C29" s="9" t="n"/>
      <c r="D29" s="423">
        <f>IFERROR(INPUT!D38/INPUT!D51,"–")</f>
        <v/>
      </c>
      <c r="E29" s="423">
        <f>IFERROR(INPUT!E38/INPUT!E51,"–")</f>
        <v/>
      </c>
      <c r="F29" s="423">
        <f>IFERROR(INPUT!F38/INPUT!F51,"–")</f>
        <v/>
      </c>
      <c r="G29" s="423">
        <f>IFERROR(INPUT!G38/INPUT!G51,"–")</f>
        <v/>
      </c>
      <c r="H29" s="423">
        <f>IFERROR(INPUT!H38/INPUT!H51,"–")</f>
        <v/>
      </c>
    </row>
    <row r="30" ht="15" customHeight="1">
      <c r="A30" s="226" t="n"/>
      <c r="B30" s="27" t="inlineStr">
        <is>
          <t>Quick Ratio</t>
        </is>
      </c>
      <c r="C30" s="9" t="n"/>
      <c r="D30" s="423">
        <f>IFERROR((INPUT!D38-INPUT!D36)/INPUT!D51,"–")</f>
        <v/>
      </c>
      <c r="E30" s="423">
        <f>IFERROR((INPUT!E38-INPUT!E36)/INPUT!E51,"–")</f>
        <v/>
      </c>
      <c r="F30" s="423">
        <f>IFERROR((INPUT!F38-INPUT!F36)/INPUT!F51,"–")</f>
        <v/>
      </c>
      <c r="G30" s="423">
        <f>IFERROR((INPUT!G38-INPUT!G36)/INPUT!G51,"–")</f>
        <v/>
      </c>
      <c r="H30" s="423">
        <f>IFERROR((INPUT!H38-INPUT!H36)/INPUT!H51,"–")</f>
        <v/>
      </c>
    </row>
    <row r="31" ht="15" customHeight="1">
      <c r="A31" s="226" t="n"/>
      <c r="B31" s="27" t="inlineStr">
        <is>
          <t>Cash Ratio</t>
        </is>
      </c>
      <c r="C31" s="9" t="n"/>
      <c r="D31" s="423">
        <f>IFERROR(INPUT!D34/INPUT!D51,"–")</f>
        <v/>
      </c>
      <c r="E31" s="423">
        <f>IFERROR(INPUT!E34/INPUT!E51,"–")</f>
        <v/>
      </c>
      <c r="F31" s="423">
        <f>IFERROR(INPUT!F34/INPUT!F51,"–")</f>
        <v/>
      </c>
      <c r="G31" s="423">
        <f>IFERROR(INPUT!G34/INPUT!G51,"–")</f>
        <v/>
      </c>
      <c r="H31" s="423">
        <f>IFERROR(INPUT!H34/INPUT!H51,"–")</f>
        <v/>
      </c>
    </row>
    <row r="32" ht="15" customHeight="1">
      <c r="A32" s="226" t="n"/>
      <c r="B32" s="27" t="inlineStr">
        <is>
          <t>Debt / Equity Ratio</t>
        </is>
      </c>
      <c r="C32" s="9" t="n"/>
      <c r="D32" s="423">
        <f>IFERROR((INPUT!D49+INPUT!D55)/INPUT!D60,"–")</f>
        <v/>
      </c>
      <c r="E32" s="423">
        <f>IFERROR((INPUT!E49+INPUT!E55)/INPUT!E60,"–")</f>
        <v/>
      </c>
      <c r="F32" s="423">
        <f>IFERROR((INPUT!F49+INPUT!F55)/INPUT!F60,"–")</f>
        <v/>
      </c>
      <c r="G32" s="423">
        <f>IFERROR((INPUT!G49+INPUT!G55)/INPUT!G60,"–")</f>
        <v/>
      </c>
      <c r="H32" s="423">
        <f>IFERROR((INPUT!H49+INPUT!H55)/INPUT!H60,"–")</f>
        <v/>
      </c>
    </row>
    <row r="33" ht="15" customHeight="1">
      <c r="A33" s="226" t="n"/>
      <c r="B33" s="27" t="inlineStr">
        <is>
          <t>Net Debt / EBITDA</t>
        </is>
      </c>
      <c r="C33" s="9" t="n"/>
      <c r="D33" s="423">
        <f>IFERROR((INPUT!D49+INPUT!D55-INPUT!D34)/INPUT!D30,"–")</f>
        <v/>
      </c>
      <c r="E33" s="423">
        <f>IFERROR((INPUT!E49+INPUT!E55-INPUT!E34)/INPUT!E30,"–")</f>
        <v/>
      </c>
      <c r="F33" s="423">
        <f>IFERROR((INPUT!F49+INPUT!F55-INPUT!F34)/INPUT!F30,"–")</f>
        <v/>
      </c>
      <c r="G33" s="423">
        <f>IFERROR((INPUT!G49+INPUT!G55-INPUT!G34)/INPUT!G30,"–")</f>
        <v/>
      </c>
      <c r="H33" s="423">
        <f>IFERROR((INPUT!H49+INPUT!H55-INPUT!H34)/INPUT!H30,"–")</f>
        <v/>
      </c>
    </row>
    <row r="34" ht="15" customHeight="1">
      <c r="A34" s="226" t="n"/>
      <c r="B34" s="27" t="inlineStr">
        <is>
          <t>Interest Coverage (EBIT/Interest)</t>
        </is>
      </c>
      <c r="C34" s="9" t="n"/>
      <c r="D34" s="423">
        <f>IFERROR(INPUT!D17/ABS(INPUT!D20),"–")</f>
        <v/>
      </c>
      <c r="E34" s="423">
        <f>IFERROR(INPUT!E17/ABS(INPUT!E20),"–")</f>
        <v/>
      </c>
      <c r="F34" s="423">
        <f>IFERROR(INPUT!F17/ABS(INPUT!F20),"–")</f>
        <v/>
      </c>
      <c r="G34" s="423">
        <f>IFERROR(INPUT!G17/ABS(INPUT!G20),"–")</f>
        <v/>
      </c>
      <c r="H34" s="423">
        <f>IFERROR(INPUT!H17/ABS(INPUT!H20),"–")</f>
        <v/>
      </c>
    </row>
    <row r="35" ht="15" customHeight="1">
      <c r="A35" s="226" t="n"/>
      <c r="B35" s="27" t="inlineStr">
        <is>
          <t>Debt / Total Assets</t>
        </is>
      </c>
      <c r="C35" s="9" t="n"/>
      <c r="D35" s="423">
        <f>IFERROR((INPUT!D49+INPUT!D55)/INPUT!D44,"–")</f>
        <v/>
      </c>
      <c r="E35" s="423">
        <f>IFERROR((INPUT!E49+INPUT!E55)/INPUT!E44,"–")</f>
        <v/>
      </c>
      <c r="F35" s="423">
        <f>IFERROR((INPUT!F49+INPUT!F55)/INPUT!F44,"–")</f>
        <v/>
      </c>
      <c r="G35" s="423">
        <f>IFERROR((INPUT!G49+INPUT!G55)/INPUT!G44,"–")</f>
        <v/>
      </c>
      <c r="H35" s="423">
        <f>IFERROR((INPUT!H49+INPUT!H55)/INPUT!H44,"–")</f>
        <v/>
      </c>
    </row>
    <row r="36" ht="15" customHeight="1">
      <c r="A36" s="226" t="n"/>
      <c r="B36" s="27" t="inlineStr">
        <is>
          <t>Equity Ratio</t>
        </is>
      </c>
      <c r="C36" s="9" t="n"/>
      <c r="D36" s="427">
        <f>IFERROR(INPUT!D60/INPUT!D44,"–")</f>
        <v/>
      </c>
      <c r="E36" s="427">
        <f>IFERROR(INPUT!E60/INPUT!E44,"–")</f>
        <v/>
      </c>
      <c r="F36" s="427">
        <f>IFERROR(INPUT!F60/INPUT!F44,"–")</f>
        <v/>
      </c>
      <c r="G36" s="427">
        <f>IFERROR(INPUT!G60/INPUT!G44,"–")</f>
        <v/>
      </c>
      <c r="H36" s="427">
        <f>IFERROR(INPUT!H60/INPUT!H44,"–")</f>
        <v/>
      </c>
    </row>
    <row r="37" ht="15" customHeight="1">
      <c r="A37" s="226" t="n"/>
      <c r="B37" s="28" t="n"/>
      <c r="C37" s="9" t="n"/>
      <c r="D37" s="31" t="n"/>
      <c r="E37" s="31" t="n"/>
      <c r="F37" s="31" t="n"/>
      <c r="G37" s="31" t="n"/>
      <c r="H37" s="31" t="n"/>
    </row>
    <row r="38" ht="18" customHeight="1">
      <c r="A38" s="227" t="inlineStr">
        <is>
          <t xml:space="preserve"> </t>
        </is>
      </c>
      <c r="B38" s="53" t="inlineStr">
        <is>
          <t>OPERATIONAL EFFICIENCY RATIOS</t>
        </is>
      </c>
      <c r="C38" s="48" t="n"/>
      <c r="D38" s="23" t="n"/>
      <c r="E38" s="23" t="n"/>
      <c r="F38" s="23" t="n"/>
      <c r="G38" s="23" t="n"/>
      <c r="H38" s="23" t="n"/>
    </row>
    <row r="39" ht="18" customHeight="1">
      <c r="A39" s="227" t="n"/>
      <c r="B39" s="139" t="n"/>
      <c r="C39" s="130" t="n"/>
      <c r="D39" s="123" t="n"/>
      <c r="E39" s="123" t="n"/>
      <c r="F39" s="123" t="n"/>
      <c r="G39" s="123" t="n"/>
      <c r="H39" s="123" t="n"/>
    </row>
    <row r="40" ht="15" customHeight="1">
      <c r="A40" s="226" t="n"/>
      <c r="B40" s="27" t="inlineStr">
        <is>
          <t>Asset Turnover</t>
        </is>
      </c>
      <c r="C40" s="9" t="n"/>
      <c r="D40" s="423">
        <f>IFERROR(INPUT!D9/INPUT!D44,"–")</f>
        <v/>
      </c>
      <c r="E40" s="423">
        <f>IFERROR(INPUT!E9/INPUT!E44,"–")</f>
        <v/>
      </c>
      <c r="F40" s="423">
        <f>IFERROR(INPUT!F9/INPUT!F44,"–")</f>
        <v/>
      </c>
      <c r="G40" s="423">
        <f>IFERROR(INPUT!G9/INPUT!G44,"–")</f>
        <v/>
      </c>
      <c r="H40" s="423">
        <f>IFERROR(INPUT!H9/INPUT!H44,"–")</f>
        <v/>
      </c>
    </row>
    <row r="41" ht="15" customHeight="1">
      <c r="A41" s="226" t="n"/>
      <c r="B41" s="27" t="inlineStr">
        <is>
          <t>Inventory Turnover</t>
        </is>
      </c>
      <c r="C41" s="9" t="n"/>
      <c r="D41" s="423">
        <f>IFERROR(ABS(INPUT!D10)/INPUT!D36,"–")</f>
        <v/>
      </c>
      <c r="E41" s="423">
        <f>IFERROR(ABS(INPUT!E10)/INPUT!E36,"–")</f>
        <v/>
      </c>
      <c r="F41" s="423">
        <f>IFERROR(ABS(INPUT!F10)/INPUT!F36,"–")</f>
        <v/>
      </c>
      <c r="G41" s="423">
        <f>IFERROR(ABS(INPUT!G10)/INPUT!G36,"–")</f>
        <v/>
      </c>
      <c r="H41" s="423">
        <f>IFERROR(ABS(INPUT!H10)/INPUT!H36,"–")</f>
        <v/>
      </c>
    </row>
    <row r="42" ht="15" customHeight="1">
      <c r="A42" s="226" t="n"/>
      <c r="B42" s="27" t="inlineStr">
        <is>
          <t>Days Inventory Outstanding (DIO)</t>
        </is>
      </c>
      <c r="C42" s="9" t="n"/>
      <c r="D42" s="428">
        <f>IFERROR(INPUT!D36/ABS(INPUT!D10)*INPUT!D110,"–")</f>
        <v/>
      </c>
      <c r="E42" s="428">
        <f>IFERROR(INPUT!E36/ABS(INPUT!E10)*INPUT!E110,"–")</f>
        <v/>
      </c>
      <c r="F42" s="428">
        <f>IFERROR(INPUT!F36/ABS(INPUT!F10)*INPUT!F110,"–")</f>
        <v/>
      </c>
      <c r="G42" s="428">
        <f>IFERROR(INPUT!G36/ABS(INPUT!G10)*INPUT!G110,"–")</f>
        <v/>
      </c>
      <c r="H42" s="428">
        <f>IFERROR(INPUT!H36/ABS(INPUT!H10)*INPUT!H110,"–")</f>
        <v/>
      </c>
    </row>
    <row r="43" ht="15" customHeight="1">
      <c r="A43" s="226" t="n"/>
      <c r="B43" s="27" t="inlineStr">
        <is>
          <t>Receivables Turnover</t>
        </is>
      </c>
      <c r="C43" s="9" t="n"/>
      <c r="D43" s="423">
        <f>IFERROR(INPUT!D9/INPUT!D35,"–")</f>
        <v/>
      </c>
      <c r="E43" s="423">
        <f>IFERROR(INPUT!E9/INPUT!E35,"–")</f>
        <v/>
      </c>
      <c r="F43" s="423">
        <f>IFERROR(INPUT!F9/INPUT!F35,"–")</f>
        <v/>
      </c>
      <c r="G43" s="423">
        <f>IFERROR(INPUT!G9/INPUT!G35,"–")</f>
        <v/>
      </c>
      <c r="H43" s="423">
        <f>IFERROR(INPUT!H9/INPUT!H35,"–")</f>
        <v/>
      </c>
    </row>
    <row r="44" ht="15" customHeight="1">
      <c r="A44" s="226" t="n"/>
      <c r="B44" s="27" t="inlineStr">
        <is>
          <t>Days Sales Outstanding (DSO)</t>
        </is>
      </c>
      <c r="C44" s="9" t="n"/>
      <c r="D44" s="428">
        <f>IFERROR(INPUT!D35/INPUT!D9*INPUT!D110,"–")</f>
        <v/>
      </c>
      <c r="E44" s="428">
        <f>IFERROR(INPUT!E35/INPUT!E9*INPUT!E110,"–")</f>
        <v/>
      </c>
      <c r="F44" s="428">
        <f>IFERROR(INPUT!F35/INPUT!F9*INPUT!F110,"–")</f>
        <v/>
      </c>
      <c r="G44" s="428">
        <f>IFERROR(INPUT!G35/INPUT!G9*INPUT!G110,"–")</f>
        <v/>
      </c>
      <c r="H44" s="428">
        <f>IFERROR(INPUT!H35/INPUT!H9*INPUT!H110,"–")</f>
        <v/>
      </c>
    </row>
    <row r="45" ht="15" customHeight="1">
      <c r="A45" s="226" t="n"/>
      <c r="B45" s="27" t="inlineStr">
        <is>
          <t>Days Payable Outstanding (DPO)</t>
        </is>
      </c>
      <c r="C45" s="9" t="n"/>
      <c r="D45" s="428">
        <f>IFERROR(INPUT!D48/ABS(INPUT!D10)*INPUT!D110,"–")</f>
        <v/>
      </c>
      <c r="E45" s="428">
        <f>IFERROR(INPUT!E48/ABS(INPUT!E10)*INPUT!E110,"–")</f>
        <v/>
      </c>
      <c r="F45" s="428">
        <f>IFERROR(INPUT!F48/ABS(INPUT!F10)*INPUT!F110,"–")</f>
        <v/>
      </c>
      <c r="G45" s="428">
        <f>IFERROR(INPUT!G48/ABS(INPUT!G10)*INPUT!G110,"–")</f>
        <v/>
      </c>
      <c r="H45" s="428">
        <f>IFERROR(INPUT!H48/ABS(INPUT!H10)*INPUT!H110,"–")</f>
        <v/>
      </c>
    </row>
    <row r="46" ht="15" customHeight="1">
      <c r="A46" s="226" t="n"/>
      <c r="B46" s="27" t="inlineStr">
        <is>
          <t>Cash Conversion Cycle (CCC)</t>
        </is>
      </c>
      <c r="C46" s="9" t="n"/>
      <c r="D46" s="428">
        <f>IFERROR(D42+D44-D45,"–")</f>
        <v/>
      </c>
      <c r="E46" s="428">
        <f>IFERROR(E42+E44-E45,"–")</f>
        <v/>
      </c>
      <c r="F46" s="428">
        <f>IFERROR(F42+F44-F45,"–")</f>
        <v/>
      </c>
      <c r="G46" s="428">
        <f>IFERROR(G42+G44-G45,"–")</f>
        <v/>
      </c>
      <c r="H46" s="428">
        <f>IFERROR(H42+H44-H45,"–")</f>
        <v/>
      </c>
    </row>
    <row r="47" ht="15" customHeight="1">
      <c r="A47" s="226" t="n"/>
      <c r="B47" s="27" t="inlineStr">
        <is>
          <t>Fixed Asset Turnover</t>
        </is>
      </c>
      <c r="C47" s="9" t="n"/>
      <c r="D47" s="427">
        <f>IFERROR(INPUT!D9/INPUT!D41,"–")</f>
        <v/>
      </c>
      <c r="E47" s="427">
        <f>IFERROR(INPUT!E9/INPUT!E41,"–")</f>
        <v/>
      </c>
      <c r="F47" s="427">
        <f>IFERROR(INPUT!F9/INPUT!F41,"–")</f>
        <v/>
      </c>
      <c r="G47" s="427">
        <f>IFERROR(INPUT!G9/INPUT!G41,"–")</f>
        <v/>
      </c>
      <c r="H47" s="427">
        <f>IFERROR(INPUT!H9/INPUT!H41,"–")</f>
        <v/>
      </c>
    </row>
    <row r="48" ht="15" customHeight="1">
      <c r="A48" s="226" t="n"/>
      <c r="B48" s="28" t="n"/>
      <c r="C48" s="9" t="n"/>
      <c r="D48" s="31" t="n"/>
      <c r="E48" s="31" t="n"/>
      <c r="F48" s="31" t="n"/>
      <c r="G48" s="31" t="n"/>
      <c r="H48" s="31" t="n"/>
    </row>
    <row r="49" ht="18" customHeight="1">
      <c r="A49" s="227" t="inlineStr">
        <is>
          <t xml:space="preserve"> </t>
        </is>
      </c>
      <c r="B49" s="53" t="inlineStr">
        <is>
          <t>GROWTH RATIOS</t>
        </is>
      </c>
      <c r="C49" s="48" t="n"/>
      <c r="D49" s="23" t="n"/>
      <c r="E49" s="23" t="n"/>
      <c r="F49" s="23" t="n"/>
      <c r="G49" s="23" t="n"/>
      <c r="H49" s="23" t="n"/>
    </row>
    <row r="50" ht="18" customHeight="1">
      <c r="A50" s="227" t="n"/>
      <c r="B50" s="139" t="n"/>
      <c r="C50" s="130" t="n"/>
      <c r="D50" s="123" t="n"/>
      <c r="E50" s="123" t="n"/>
      <c r="F50" s="123" t="n"/>
      <c r="G50" s="123" t="n"/>
      <c r="H50" s="123" t="n"/>
    </row>
    <row r="51" ht="15" customHeight="1">
      <c r="A51" s="226" t="n"/>
      <c r="B51" s="27" t="inlineStr">
        <is>
          <t>Revenue Growth (YoY)</t>
        </is>
      </c>
      <c r="C51" s="9" t="n"/>
      <c r="D51" s="429" t="inlineStr">
        <is>
          <t>–</t>
        </is>
      </c>
      <c r="E51" s="425">
        <f>IFERROR(INPUT!E9/INPUT!D9-1,"–")</f>
        <v/>
      </c>
      <c r="F51" s="425">
        <f>IFERROR(INPUT!F9/INPUT!E9-1,"–")</f>
        <v/>
      </c>
      <c r="G51" s="425">
        <f>IFERROR(INPUT!G9/INPUT!F9-1,"–")</f>
        <v/>
      </c>
      <c r="H51" s="425">
        <f>IFERROR(INPUT!H9/INPUT!G9-1,"–")</f>
        <v/>
      </c>
    </row>
    <row r="52" ht="15" customHeight="1">
      <c r="A52" s="226" t="n"/>
      <c r="B52" s="27" t="inlineStr">
        <is>
          <t>Gross Profit Growth (YoY)</t>
        </is>
      </c>
      <c r="C52" s="9" t="n"/>
      <c r="D52" s="429" t="inlineStr">
        <is>
          <t>–</t>
        </is>
      </c>
      <c r="E52" s="425">
        <f>IFERROR(INPUT!E11/INPUT!D11-1,"–")</f>
        <v/>
      </c>
      <c r="F52" s="425">
        <f>IFERROR(INPUT!F11/INPUT!E11-1,"–")</f>
        <v/>
      </c>
      <c r="G52" s="425">
        <f>IFERROR(INPUT!G11/INPUT!F11-1,"–")</f>
        <v/>
      </c>
      <c r="H52" s="425">
        <f>IFERROR(INPUT!H11/INPUT!G11-1,"–")</f>
        <v/>
      </c>
    </row>
    <row r="53" ht="15" customHeight="1">
      <c r="A53" s="226" t="n"/>
      <c r="B53" s="27" t="inlineStr">
        <is>
          <t>EBITDA Growth (YoY)</t>
        </is>
      </c>
      <c r="C53" s="9" t="n"/>
      <c r="D53" s="429" t="inlineStr">
        <is>
          <t>–</t>
        </is>
      </c>
      <c r="E53" s="425">
        <f>IFERROR(INPUT!E30/INPUT!D30-1,"–")</f>
        <v/>
      </c>
      <c r="F53" s="425">
        <f>IFERROR(INPUT!F30/INPUT!E30-1,"–")</f>
        <v/>
      </c>
      <c r="G53" s="425">
        <f>IFERROR(INPUT!G30/INPUT!F30-1,"–")</f>
        <v/>
      </c>
      <c r="H53" s="425">
        <f>IFERROR(INPUT!H30/INPUT!G30-1,"–")</f>
        <v/>
      </c>
    </row>
    <row r="54" ht="15" customHeight="1">
      <c r="A54" s="226" t="n"/>
      <c r="B54" s="27" t="inlineStr">
        <is>
          <t>Net Income Growth (YoY)</t>
        </is>
      </c>
      <c r="C54" s="9" t="n"/>
      <c r="D54" s="429" t="inlineStr">
        <is>
          <t>–</t>
        </is>
      </c>
      <c r="E54" s="425">
        <f>IFERROR(INPUT!E26/INPUT!D26-1,"–")</f>
        <v/>
      </c>
      <c r="F54" s="425">
        <f>IFERROR(INPUT!F26/INPUT!E26-1,"–")</f>
        <v/>
      </c>
      <c r="G54" s="425">
        <f>IFERROR(INPUT!G26/INPUT!F26-1,"–")</f>
        <v/>
      </c>
      <c r="H54" s="425">
        <f>IFERROR(INPUT!H26/INPUT!G26-1,"–")</f>
        <v/>
      </c>
    </row>
    <row r="55" ht="15" customHeight="1">
      <c r="A55" s="226" t="n"/>
      <c r="B55" s="27" t="inlineStr">
        <is>
          <t>EPS Growth (YoY)</t>
        </is>
      </c>
      <c r="C55" s="9" t="n"/>
      <c r="D55" s="429" t="inlineStr">
        <is>
          <t>–</t>
        </is>
      </c>
      <c r="E55" s="425">
        <f>IFERROR((INPUT!E26/INPUT!E96)/(INPUT!D26/INPUT!D96)-1,"–")</f>
        <v/>
      </c>
      <c r="F55" s="425">
        <f>IFERROR((INPUT!F26/INPUT!F96)/(INPUT!E26/INPUT!E96)-1,"–")</f>
        <v/>
      </c>
      <c r="G55" s="425">
        <f>IFERROR((INPUT!G26/INPUT!G96)/(INPUT!F26/INPUT!F96)-1,"–")</f>
        <v/>
      </c>
      <c r="H55" s="425">
        <f>IFERROR((INPUT!H26/INPUT!H96)/(INPUT!G26/INPUT!G96)-1,"–")</f>
        <v/>
      </c>
    </row>
    <row r="56" ht="15" customHeight="1">
      <c r="A56" s="226" t="n"/>
      <c r="B56" s="27" t="inlineStr">
        <is>
          <t>Total Assets Growth (YoY)</t>
        </is>
      </c>
      <c r="C56" s="9" t="n"/>
      <c r="D56" s="430" t="inlineStr">
        <is>
          <t>–</t>
        </is>
      </c>
      <c r="E56" s="426">
        <f>IFERROR(INPUT!E44/INPUT!D44-1,"–")</f>
        <v/>
      </c>
      <c r="F56" s="426">
        <f>IFERROR(INPUT!F44/INPUT!E44-1,"–")</f>
        <v/>
      </c>
      <c r="G56" s="426">
        <f>IFERROR(INPUT!G44/INPUT!F44-1,"–")</f>
        <v/>
      </c>
      <c r="H56" s="426">
        <f>IFERROR(INPUT!H44/INPUT!G44-1,"–")</f>
        <v/>
      </c>
    </row>
    <row r="57" ht="15" customHeight="1">
      <c r="A57" s="226" t="n"/>
      <c r="B57" s="28" t="n"/>
      <c r="C57" s="9" t="n"/>
      <c r="D57" s="31" t="n"/>
      <c r="E57" s="31" t="n"/>
      <c r="F57" s="31" t="n"/>
      <c r="G57" s="31" t="n"/>
      <c r="H57" s="31" t="n"/>
    </row>
    <row r="58" ht="18" customHeight="1">
      <c r="A58" s="227" t="inlineStr">
        <is>
          <t xml:space="preserve"> </t>
        </is>
      </c>
      <c r="B58" s="53" t="inlineStr">
        <is>
          <t>CASH FLOW RATIOS</t>
        </is>
      </c>
      <c r="C58" s="48" t="n"/>
      <c r="D58" s="23" t="n"/>
      <c r="E58" s="23" t="n"/>
      <c r="F58" s="23" t="n"/>
      <c r="G58" s="23" t="n"/>
      <c r="H58" s="23" t="n"/>
    </row>
    <row r="59" ht="18" customHeight="1">
      <c r="A59" s="227" t="n"/>
      <c r="B59" s="139" t="n"/>
      <c r="C59" s="130" t="n"/>
      <c r="D59" s="123" t="n"/>
      <c r="E59" s="123" t="n"/>
      <c r="F59" s="123" t="n"/>
      <c r="G59" s="123" t="n"/>
      <c r="H59" s="123" t="n"/>
    </row>
    <row r="60" ht="15" customHeight="1">
      <c r="A60" s="226" t="n"/>
      <c r="B60" s="27" t="inlineStr">
        <is>
          <t>Operating Cash Flow Margin</t>
        </is>
      </c>
      <c r="C60" s="9" t="n"/>
      <c r="D60" s="425">
        <f>IFERROR(INPUT!D75/INPUT!D9,"–")</f>
        <v/>
      </c>
      <c r="E60" s="425">
        <f>IFERROR(INPUT!E75/INPUT!E9,"–")</f>
        <v/>
      </c>
      <c r="F60" s="425">
        <f>IFERROR(INPUT!F75/INPUT!F9,"–")</f>
        <v/>
      </c>
      <c r="G60" s="425">
        <f>IFERROR(INPUT!G75/INPUT!G9,"–")</f>
        <v/>
      </c>
      <c r="H60" s="425">
        <f>IFERROR(INPUT!H75/INPUT!H9,"–")</f>
        <v/>
      </c>
    </row>
    <row r="61" ht="15" customHeight="1">
      <c r="A61" s="226" t="n"/>
      <c r="B61" s="68" t="inlineStr">
        <is>
          <t>Free Cash Flow (FCF)</t>
        </is>
      </c>
      <c r="C61" s="11" t="n"/>
      <c r="D61" s="431">
        <f>IFERROR(INPUT!D75+INPUT!D78,"–")</f>
        <v/>
      </c>
      <c r="E61" s="431">
        <f>IFERROR(INPUT!E75+INPUT!E78,"–")</f>
        <v/>
      </c>
      <c r="F61" s="431">
        <f>IFERROR(INPUT!F75+INPUT!F78,"–")</f>
        <v/>
      </c>
      <c r="G61" s="431">
        <f>IFERROR(INPUT!G75+INPUT!G78,"–")</f>
        <v/>
      </c>
      <c r="H61" s="431">
        <f>IFERROR(INPUT!H75+INPUT!H78,"–")</f>
        <v/>
      </c>
    </row>
    <row r="62" ht="15" customHeight="1">
      <c r="A62" s="226" t="n"/>
      <c r="B62" s="27" t="inlineStr">
        <is>
          <t>FCF Margin</t>
        </is>
      </c>
      <c r="C62" s="9" t="n"/>
      <c r="D62" s="425">
        <f>IFERROR(D61/INPUT!D9,"–")</f>
        <v/>
      </c>
      <c r="E62" s="425">
        <f>IFERROR(E61/INPUT!E9,"–")</f>
        <v/>
      </c>
      <c r="F62" s="425">
        <f>IFERROR(F61/INPUT!F9,"–")</f>
        <v/>
      </c>
      <c r="G62" s="425">
        <f>IFERROR(G61/INPUT!G9,"–")</f>
        <v/>
      </c>
      <c r="H62" s="425">
        <f>IFERROR(H61/INPUT!H9,"–")</f>
        <v/>
      </c>
    </row>
    <row r="63" ht="15" customHeight="1">
      <c r="A63" s="226" t="n"/>
      <c r="B63" s="27" t="inlineStr">
        <is>
          <t>Cash Return on Equity</t>
        </is>
      </c>
      <c r="C63" s="9" t="n"/>
      <c r="D63" s="423">
        <f>IFERROR(INPUT!D75/INPUT!D60,"–")</f>
        <v/>
      </c>
      <c r="E63" s="423">
        <f>IFERROR(INPUT!E75/INPUT!E60,"–")</f>
        <v/>
      </c>
      <c r="F63" s="423">
        <f>IFERROR(INPUT!F75/INPUT!F60,"–")</f>
        <v/>
      </c>
      <c r="G63" s="423">
        <f>IFERROR(INPUT!G75/INPUT!G60,"–")</f>
        <v/>
      </c>
      <c r="H63" s="423">
        <f>IFERROR(INPUT!H75/INPUT!H60,"–")</f>
        <v/>
      </c>
    </row>
    <row r="64" ht="15" customHeight="1">
      <c r="A64" s="226" t="n"/>
      <c r="B64" s="27" t="inlineStr">
        <is>
          <t>CapEx / Revenue</t>
        </is>
      </c>
      <c r="C64" s="9" t="n"/>
      <c r="D64" s="425">
        <f>IFERROR(ABS(INPUT!D78)/INPUT!D9,"–")</f>
        <v/>
      </c>
      <c r="E64" s="425">
        <f>IFERROR(ABS(INPUT!E78)/INPUT!E9,"–")</f>
        <v/>
      </c>
      <c r="F64" s="425">
        <f>IFERROR(ABS(INPUT!F78)/INPUT!F9,"–")</f>
        <v/>
      </c>
      <c r="G64" s="425">
        <f>IFERROR(ABS(INPUT!G78)/INPUT!G9,"–")</f>
        <v/>
      </c>
      <c r="H64" s="425">
        <f>IFERROR(ABS(INPUT!H78)/INPUT!H9,"–")</f>
        <v/>
      </c>
    </row>
    <row r="65" ht="15" customHeight="1">
      <c r="A65" s="226" t="n"/>
      <c r="B65" s="27" t="inlineStr">
        <is>
          <t>Dividend Payout Ratio</t>
        </is>
      </c>
      <c r="C65" s="9" t="n"/>
      <c r="D65" s="425">
        <f>IFERROR(ABS(INPUT!D85)/INPUT!D26,"–")</f>
        <v/>
      </c>
      <c r="E65" s="425">
        <f>IFERROR(ABS(INPUT!E85)/INPUT!E26,"–")</f>
        <v/>
      </c>
      <c r="F65" s="425">
        <f>IFERROR(ABS(INPUT!F85)/INPUT!F26,"–")</f>
        <v/>
      </c>
      <c r="G65" s="425">
        <f>IFERROR(ABS(INPUT!G85)/INPUT!G26,"–")</f>
        <v/>
      </c>
      <c r="H65" s="425">
        <f>IFERROR(ABS(INPUT!H85)/INPUT!H26,"–")</f>
        <v/>
      </c>
    </row>
    <row r="66" ht="15" customHeight="1">
      <c r="A66" s="226" t="n"/>
      <c r="B66" s="27" t="inlineStr">
        <is>
          <t>CFO / Net Income (Accruals Ratio)</t>
        </is>
      </c>
      <c r="C66" s="9" t="n"/>
      <c r="D66" s="427">
        <f>IFERROR(INPUT!D75/INPUT!D26,"–")</f>
        <v/>
      </c>
      <c r="E66" s="427">
        <f>IFERROR(INPUT!E75/INPUT!E26,"–")</f>
        <v/>
      </c>
      <c r="F66" s="427">
        <f>IFERROR(INPUT!F75/INPUT!F26,"–")</f>
        <v/>
      </c>
      <c r="G66" s="427">
        <f>IFERROR(INPUT!G75/INPUT!G26,"–")</f>
        <v/>
      </c>
      <c r="H66" s="427">
        <f>IFERROR(INPUT!H75/INPUT!H26,"–")</f>
        <v/>
      </c>
    </row>
    <row r="67" ht="15" customHeight="1">
      <c r="A67" s="226" t="n"/>
      <c r="B67" s="14" t="n"/>
      <c r="C67" s="9" t="n"/>
      <c r="D67" s="22" t="n"/>
      <c r="E67" s="22" t="n"/>
      <c r="F67" s="22" t="n"/>
      <c r="G67" s="22" t="n"/>
      <c r="H67" s="22" t="n"/>
    </row>
    <row r="68" ht="15" customHeight="1">
      <c r="A68" s="225" t="n"/>
      <c r="B68" s="33" t="inlineStr">
        <is>
          <t>© 2015 to 2024 FinSight</t>
        </is>
      </c>
      <c r="C68" s="2" t="n"/>
      <c r="D68" s="96" t="n"/>
      <c r="E68" s="96" t="n"/>
      <c r="F68" s="96" t="n"/>
      <c r="G68" s="96" t="n"/>
      <c r="H68" s="96" t="n"/>
    </row>
    <row r="69" ht="15" customHeight="1">
      <c r="A69" s="225" t="n"/>
      <c r="B69" s="33" t="inlineStr">
        <is>
          <t>This Excel model is for educational purposes only.</t>
        </is>
      </c>
      <c r="C69" s="2" t="n"/>
      <c r="D69" s="96" t="n"/>
      <c r="E69" s="96" t="n"/>
      <c r="F69" s="96" t="n"/>
      <c r="G69" s="96" t="n"/>
      <c r="H69" s="96" t="n"/>
    </row>
    <row r="70" ht="15" customHeight="1">
      <c r="A70" s="225" t="n"/>
      <c r="B70" s="33" t="inlineStr">
        <is>
          <t>https://finsight.com/</t>
        </is>
      </c>
      <c r="C70" s="2" t="n"/>
      <c r="D70" s="96" t="n"/>
      <c r="E70" s="96" t="n"/>
      <c r="F70" s="96" t="n"/>
      <c r="G70" s="96" t="n"/>
      <c r="H70" s="96" t="n"/>
    </row>
    <row r="71" ht="15" customHeight="1">
      <c r="B71" s="51" t="n"/>
    </row>
    <row r="72" ht="15" customHeight="1">
      <c r="B72" s="51" t="n"/>
    </row>
    <row r="73" ht="15" customHeight="1">
      <c r="B73" s="119" t="inlineStr">
        <is>
          <t>CHART DATA</t>
        </is>
      </c>
      <c r="C73" s="121" t="n"/>
      <c r="D73" s="122" t="n"/>
      <c r="E73" s="122" t="n"/>
      <c r="F73" s="122" t="n"/>
      <c r="G73" s="122" t="n"/>
      <c r="H73" s="122" t="n"/>
    </row>
    <row r="74" ht="15" customHeight="1">
      <c r="B74" s="103" t="inlineStr">
        <is>
          <t>Year</t>
        </is>
      </c>
      <c r="C74" s="103" t="n"/>
      <c r="D74" s="103">
        <f>IF(INPUT!D9="",NA(),D5)</f>
        <v/>
      </c>
      <c r="E74" s="103">
        <f>IF(INPUT!E9="",NA(),E5)</f>
        <v/>
      </c>
      <c r="F74" s="103">
        <f>IF(INPUT!F9="",NA(),F5)</f>
        <v/>
      </c>
      <c r="G74" s="103">
        <f>IF(INPUT!G9="",NA(),G5)</f>
        <v/>
      </c>
      <c r="H74" s="103">
        <f>IF(INPUT!H9="",NA(),H5)</f>
        <v/>
      </c>
    </row>
    <row r="75" ht="15" customHeight="1">
      <c r="B75" s="51" t="inlineStr">
        <is>
          <t>Revenue ($000)</t>
        </is>
      </c>
      <c r="D75" s="284">
        <f>IF(INPUT!D9="",NA(),INPUT!D9)</f>
        <v/>
      </c>
      <c r="E75" s="284">
        <f>IF(INPUT!E9="",NA(),INPUT!E9)</f>
        <v/>
      </c>
      <c r="F75" s="284">
        <f>IF(INPUT!F9="",NA(),INPUT!F9)</f>
        <v/>
      </c>
      <c r="G75" s="284">
        <f>IF(INPUT!G9="",NA(),INPUT!G9)</f>
        <v/>
      </c>
      <c r="H75" s="284">
        <f>IF(INPUT!H9="",NA(),INPUT!H9)</f>
        <v/>
      </c>
    </row>
    <row r="76" ht="15" customHeight="1">
      <c r="B76" s="51" t="inlineStr">
        <is>
          <t>EBITDA ($000)</t>
        </is>
      </c>
      <c r="D76" s="284">
        <f>IF(INPUT!E9="",NA(),INPUT!E30)</f>
        <v/>
      </c>
      <c r="E76" s="284">
        <f>IF(INPUT!F9="",NA(),INPUT!F30)</f>
        <v/>
      </c>
      <c r="F76" s="284">
        <f>IF(INPUT!G9="",NA(),INPUT!G30)</f>
        <v/>
      </c>
      <c r="G76" s="284">
        <f>IF(INPUT!G9="",NA(),INPUT!G30)</f>
        <v/>
      </c>
      <c r="H76" s="284">
        <f>IF(INPUT!H9="",NA(),INPUT!H30)</f>
        <v/>
      </c>
    </row>
    <row r="77" ht="15" customHeight="1">
      <c r="B77" s="51" t="inlineStr">
        <is>
          <t>Net Income ($000)</t>
        </is>
      </c>
      <c r="D77" s="284">
        <f>IF(INPUT!E9="",NA(),INPUT!E26)</f>
        <v/>
      </c>
      <c r="E77" s="284">
        <f>IF(INPUT!F9="",NA(),INPUT!F26)</f>
        <v/>
      </c>
      <c r="F77" s="284">
        <f>IF(INPUT!G9="",NA(),INPUT!G26)</f>
        <v/>
      </c>
      <c r="G77" s="284">
        <f>IF(INPUT!G9="",NA(),INPUT!G26)</f>
        <v/>
      </c>
      <c r="H77" s="284">
        <f>IF(INPUT!H9="",NA(),INPUT!H26)</f>
        <v/>
      </c>
    </row>
    <row r="78" ht="15" customHeight="1">
      <c r="B78" s="51" t="inlineStr">
        <is>
          <t>Cumul. Revenue ($000)</t>
        </is>
      </c>
      <c r="D78" s="284">
        <f>IF(INPUT!E9="",NA(),INPUT!D9+INPUT!E9)</f>
        <v/>
      </c>
      <c r="E78" s="284">
        <f>IF(INPUT!F9="",NA(),INPUT!D9+INPUT!E9+INPUT!F9)</f>
        <v/>
      </c>
      <c r="F78" s="284">
        <f>IF(INPUT!G9="",NA(),INPUT!D9+INPUT!E9+INPUT!F9+INPUT!G9)</f>
        <v/>
      </c>
      <c r="G78" s="284">
        <f>IF(INPUT!H9="",NA(),INPUT!D9+INPUT!E9+INPUT!F9+INPUT!G9+INPUT!H9)</f>
        <v/>
      </c>
      <c r="H78" s="284">
        <f>IF(INPUT!H9="",NA(),INPUT!D9+INPUT!E9+INPUT!F9+INPUT!G9+INPUT!H9)</f>
        <v/>
      </c>
    </row>
    <row r="79" ht="15" customHeight="1">
      <c r="B79" s="51" t="n"/>
    </row>
    <row r="80" ht="15" customHeight="1">
      <c r="B80" s="51" t="inlineStr">
        <is>
          <t>Gross Profit Margin</t>
        </is>
      </c>
      <c r="D80" s="285">
        <f>IF(INPUT!D9="",NA(),D19)</f>
        <v/>
      </c>
      <c r="E80" s="285">
        <f>IF(INPUT!E9="",NA(),E19)</f>
        <v/>
      </c>
      <c r="F80" s="285">
        <f>IF(INPUT!F9="",NA(),F19)</f>
        <v/>
      </c>
      <c r="G80" s="285">
        <f>IF(INPUT!G9="",NA(),G19)</f>
        <v/>
      </c>
      <c r="H80" s="285">
        <f>IF(INPUT!H9="",NA(),H19)</f>
        <v/>
      </c>
    </row>
    <row r="81" ht="15" customHeight="1">
      <c r="B81" s="51" t="inlineStr">
        <is>
          <t>EBITDA Margin</t>
        </is>
      </c>
      <c r="D81" s="285">
        <f>IF(INPUT!D9="",NA(),D20)</f>
        <v/>
      </c>
      <c r="E81" s="285">
        <f>IF(INPUT!E9="",NA(),E20)</f>
        <v/>
      </c>
      <c r="F81" s="285">
        <f>IF(INPUT!F9="",NA(),F20)</f>
        <v/>
      </c>
      <c r="G81" s="285">
        <f>IF(INPUT!G9="",NA(),G20)</f>
        <v/>
      </c>
      <c r="H81" s="285">
        <f>IF(INPUT!H9="",NA(),H20)</f>
        <v/>
      </c>
    </row>
    <row r="82" ht="15" customHeight="1">
      <c r="B82" s="51" t="inlineStr">
        <is>
          <t>Net Profit Margin</t>
        </is>
      </c>
      <c r="D82" s="285">
        <f>IF(INPUT!D9="",NA(),D22)</f>
        <v/>
      </c>
      <c r="E82" s="285">
        <f>IF(INPUT!E9="",NA(),E22)</f>
        <v/>
      </c>
      <c r="F82" s="285">
        <f>IF(INPUT!F9="",NA(),F22)</f>
        <v/>
      </c>
      <c r="G82" s="285">
        <f>IF(INPUT!G9="",NA(),G22)</f>
        <v/>
      </c>
      <c r="H82" s="285">
        <f>IF(INPUT!H9="",NA(),H22)</f>
        <v/>
      </c>
    </row>
    <row r="83" ht="15" customHeight="1">
      <c r="B83" s="51" t="n"/>
    </row>
    <row r="84" ht="15" customHeight="1">
      <c r="D84" s="286">
        <f>IF(INPUT!D9="",NA(),D5)</f>
        <v/>
      </c>
      <c r="E84" s="287">
        <f>IF(INPUT!E9="",NA(),E5)</f>
        <v/>
      </c>
      <c r="F84" s="287">
        <f>IF(INPUT!F9="",NA(),F5)</f>
        <v/>
      </c>
      <c r="G84" s="287">
        <f>IF(INPUT!G9="",NA(),G5)</f>
        <v/>
      </c>
      <c r="H84" s="287">
        <f>IF(INPUT!H9="",NA(),H5)</f>
        <v/>
      </c>
    </row>
    <row r="85" ht="15" customHeight="1">
      <c r="B85" s="51" t="inlineStr">
        <is>
          <t>SG&amp;A ($000)</t>
        </is>
      </c>
      <c r="D85" s="286">
        <f>IF(INPUT!D9="",NA(),ABS(INPUT!D14))</f>
        <v/>
      </c>
      <c r="E85" s="287">
        <f>IF(INPUT!E9="",NA(),ABS(INPUT!E14))</f>
        <v/>
      </c>
      <c r="F85" s="287">
        <f>IF(INPUT!F9="",NA(),ABS(INPUT!F14))</f>
        <v/>
      </c>
      <c r="G85" s="287">
        <f>IF(INPUT!G9="",NA(),ABS(INPUT!G14))</f>
        <v/>
      </c>
      <c r="H85" s="287">
        <f>IF(INPUT!H9="",NA(),ABS(INPUT!H14))</f>
        <v/>
      </c>
    </row>
    <row r="86" ht="15" customHeight="1">
      <c r="B86" s="51" t="inlineStr">
        <is>
          <t>R&amp;D ($000)</t>
        </is>
      </c>
      <c r="D86" s="286">
        <f>IF(INPUT!D9="",NA(),ABS(INPUT!D15))</f>
        <v/>
      </c>
      <c r="E86" s="287">
        <f>IF(INPUT!E9="",NA(),ABS(INPUT!E15))</f>
        <v/>
      </c>
      <c r="F86" s="287">
        <f>IF(INPUT!F9="",NA(),ABS(INPUT!F15))</f>
        <v/>
      </c>
      <c r="G86" s="287">
        <f>IF(INPUT!G9="",NA(),ABS(INPUT!G15))</f>
        <v/>
      </c>
      <c r="H86" s="287">
        <f>IF(INPUT!H9="",NA(),ABS(INPUT!H15))</f>
        <v/>
      </c>
    </row>
    <row r="87" ht="15" customHeight="1">
      <c r="B87" s="51" t="inlineStr">
        <is>
          <t>D&amp;A ($000)</t>
        </is>
      </c>
      <c r="D87" s="286">
        <f>IF(INPUT!D9="",NA(),ABS(INPUT!D16))</f>
        <v/>
      </c>
      <c r="E87" s="287">
        <f>IF(INPUT!E9="",NA(),ABS(INPUT!E16))</f>
        <v/>
      </c>
      <c r="F87" s="287">
        <f>IF(INPUT!F9="",NA(),ABS(INPUT!F16))</f>
        <v/>
      </c>
      <c r="G87" s="287">
        <f>IF(INPUT!G9="",NA(),ABS(INPUT!G16))</f>
        <v/>
      </c>
      <c r="H87" s="287">
        <f>IF(INPUT!H9="",NA(),ABS(INPUT!H16))</f>
        <v/>
      </c>
    </row>
    <row r="88" ht="15" customHeight="1">
      <c r="B88" s="51" t="inlineStr">
        <is>
          <t>Interest ($000)</t>
        </is>
      </c>
      <c r="D88" s="286">
        <f>IF(INPUT!D9="",NA(),ABS(INPUT!D20))</f>
        <v/>
      </c>
      <c r="E88" s="287">
        <f>IF(INPUT!E9="",NA(),ABS(INPUT!E20))</f>
        <v/>
      </c>
      <c r="F88" s="287">
        <f>IF(INPUT!F9="",NA(),ABS(INPUT!F20))</f>
        <v/>
      </c>
      <c r="G88" s="287">
        <f>IF(INPUT!G9="",NA(),ABS(INPUT!G20))</f>
        <v/>
      </c>
      <c r="H88" s="287">
        <f>IF(INPUT!H9="",NA(),ABS(INPUT!H20))</f>
        <v/>
      </c>
    </row>
    <row r="89" ht="15" customHeight="1">
      <c r="B89" s="51" t="n"/>
    </row>
    <row r="90" ht="15" customHeight="1">
      <c r="D90" s="22">
        <f>IF(INPUT!D9="",NA(),D5)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51" t="inlineStr">
        <is>
          <t>SG&amp;A ($M)</t>
        </is>
      </c>
      <c r="D91" s="432">
        <f>D85/1000</f>
        <v/>
      </c>
      <c r="E91" s="433">
        <f>E85/1000</f>
        <v/>
      </c>
      <c r="F91" s="433">
        <f>F85/1000</f>
        <v/>
      </c>
      <c r="G91" s="433">
        <f>G85/1000</f>
        <v/>
      </c>
      <c r="H91" s="433">
        <f>H85/1000</f>
        <v/>
      </c>
    </row>
    <row r="92" ht="15" customHeight="1">
      <c r="B92" s="51" t="inlineStr">
        <is>
          <t>R&amp;D ($M)</t>
        </is>
      </c>
      <c r="D92" s="432">
        <f>D86/1000</f>
        <v/>
      </c>
      <c r="E92" s="433">
        <f>E86/1000</f>
        <v/>
      </c>
      <c r="F92" s="433">
        <f>F86/1000</f>
        <v/>
      </c>
      <c r="G92" s="433">
        <f>G86/1000</f>
        <v/>
      </c>
      <c r="H92" s="433">
        <f>H86/1000</f>
        <v/>
      </c>
    </row>
    <row r="93" ht="15" customHeight="1">
      <c r="B93" s="51" t="inlineStr">
        <is>
          <t>D&amp;A ($M)</t>
        </is>
      </c>
      <c r="D93" s="432">
        <f>D87/1000</f>
        <v/>
      </c>
      <c r="E93" s="433">
        <f>E87/1000</f>
        <v/>
      </c>
      <c r="F93" s="433">
        <f>F87/1000</f>
        <v/>
      </c>
      <c r="G93" s="433">
        <f>G87/1000</f>
        <v/>
      </c>
      <c r="H93" s="433">
        <f>H87/1000</f>
        <v/>
      </c>
    </row>
    <row r="94" ht="15" customHeight="1">
      <c r="B94" s="51" t="inlineStr">
        <is>
          <t>Interest ($M)</t>
        </is>
      </c>
      <c r="D94" s="432">
        <f>D88/1000</f>
        <v/>
      </c>
      <c r="E94" s="433">
        <f>E88/1000</f>
        <v/>
      </c>
      <c r="F94" s="433">
        <f>F88/1000</f>
        <v/>
      </c>
      <c r="G94" s="433">
        <f>G88/1000</f>
        <v/>
      </c>
      <c r="H94" s="433">
        <f>H88/1000</f>
        <v/>
      </c>
    </row>
    <row r="95" ht="15" customHeight="1">
      <c r="B95" s="51" t="n"/>
      <c r="G95" s="287">
        <f>G88/1000</f>
        <v/>
      </c>
      <c r="H95" s="287">
        <f>H88/1000</f>
        <v/>
      </c>
    </row>
    <row r="96" ht="15" customHeight="1">
      <c r="B96" s="51" t="n"/>
    </row>
    <row r="97" ht="15" customHeight="1">
      <c r="B97" s="51" t="inlineStr">
        <is>
          <t>Cumul. Revenue ($M)</t>
        </is>
      </c>
      <c r="D97" s="286">
        <f>D78/1000</f>
        <v/>
      </c>
      <c r="E97" s="287">
        <f>E78/1000</f>
        <v/>
      </c>
      <c r="F97" s="287">
        <f>F78/1000</f>
        <v/>
      </c>
      <c r="G97" s="287">
        <f>G78/1000</f>
        <v/>
      </c>
      <c r="H97" s="287">
        <f>H78/1000</f>
        <v/>
      </c>
    </row>
    <row r="98" ht="15" customHeight="1">
      <c r="B98" s="51" t="n"/>
    </row>
    <row r="99" ht="15" customHeight="1">
      <c r="B99" s="51" t="n"/>
      <c r="G99" s="287">
        <f>G78/1000</f>
        <v/>
      </c>
      <c r="H99" s="287">
        <f>H78/1000</f>
        <v/>
      </c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  <row r="121" ht="15" customHeight="1">
      <c r="B121" s="51" t="n"/>
    </row>
    <row r="122" ht="15" customHeight="1">
      <c r="B122" s="51" t="n"/>
    </row>
    <row r="123" ht="15" customHeight="1">
      <c r="B123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40" sqref="D40"/>
    </sheetView>
  </sheetViews>
  <sheetFormatPr baseColWidth="10" defaultRowHeight="14.4"/>
  <cols>
    <col width="11" customWidth="1" min="1" max="1"/>
    <col width="53" customWidth="1" style="19" min="2" max="2"/>
    <col width="7.44140625" customWidth="1" min="3" max="3"/>
    <col width="15.109375" customWidth="1" style="21" min="4" max="4"/>
    <col width="13.33203125" customWidth="1" style="21" min="5" max="8"/>
    <col width="1" customWidth="1" style="21" min="9" max="9"/>
    <col width="11.5546875" customWidth="1" style="21" min="10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117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23" t="n"/>
      <c r="E3" s="23" t="n"/>
      <c r="F3" s="23" t="n"/>
      <c r="G3" s="23" t="n"/>
      <c r="H3" s="23" t="n"/>
      <c r="I3" s="23" t="n"/>
      <c r="J3" s="47" t="n"/>
      <c r="K3" s="47" t="n"/>
      <c r="L3" s="47" t="n"/>
      <c r="M3" s="47" t="n"/>
      <c r="N3" s="47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38" t="inlineStr">
        <is>
          <t>COMPONENT</t>
        </is>
      </c>
      <c r="C5" s="138" t="n"/>
      <c r="D5" s="138">
        <f>IF(INPUT!D5="","",INPUT!D5)</f>
        <v/>
      </c>
      <c r="E5" s="138">
        <f>IF(INPUT!E5="","",INPUT!E5)</f>
        <v/>
      </c>
      <c r="F5" s="138">
        <f>IF(INPUT!F5="","",INPUT!F5)</f>
        <v/>
      </c>
      <c r="G5" s="138">
        <f>IF(INPUT!G5="","",INPUT!G5)</f>
        <v/>
      </c>
      <c r="H5" s="138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34" t="inlineStr">
        <is>
          <t>INTERMEDIATE CALCULATIONS</t>
        </is>
      </c>
      <c r="C7" s="135" t="n"/>
      <c r="D7" s="136" t="n"/>
      <c r="E7" s="136" t="n"/>
      <c r="F7" s="136" t="n"/>
      <c r="G7" s="136" t="n"/>
      <c r="H7" s="136" t="n"/>
      <c r="I7" s="23" t="n"/>
      <c r="J7" s="47" t="n"/>
      <c r="K7" s="47" t="n"/>
      <c r="L7" s="47" t="n"/>
      <c r="M7" s="47" t="n"/>
      <c r="N7" s="47" t="n"/>
    </row>
    <row r="8" ht="15" customHeight="1">
      <c r="A8" s="3" t="n"/>
      <c r="B8" s="127" t="inlineStr">
        <is>
          <t>Working Capital</t>
        </is>
      </c>
      <c r="C8" s="128" t="n"/>
      <c r="D8" s="290">
        <f>IFERROR(INPUT!D38-INPUT!D51,"–")</f>
        <v/>
      </c>
      <c r="E8" s="290">
        <f>IFERROR(INPUT!E38-INPUT!E51,"–")</f>
        <v/>
      </c>
      <c r="F8" s="290">
        <f>IFERROR(INPUT!F38-INPUT!F51,"–")</f>
        <v/>
      </c>
      <c r="G8" s="290">
        <f>IFERROR(INPUT!G38-INPUT!G51,"–")</f>
        <v/>
      </c>
      <c r="H8" s="290">
        <f>IFERROR(INPUT!H38-INPUT!H51,"–")</f>
        <v/>
      </c>
      <c r="I8" s="30" t="n"/>
    </row>
    <row r="9" ht="15" customHeight="1">
      <c r="A9" s="3" t="n"/>
      <c r="B9" s="127" t="inlineStr">
        <is>
          <t>Total Assets</t>
        </is>
      </c>
      <c r="C9" s="128" t="n"/>
      <c r="D9" s="290">
        <f>INPUT!D44</f>
        <v/>
      </c>
      <c r="E9" s="290">
        <f>INPUT!E44</f>
        <v/>
      </c>
      <c r="F9" s="290">
        <f>INPUT!F44</f>
        <v/>
      </c>
      <c r="G9" s="290">
        <f>INPUT!G44</f>
        <v/>
      </c>
      <c r="H9" s="290">
        <f>INPUT!H44</f>
        <v/>
      </c>
      <c r="I9" s="30" t="n"/>
    </row>
    <row r="10" ht="15" customHeight="1">
      <c r="A10" s="3" t="n"/>
      <c r="B10" s="127" t="inlineStr">
        <is>
          <t>Retained Earnings</t>
        </is>
      </c>
      <c r="C10" s="128" t="n"/>
      <c r="D10" s="290">
        <f>INPUT!D59</f>
        <v/>
      </c>
      <c r="E10" s="290">
        <f>INPUT!E59</f>
        <v/>
      </c>
      <c r="F10" s="290">
        <f>INPUT!F59</f>
        <v/>
      </c>
      <c r="G10" s="290">
        <f>INPUT!G59</f>
        <v/>
      </c>
      <c r="H10" s="290">
        <f>INPUT!H59</f>
        <v/>
      </c>
      <c r="I10" s="30" t="n"/>
    </row>
    <row r="11" ht="15" customHeight="1">
      <c r="A11" s="3" t="n"/>
      <c r="B11" s="127" t="inlineStr">
        <is>
          <t>EBIT</t>
        </is>
      </c>
      <c r="C11" s="128" t="n"/>
      <c r="D11" s="290">
        <f>INPUT!D17</f>
        <v/>
      </c>
      <c r="E11" s="290">
        <f>INPUT!E17</f>
        <v/>
      </c>
      <c r="F11" s="290">
        <f>INPUT!F17</f>
        <v/>
      </c>
      <c r="G11" s="290">
        <f>INPUT!G17</f>
        <v/>
      </c>
      <c r="H11" s="290">
        <f>INPUT!H17</f>
        <v/>
      </c>
      <c r="I11" s="30" t="n"/>
    </row>
    <row r="12" ht="15" customHeight="1">
      <c r="A12" s="3" t="n"/>
      <c r="B12" s="127" t="inlineStr">
        <is>
          <t>Market Cap (Book Value of Equity)</t>
        </is>
      </c>
      <c r="C12" s="128" t="n"/>
      <c r="D12" s="290">
        <f>INPUT!D60</f>
        <v/>
      </c>
      <c r="E12" s="290">
        <f>INPUT!E60</f>
        <v/>
      </c>
      <c r="F12" s="290">
        <f>INPUT!F60</f>
        <v/>
      </c>
      <c r="G12" s="290">
        <f>INPUT!G60</f>
        <v/>
      </c>
      <c r="H12" s="290">
        <f>INPUT!H60</f>
        <v/>
      </c>
      <c r="I12" s="30" t="n"/>
    </row>
    <row r="13" ht="15" customHeight="1">
      <c r="A13" s="3" t="n"/>
      <c r="B13" s="127" t="inlineStr">
        <is>
          <t>Total Liabilities</t>
        </is>
      </c>
      <c r="C13" s="128" t="n"/>
      <c r="D13" s="290">
        <f>INPUT!D55</f>
        <v/>
      </c>
      <c r="E13" s="290">
        <f>INPUT!E55</f>
        <v/>
      </c>
      <c r="F13" s="290">
        <f>INPUT!F55</f>
        <v/>
      </c>
      <c r="G13" s="290">
        <f>INPUT!G55</f>
        <v/>
      </c>
      <c r="H13" s="290">
        <f>INPUT!H55</f>
        <v/>
      </c>
      <c r="I13" s="30" t="n"/>
    </row>
    <row r="14" ht="15" customHeight="1">
      <c r="A14" s="3" t="n"/>
      <c r="B14" s="127" t="inlineStr">
        <is>
          <t>Revenue</t>
        </is>
      </c>
      <c r="C14" s="128" t="n"/>
      <c r="D14" s="291">
        <f>INPUT!D9</f>
        <v/>
      </c>
      <c r="E14" s="291">
        <f>INPUT!E9</f>
        <v/>
      </c>
      <c r="F14" s="291">
        <f>INPUT!F9</f>
        <v/>
      </c>
      <c r="G14" s="291">
        <f>INPUT!G9</f>
        <v/>
      </c>
      <c r="H14" s="291">
        <f>INPUT!H9</f>
        <v/>
      </c>
      <c r="I14" s="30" t="n"/>
    </row>
    <row r="15" ht="15" customHeight="1">
      <c r="A15" s="3" t="n"/>
      <c r="B15" s="112" t="n"/>
      <c r="C15" s="128" t="n"/>
      <c r="D15" s="129" t="n"/>
      <c r="E15" s="129" t="n"/>
      <c r="F15" s="129" t="n"/>
      <c r="G15" s="129" t="n"/>
      <c r="H15" s="129" t="n"/>
      <c r="I15" s="22" t="n"/>
    </row>
    <row r="16" ht="18" customHeight="1">
      <c r="A16" s="7" t="inlineStr">
        <is>
          <t xml:space="preserve"> </t>
        </is>
      </c>
      <c r="B16" s="134" t="inlineStr">
        <is>
          <t>5 ALTMAN Z-SCORE COMPONENTS</t>
        </is>
      </c>
      <c r="C16" s="137" t="n"/>
      <c r="D16" s="136" t="n"/>
      <c r="E16" s="136" t="n"/>
      <c r="F16" s="136" t="n"/>
      <c r="G16" s="136" t="n"/>
      <c r="H16" s="136" t="n"/>
      <c r="I16" s="23" t="n"/>
      <c r="J16" s="47" t="n"/>
      <c r="K16" s="47" t="n"/>
      <c r="L16" s="47" t="n"/>
      <c r="M16" s="47" t="n"/>
      <c r="N16" s="47" t="n"/>
    </row>
    <row r="17" ht="15" customHeight="1">
      <c r="A17" s="3" t="n"/>
      <c r="B17" s="127" t="inlineStr">
        <is>
          <t>X1 = Working Capital / Total Assets</t>
        </is>
      </c>
      <c r="C17" s="128" t="n"/>
      <c r="D17" s="434">
        <f>IFERROR(D8/D9,"–")</f>
        <v/>
      </c>
      <c r="E17" s="434">
        <f>IFERROR(E8/E9,"–")</f>
        <v/>
      </c>
      <c r="F17" s="434">
        <f>IFERROR(F8/F9,"–")</f>
        <v/>
      </c>
      <c r="G17" s="434">
        <f>IFERROR(G8/G9,"–")</f>
        <v/>
      </c>
      <c r="H17" s="434">
        <f>IFERROR(H8/H9,"–")</f>
        <v/>
      </c>
      <c r="I17" s="30" t="n"/>
    </row>
    <row r="18" ht="15" customHeight="1">
      <c r="A18" s="3" t="n"/>
      <c r="B18" s="127" t="inlineStr">
        <is>
          <t>X2 = Retained Earnings / Total Assets</t>
        </is>
      </c>
      <c r="C18" s="128" t="n"/>
      <c r="D18" s="434">
        <f>IFERROR(D10/D9,"–")</f>
        <v/>
      </c>
      <c r="E18" s="434">
        <f>IFERROR(E10/E9,"–")</f>
        <v/>
      </c>
      <c r="F18" s="434">
        <f>IFERROR(F10/F9,"–")</f>
        <v/>
      </c>
      <c r="G18" s="434">
        <f>IFERROR(G10/G9,"–")</f>
        <v/>
      </c>
      <c r="H18" s="434">
        <f>IFERROR(H10/H9,"–")</f>
        <v/>
      </c>
      <c r="I18" s="30" t="n"/>
    </row>
    <row r="19" ht="15" customHeight="1">
      <c r="A19" s="3" t="n"/>
      <c r="B19" s="127" t="inlineStr">
        <is>
          <t>X3 = EBIT / Total Assets</t>
        </is>
      </c>
      <c r="C19" s="128" t="n"/>
      <c r="D19" s="434">
        <f>IFERROR(D11/D9,"–")</f>
        <v/>
      </c>
      <c r="E19" s="434">
        <f>IFERROR(E11/E9,"–")</f>
        <v/>
      </c>
      <c r="F19" s="434">
        <f>IFERROR(F11/F9,"–")</f>
        <v/>
      </c>
      <c r="G19" s="434">
        <f>IFERROR(G11/G9,"–")</f>
        <v/>
      </c>
      <c r="H19" s="434">
        <f>IFERROR(H11/H9,"–")</f>
        <v/>
      </c>
      <c r="I19" s="30" t="n"/>
    </row>
    <row r="20" ht="15" customHeight="1">
      <c r="A20" s="3" t="n"/>
      <c r="B20" s="127" t="inlineStr">
        <is>
          <t>X4 = Equity / Total Liabilities</t>
        </is>
      </c>
      <c r="C20" s="128" t="n"/>
      <c r="D20" s="434">
        <f>IFERROR(D12/D13,"–")</f>
        <v/>
      </c>
      <c r="E20" s="434">
        <f>IFERROR(E12/E13,"–")</f>
        <v/>
      </c>
      <c r="F20" s="434">
        <f>IFERROR(F12/F13,"–")</f>
        <v/>
      </c>
      <c r="G20" s="434">
        <f>IFERROR(G12/G13,"–")</f>
        <v/>
      </c>
      <c r="H20" s="434">
        <f>IFERROR(H12/H13,"–")</f>
        <v/>
      </c>
      <c r="I20" s="30" t="n"/>
    </row>
    <row r="21" ht="15" customHeight="1">
      <c r="A21" s="3" t="n"/>
      <c r="B21" s="127" t="inlineStr">
        <is>
          <t>X5 = Revenue / Total Assets</t>
        </is>
      </c>
      <c r="C21" s="128" t="n"/>
      <c r="D21" s="435">
        <f>IFERROR(D14/D9,"–")</f>
        <v/>
      </c>
      <c r="E21" s="435">
        <f>IFERROR(E14/E9,"–")</f>
        <v/>
      </c>
      <c r="F21" s="435">
        <f>IFERROR(F14/F9,"–")</f>
        <v/>
      </c>
      <c r="G21" s="435">
        <f>IFERROR(G14/G9,"–")</f>
        <v/>
      </c>
      <c r="H21" s="435">
        <f>IFERROR(H14/H9,"–")</f>
        <v/>
      </c>
      <c r="I21" s="30" t="n"/>
    </row>
    <row r="22" ht="15" customHeight="1">
      <c r="A22" s="3" t="n"/>
      <c r="B22" s="112" t="n"/>
      <c r="C22" s="128" t="n"/>
      <c r="D22" s="129" t="n"/>
      <c r="E22" s="129" t="n"/>
      <c r="F22" s="129" t="n"/>
      <c r="G22" s="129" t="n"/>
      <c r="H22" s="129" t="n"/>
      <c r="I22" s="22" t="n"/>
    </row>
    <row r="23" ht="18" customHeight="1">
      <c r="A23" s="7" t="inlineStr">
        <is>
          <t xml:space="preserve"> </t>
        </is>
      </c>
      <c r="B23" s="134" t="inlineStr">
        <is>
          <t>ALTMAN Z-SCORE CALCULATION</t>
        </is>
      </c>
      <c r="C23" s="137" t="n"/>
      <c r="D23" s="136" t="n"/>
      <c r="E23" s="136" t="n"/>
      <c r="F23" s="136" t="n"/>
      <c r="G23" s="136" t="n"/>
      <c r="H23" s="136" t="n"/>
      <c r="I23" s="23" t="n"/>
      <c r="J23" s="47" t="n"/>
      <c r="K23" s="47" t="n"/>
      <c r="L23" s="47" t="n"/>
      <c r="M23" s="47" t="n"/>
      <c r="N23" s="47" t="n"/>
    </row>
    <row r="24" ht="15" customHeight="1">
      <c r="A24" s="3" t="n"/>
      <c r="B24" s="127" t="inlineStr">
        <is>
          <t>1.2 × X1</t>
        </is>
      </c>
      <c r="C24" s="128" t="n"/>
      <c r="D24" s="434">
        <f>IFERROR(1.2*D17,"–")</f>
        <v/>
      </c>
      <c r="E24" s="434">
        <f>IFERROR(1.2*E17,"–")</f>
        <v/>
      </c>
      <c r="F24" s="434">
        <f>IFERROR(1.2*F17,"–")</f>
        <v/>
      </c>
      <c r="G24" s="434">
        <f>IFERROR(1.2*G17,"–")</f>
        <v/>
      </c>
      <c r="H24" s="434">
        <f>IFERROR(1.2*H17,"–")</f>
        <v/>
      </c>
      <c r="I24" s="30" t="n"/>
    </row>
    <row r="25" ht="15" customHeight="1">
      <c r="A25" s="3" t="n"/>
      <c r="B25" s="127" t="inlineStr">
        <is>
          <t>1.4 × X2</t>
        </is>
      </c>
      <c r="C25" s="128" t="n"/>
      <c r="D25" s="434">
        <f>IFERROR(1.4*D18,"–")</f>
        <v/>
      </c>
      <c r="E25" s="434">
        <f>IFERROR(1.4*E18,"–")</f>
        <v/>
      </c>
      <c r="F25" s="434">
        <f>IFERROR(1.4*F18,"–")</f>
        <v/>
      </c>
      <c r="G25" s="434">
        <f>IFERROR(1.4*G18,"–")</f>
        <v/>
      </c>
      <c r="H25" s="434">
        <f>IFERROR(1.4*H18,"–")</f>
        <v/>
      </c>
      <c r="I25" s="30" t="n"/>
    </row>
    <row r="26" ht="15" customHeight="1">
      <c r="A26" s="3" t="n"/>
      <c r="B26" s="127" t="inlineStr">
        <is>
          <t>3.3 × X3</t>
        </is>
      </c>
      <c r="C26" s="128" t="n"/>
      <c r="D26" s="434">
        <f>IFERROR(3.3*D19,"–")</f>
        <v/>
      </c>
      <c r="E26" s="434">
        <f>IFERROR(3.3*E19,"–")</f>
        <v/>
      </c>
      <c r="F26" s="434">
        <f>IFERROR(3.3*F19,"–")</f>
        <v/>
      </c>
      <c r="G26" s="434">
        <f>IFERROR(3.3*G19,"–")</f>
        <v/>
      </c>
      <c r="H26" s="434">
        <f>IFERROR(3.3*H19,"–")</f>
        <v/>
      </c>
      <c r="I26" s="30" t="n"/>
    </row>
    <row r="27" ht="15" customHeight="1">
      <c r="A27" s="3" t="n"/>
      <c r="B27" s="127" t="inlineStr">
        <is>
          <t>0.6 × X4</t>
        </is>
      </c>
      <c r="C27" s="128" t="n"/>
      <c r="D27" s="434">
        <f>IFERROR(0.6*D20,"–")</f>
        <v/>
      </c>
      <c r="E27" s="434">
        <f>IFERROR(0.6*E20,"–")</f>
        <v/>
      </c>
      <c r="F27" s="434">
        <f>IFERROR(0.6*F20,"–")</f>
        <v/>
      </c>
      <c r="G27" s="434">
        <f>IFERROR(0.6*G20,"–")</f>
        <v/>
      </c>
      <c r="H27" s="434">
        <f>IFERROR(0.6*H20,"–")</f>
        <v/>
      </c>
      <c r="I27" s="30" t="n"/>
    </row>
    <row r="28" ht="15" customHeight="1">
      <c r="A28" s="3" t="n"/>
      <c r="B28" s="127" t="inlineStr">
        <is>
          <t>1.0 × X5</t>
        </is>
      </c>
      <c r="C28" s="128" t="n"/>
      <c r="D28" s="435">
        <f>IFERROR(1*D21,"–")</f>
        <v/>
      </c>
      <c r="E28" s="435">
        <f>IFERROR(1*E21,"–")</f>
        <v/>
      </c>
      <c r="F28" s="435">
        <f>IFERROR(1*F21,"–")</f>
        <v/>
      </c>
      <c r="G28" s="435">
        <f>IFERROR(1*G21,"–")</f>
        <v/>
      </c>
      <c r="H28" s="435">
        <f>IFERROR(1*H21,"–")</f>
        <v/>
      </c>
      <c r="I28" s="30" t="n"/>
    </row>
    <row r="29" ht="15" customHeight="1">
      <c r="A29" s="3" t="n"/>
      <c r="B29" s="112" t="n"/>
      <c r="C29" s="128" t="n"/>
      <c r="D29" s="129" t="n"/>
      <c r="E29" s="129" t="n"/>
      <c r="F29" s="129" t="n"/>
      <c r="G29" s="129" t="n"/>
      <c r="H29" s="129" t="n"/>
      <c r="I29" s="22" t="n"/>
    </row>
    <row r="30" ht="18" customHeight="1" thickBot="1">
      <c r="A30" s="126" t="inlineStr">
        <is>
          <t xml:space="preserve"> </t>
        </is>
      </c>
      <c r="B30" s="125" t="inlineStr">
        <is>
          <t>Z-SCORE (FINAL)</t>
        </is>
      </c>
      <c r="C30" s="131" t="n"/>
      <c r="D30" s="436">
        <f>IFERROR(D24+D25+D26+D27+D28,"–")</f>
        <v/>
      </c>
      <c r="E30" s="436">
        <f>IFERROR(E24+E25+E26+E27+E28,"–")</f>
        <v/>
      </c>
      <c r="F30" s="436">
        <f>IFERROR(F24+F25+F26+F27+F28,"–")</f>
        <v/>
      </c>
      <c r="G30" s="436">
        <f>IFERROR(G24+G25+G26+G27+G28,"–")</f>
        <v/>
      </c>
      <c r="H30" s="436">
        <f>IFERROR(H24+H25+H26+H27+H28,"–")</f>
        <v/>
      </c>
      <c r="I30" s="123" t="n"/>
      <c r="J30" s="108" t="n"/>
      <c r="K30" s="108" t="n"/>
      <c r="L30" s="108" t="n"/>
      <c r="M30" s="108" t="n"/>
      <c r="N30" s="108" t="n"/>
    </row>
    <row r="31" ht="15" customHeight="1">
      <c r="A31" s="3" t="n"/>
      <c r="B31" s="112" t="n"/>
      <c r="C31" s="128" t="n"/>
      <c r="D31" s="129" t="n"/>
      <c r="E31" s="129" t="n"/>
      <c r="F31" s="129" t="n"/>
      <c r="G31" s="129" t="n"/>
      <c r="H31" s="129" t="n"/>
      <c r="I31" s="22" t="n"/>
    </row>
    <row r="32" ht="18" customHeight="1">
      <c r="A32" s="7" t="inlineStr">
        <is>
          <t xml:space="preserve"> </t>
        </is>
      </c>
      <c r="B32" s="134" t="inlineStr">
        <is>
          <t>ZONE INTERPRETATION</t>
        </is>
      </c>
      <c r="C32" s="137" t="n"/>
      <c r="D32" s="136" t="n"/>
      <c r="E32" s="136" t="n"/>
      <c r="F32" s="136" t="n"/>
      <c r="G32" s="136" t="n"/>
      <c r="H32" s="136" t="n"/>
      <c r="I32" s="23" t="n"/>
      <c r="J32" s="47" t="n"/>
      <c r="K32" s="47" t="n"/>
      <c r="L32" s="47" t="n"/>
      <c r="M32" s="47" t="n"/>
      <c r="N32" s="47" t="n"/>
    </row>
    <row r="33" ht="15" customHeight="1">
      <c r="A33" s="3" t="n"/>
      <c r="B33" s="112" t="inlineStr">
        <is>
          <t>ZONE</t>
        </is>
      </c>
      <c r="C33" s="128" t="n"/>
      <c r="D33" s="295">
        <f>IFERROR(IF(D30&gt;2.99,"SAFE",IF(D30&gt;=1.81,"GREY","DISTRESS")),"–")</f>
        <v/>
      </c>
      <c r="E33" s="295">
        <f>IFERROR(IF(E30&gt;2.99,"SAFE",IF(E30&gt;=1.81,"GREY","DISTRESS")),"–")</f>
        <v/>
      </c>
      <c r="F33" s="295">
        <f>IFERROR(IF(F30&gt;2.99,"SAFE",IF(F30&gt;=1.81,"GREY","DISTRESS")),"–")</f>
        <v/>
      </c>
      <c r="G33" s="295">
        <f>IFERROR(IF(G30&gt;2.99,"SAFE",IF(G30&gt;=1.81,"GREY","DISTRESS")),"–")</f>
        <v/>
      </c>
      <c r="H33" s="295">
        <f>IFERROR(IF(H30&gt;2.99,"SAFE",IF(H30&gt;=1.81,"GREY","DISTRESS")),"–")</f>
        <v/>
      </c>
      <c r="I33" s="22" t="n"/>
    </row>
    <row r="34" ht="15" customHeight="1">
      <c r="A34" s="3" t="n"/>
      <c r="B34" s="112" t="n"/>
      <c r="C34" s="128" t="n"/>
      <c r="D34" s="129" t="n"/>
      <c r="E34" s="129" t="n"/>
      <c r="F34" s="129" t="n"/>
      <c r="G34" s="129" t="n"/>
      <c r="H34" s="129" t="n"/>
      <c r="I34" s="22" t="n"/>
    </row>
    <row r="35" ht="15" customHeight="1">
      <c r="A35" s="3" t="n"/>
      <c r="B35" s="112" t="inlineStr">
        <is>
          <t>SAFE ZONE</t>
        </is>
      </c>
      <c r="C35" s="128" t="n"/>
      <c r="D35" s="133" t="inlineStr">
        <is>
          <t>Low probability of bankruptcy</t>
        </is>
      </c>
      <c r="E35" s="129" t="n"/>
      <c r="F35" s="129" t="n"/>
      <c r="G35" s="129" t="n"/>
      <c r="H35" s="129" t="n"/>
      <c r="I35" s="61" t="n"/>
    </row>
    <row r="36" ht="15" customHeight="1">
      <c r="A36" s="3" t="n"/>
      <c r="B36" s="112" t="inlineStr">
        <is>
          <t>GREY ZONE</t>
        </is>
      </c>
      <c r="C36" s="128" t="n"/>
      <c r="D36" s="133" t="inlineStr">
        <is>
          <t>Some risk — monitor closely</t>
        </is>
      </c>
      <c r="E36" s="129" t="n"/>
      <c r="F36" s="129" t="n"/>
      <c r="G36" s="129" t="n"/>
      <c r="H36" s="129" t="n"/>
      <c r="I36" s="61" t="n"/>
    </row>
    <row r="37" ht="15" customHeight="1">
      <c r="A37" s="3" t="n"/>
      <c r="B37" s="112" t="inlineStr">
        <is>
          <t>DISTRESS ZONE</t>
        </is>
      </c>
      <c r="C37" s="128" t="n"/>
      <c r="D37" s="133" t="inlineStr">
        <is>
          <t>High probability of bankruptcy</t>
        </is>
      </c>
      <c r="E37" s="129" t="n"/>
      <c r="F37" s="129" t="n"/>
      <c r="G37" s="129" t="n"/>
      <c r="H37" s="129" t="n"/>
      <c r="I37" s="61" t="n"/>
    </row>
    <row r="38" ht="15" customHeight="1">
      <c r="A38" s="3" t="n"/>
      <c r="B38" s="112" t="n"/>
      <c r="C38" s="128" t="n"/>
      <c r="D38" s="129" t="n"/>
      <c r="E38" s="129" t="n"/>
      <c r="F38" s="129" t="n"/>
      <c r="G38" s="129" t="n"/>
      <c r="H38" s="129" t="n"/>
      <c r="I38" s="22" t="n"/>
    </row>
    <row r="39" ht="15" customHeight="1">
      <c r="A39" s="3" t="n"/>
      <c r="B39" s="132" t="inlineStr">
        <is>
          <t>NOTE: Altman Z-Score was developed by Edward Altman (1968) for publicly traded manufacturing companies.</t>
        </is>
      </c>
      <c r="C39" s="128" t="n"/>
      <c r="D39" s="129" t="n"/>
      <c r="E39" s="129" t="n"/>
      <c r="F39" s="129" t="n"/>
      <c r="G39" s="129" t="n"/>
      <c r="H39" s="129" t="n"/>
      <c r="I39" s="22" t="n"/>
    </row>
    <row r="40" ht="15" customHeight="1">
      <c r="A40" s="3" t="n"/>
      <c r="B40" s="132" t="inlineStr">
        <is>
          <t>Modified versions exist for private companies (Z') and non-manufacturing firms (Z'').</t>
        </is>
      </c>
      <c r="C40" s="128" t="n"/>
      <c r="D40" s="129" t="n"/>
      <c r="E40" s="129" t="n"/>
      <c r="F40" s="129" t="n"/>
      <c r="G40" s="129" t="n"/>
      <c r="H40" s="129" t="n"/>
      <c r="I40" s="22" t="n"/>
    </row>
    <row r="41" ht="15" customHeight="1">
      <c r="A41" s="3" t="n"/>
      <c r="B41" s="112" t="n"/>
      <c r="C41" s="133" t="n"/>
      <c r="D41" s="129" t="n"/>
      <c r="E41" s="129" t="n"/>
      <c r="F41" s="129" t="n"/>
      <c r="G41" s="129" t="n"/>
      <c r="H41" s="129" t="n"/>
      <c r="I41" s="22" t="n"/>
    </row>
    <row r="42" ht="15" customHeight="1">
      <c r="A42" s="4" t="n"/>
      <c r="B42" s="96" t="n"/>
      <c r="C42" s="96" t="n"/>
      <c r="D42" s="96" t="n"/>
      <c r="E42" s="96" t="n"/>
      <c r="F42" s="96" t="n"/>
      <c r="G42" s="96" t="n"/>
      <c r="H42" s="96" t="n"/>
      <c r="I42" s="34" t="n"/>
      <c r="J42" s="96" t="n"/>
      <c r="K42" s="96" t="n"/>
      <c r="L42" s="96" t="n"/>
      <c r="M42" s="96" t="n"/>
      <c r="N42" s="96" t="n"/>
    </row>
    <row r="43" ht="15" customHeight="1">
      <c r="A43" s="4" t="n"/>
      <c r="B43" s="96" t="n"/>
      <c r="C43" s="96" t="n"/>
      <c r="D43" s="96" t="n"/>
      <c r="E43" s="96" t="n"/>
      <c r="F43" s="96" t="n"/>
      <c r="G43" s="96" t="n"/>
      <c r="H43" s="96" t="n"/>
      <c r="I43" s="34" t="n"/>
      <c r="J43" s="96" t="n"/>
      <c r="K43" s="96" t="n"/>
      <c r="L43" s="96" t="n"/>
      <c r="M43" s="96" t="n"/>
      <c r="N43" s="96" t="n"/>
    </row>
    <row r="44" ht="15" customHeight="1">
      <c r="A44" s="4" t="n"/>
      <c r="B44" s="96" t="n"/>
      <c r="C44" s="96" t="n"/>
      <c r="D44" s="96" t="n"/>
      <c r="E44" s="96" t="n"/>
      <c r="F44" s="96" t="n"/>
      <c r="G44" s="96" t="n"/>
      <c r="H44" s="96" t="n"/>
      <c r="I44" s="34" t="n"/>
      <c r="J44" s="96" t="n"/>
      <c r="K44" s="96" t="n"/>
      <c r="L44" s="96" t="n"/>
      <c r="M44" s="96" t="n"/>
      <c r="N44" s="96" t="n"/>
    </row>
    <row r="45" ht="15" customHeight="1">
      <c r="B45" s="51" t="n"/>
    </row>
    <row r="46" ht="15" customHeight="1">
      <c r="B46" s="51" t="n"/>
    </row>
    <row r="47" ht="15" customHeight="1">
      <c r="B47" s="51" t="n"/>
    </row>
    <row r="48" ht="15" customHeight="1">
      <c r="B48" s="51" t="n"/>
    </row>
    <row r="49" ht="15" customHeight="1">
      <c r="B49" s="51" t="n"/>
    </row>
    <row r="50" ht="15" customHeight="1">
      <c r="B50" s="51" t="n"/>
    </row>
    <row r="51" ht="15" customHeight="1">
      <c r="B51" s="51" t="n"/>
    </row>
    <row r="52" ht="15" customHeight="1">
      <c r="B52" s="51" t="n"/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3"/>
  <sheetViews>
    <sheetView showGridLines="0" workbookViewId="0">
      <selection activeCell="C8" sqref="C8"/>
    </sheetView>
  </sheetViews>
  <sheetFormatPr baseColWidth="10" defaultRowHeight="14.4"/>
  <cols>
    <col width="11" customWidth="1" min="1" max="1"/>
    <col width="53" customWidth="1" style="19" min="2" max="2"/>
    <col width="1" customWidth="1" style="19" min="3" max="3"/>
    <col width="13.33203125" customWidth="1" style="21" min="4" max="5"/>
    <col width="16.109375" bestFit="1" customWidth="1" style="21" min="6" max="6"/>
    <col width="18.33203125" bestFit="1" customWidth="1" style="21" min="7" max="7"/>
    <col width="11.5546875" customWidth="1" style="21" min="8" max="13"/>
  </cols>
  <sheetData>
    <row r="1" ht="54.9" customHeight="1">
      <c r="A1" s="6" t="n"/>
      <c r="B1" s="118" t="inlineStr">
        <is>
          <t>FinSight</t>
        </is>
      </c>
      <c r="C1" s="26" t="n"/>
      <c r="D1" s="29" t="n"/>
      <c r="E1" s="29" t="n"/>
      <c r="F1" s="117" t="inlineStr">
        <is>
          <t>BENEISH M-SCORE — Earnings Manipulation</t>
        </is>
      </c>
      <c r="G1" s="20" t="n"/>
      <c r="H1" s="20" t="n"/>
      <c r="I1" s="20" t="n"/>
      <c r="J1" s="20" t="n"/>
      <c r="K1" s="20" t="n"/>
      <c r="L1" s="20" t="n"/>
      <c r="M1" s="20" t="n"/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  <c r="G3" s="47" t="n"/>
      <c r="H3" s="47" t="n"/>
      <c r="I3" s="47" t="n"/>
      <c r="J3" s="47" t="n"/>
      <c r="K3" s="47" t="n"/>
      <c r="L3" s="47" t="n"/>
      <c r="M3" s="47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>
        <f>IF(INPUT!$G$128&gt;=2,INPUT!$D$117-1,"")&amp;IF(INPUT!$G$128&gt;=2," (t-1)","")</f>
        <v/>
      </c>
      <c r="E5" s="16">
        <f>IF(INPUT!H5="","",INPUT!H5)</f>
        <v/>
      </c>
      <c r="F5" s="16" t="inlineStr">
        <is>
          <t>Year t (Current)</t>
        </is>
      </c>
      <c r="G5" s="16" t="inlineStr">
        <is>
          <t>WEIGHTED VALUE</t>
        </is>
      </c>
      <c r="H5" s="1" t="n"/>
      <c r="I5" s="1" t="n"/>
      <c r="J5" s="1" t="n"/>
      <c r="K5" s="1" t="n"/>
      <c r="L5" s="1" t="n"/>
      <c r="M5" s="1" t="n"/>
    </row>
    <row r="6" ht="15" customHeight="1">
      <c r="A6" s="3" t="n"/>
      <c r="B6" s="14" t="n"/>
      <c r="C6" s="14" t="n"/>
      <c r="D6" s="14" t="n"/>
      <c r="E6" s="22" t="n"/>
      <c r="F6" s="22" t="n"/>
      <c r="G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15" t="n"/>
      <c r="E7" s="23" t="n"/>
      <c r="F7" s="23" t="n"/>
      <c r="G7" s="23" t="n"/>
      <c r="H7" s="47" t="n"/>
      <c r="I7" s="47" t="n"/>
      <c r="J7" s="47" t="n"/>
      <c r="K7" s="47" t="n"/>
      <c r="L7" s="47" t="n"/>
      <c r="M7" s="47" t="n"/>
    </row>
    <row r="8" ht="18" customHeight="1">
      <c r="A8" s="126" t="n"/>
      <c r="B8" s="124" t="n"/>
      <c r="C8" s="124" t="n"/>
      <c r="D8" s="124" t="n"/>
      <c r="E8" s="123" t="n"/>
      <c r="F8" s="123" t="n"/>
      <c r="G8" s="123" t="n"/>
      <c r="H8" s="108" t="n"/>
      <c r="I8" s="108" t="n"/>
      <c r="J8" s="108" t="n"/>
      <c r="K8" s="108" t="n"/>
      <c r="L8" s="108" t="n"/>
      <c r="M8" s="108" t="n"/>
    </row>
    <row r="9" ht="15" customHeight="1">
      <c r="A9" s="3" t="n"/>
      <c r="B9" s="17" t="inlineStr">
        <is>
          <t>Net Sales (Revenue)</t>
        </is>
      </c>
      <c r="C9" s="17" t="n"/>
      <c r="D9" s="17" t="n"/>
      <c r="E9" s="296">
        <f>INPUT!E9</f>
        <v/>
      </c>
      <c r="F9" s="296">
        <f>INPUT!F9</f>
        <v/>
      </c>
      <c r="G9" s="61" t="n"/>
    </row>
    <row r="10" ht="15" customHeight="1">
      <c r="A10" s="3" t="n"/>
      <c r="B10" s="17" t="inlineStr">
        <is>
          <t>Cost of Goods Sold</t>
        </is>
      </c>
      <c r="C10" s="17" t="n"/>
      <c r="D10" s="17" t="n"/>
      <c r="E10" s="296">
        <f>ABS(INPUT!E10)</f>
        <v/>
      </c>
      <c r="F10" s="296">
        <f>ABS(INPUT!F10)</f>
        <v/>
      </c>
      <c r="G10" s="61" t="n"/>
    </row>
    <row r="11" ht="15" customHeight="1">
      <c r="A11" s="3" t="n"/>
      <c r="B11" s="17" t="inlineStr">
        <is>
          <t>Gross Profit</t>
        </is>
      </c>
      <c r="C11" s="17" t="n"/>
      <c r="D11" s="17" t="n"/>
      <c r="E11" s="296">
        <f>INPUT!E11</f>
        <v/>
      </c>
      <c r="F11" s="296">
        <f>INPUT!F11</f>
        <v/>
      </c>
      <c r="G11" s="61" t="n"/>
    </row>
    <row r="12" ht="15" customHeight="1">
      <c r="A12" s="3" t="n"/>
      <c r="B12" s="17" t="inlineStr">
        <is>
          <t>Total Current Assets</t>
        </is>
      </c>
      <c r="C12" s="17" t="n"/>
      <c r="D12" s="17" t="n"/>
      <c r="E12" s="296">
        <f>INPUT!E38</f>
        <v/>
      </c>
      <c r="F12" s="296">
        <f>INPUT!F38</f>
        <v/>
      </c>
      <c r="G12" s="61" t="n"/>
    </row>
    <row r="13" ht="15" customHeight="1">
      <c r="A13" s="3" t="n"/>
      <c r="B13" s="17" t="inlineStr">
        <is>
          <t>PP&amp;E (Net)</t>
        </is>
      </c>
      <c r="C13" s="17" t="n"/>
      <c r="D13" s="17" t="n"/>
      <c r="E13" s="296">
        <f>INPUT!E41</f>
        <v/>
      </c>
      <c r="F13" s="296">
        <f>INPUT!F41</f>
        <v/>
      </c>
      <c r="G13" s="61" t="n"/>
    </row>
    <row r="14" ht="15" customHeight="1">
      <c r="A14" s="3" t="n"/>
      <c r="B14" s="17" t="inlineStr">
        <is>
          <t>Total Assets</t>
        </is>
      </c>
      <c r="C14" s="17" t="n"/>
      <c r="D14" s="17" t="n"/>
      <c r="E14" s="296">
        <f>INPUT!E44</f>
        <v/>
      </c>
      <c r="F14" s="296">
        <f>INPUT!F44</f>
        <v/>
      </c>
      <c r="G14" s="61" t="n"/>
    </row>
    <row r="15" ht="15" customHeight="1">
      <c r="A15" s="3" t="n"/>
      <c r="B15" s="17" t="inlineStr">
        <is>
          <t>Total Current Liabilities</t>
        </is>
      </c>
      <c r="C15" s="17" t="n"/>
      <c r="D15" s="17" t="n"/>
      <c r="E15" s="296">
        <f>INPUT!E51</f>
        <v/>
      </c>
      <c r="F15" s="296">
        <f>INPUT!F51</f>
        <v/>
      </c>
      <c r="G15" s="61" t="n"/>
    </row>
    <row r="16" ht="15" customHeight="1">
      <c r="A16" s="3" t="n"/>
      <c r="B16" s="17" t="inlineStr">
        <is>
          <t>Long-Term Debt</t>
        </is>
      </c>
      <c r="C16" s="17" t="n"/>
      <c r="D16" s="17" t="n"/>
      <c r="E16" s="296">
        <f>INPUT!E54</f>
        <v/>
      </c>
      <c r="F16" s="296">
        <f>INPUT!F54</f>
        <v/>
      </c>
      <c r="G16" s="61" t="n"/>
    </row>
    <row r="17" ht="15" customHeight="1">
      <c r="A17" s="3" t="n"/>
      <c r="B17" s="17" t="inlineStr">
        <is>
          <t>Net Income</t>
        </is>
      </c>
      <c r="C17" s="17" t="n"/>
      <c r="D17" s="17" t="n"/>
      <c r="E17" s="296">
        <f>INPUT!E26</f>
        <v/>
      </c>
      <c r="F17" s="296">
        <f>INPUT!F26</f>
        <v/>
      </c>
      <c r="G17" s="61" t="n"/>
    </row>
    <row r="18" ht="15" customHeight="1">
      <c r="A18" s="3" t="n"/>
      <c r="B18" s="17" t="inlineStr">
        <is>
          <t>Cash from Operations (CFO)</t>
        </is>
      </c>
      <c r="C18" s="17" t="n"/>
      <c r="D18" s="17" t="n"/>
      <c r="E18" s="296">
        <f>INPUT!E75</f>
        <v/>
      </c>
      <c r="F18" s="296">
        <f>INPUT!F75</f>
        <v/>
      </c>
      <c r="G18" s="61" t="n"/>
    </row>
    <row r="19" ht="15" customHeight="1">
      <c r="A19" s="3" t="n"/>
      <c r="B19" s="17" t="inlineStr">
        <is>
          <t>Depreciation &amp; Amortization</t>
        </is>
      </c>
      <c r="C19" s="17" t="n"/>
      <c r="D19" s="17" t="n"/>
      <c r="E19" s="296">
        <f>INPUT!E16</f>
        <v/>
      </c>
      <c r="F19" s="296">
        <f>INPUT!F16</f>
        <v/>
      </c>
      <c r="G19" s="61" t="n"/>
    </row>
    <row r="20" ht="15" customHeight="1">
      <c r="A20" s="3" t="n"/>
      <c r="B20" s="17" t="inlineStr">
        <is>
          <t>SG&amp;A Expense</t>
        </is>
      </c>
      <c r="C20" s="17" t="n"/>
      <c r="D20" s="17" t="n"/>
      <c r="E20" s="297">
        <f>ABS(INPUT!E14)</f>
        <v/>
      </c>
      <c r="F20" s="297">
        <f>ABS(INPUT!F14)</f>
        <v/>
      </c>
      <c r="G20" s="61" t="n"/>
    </row>
    <row r="21" ht="15" customHeight="1">
      <c r="A21" s="3" t="n"/>
      <c r="B21" s="14" t="n"/>
      <c r="C21" s="14" t="n"/>
      <c r="D21" s="61" t="n"/>
      <c r="E21" s="61" t="n"/>
      <c r="F21" s="61" t="n"/>
    </row>
    <row r="22" ht="18" customHeight="1">
      <c r="A22" s="7" t="inlineStr">
        <is>
          <t xml:space="preserve"> </t>
        </is>
      </c>
      <c r="B22" s="53" t="inlineStr">
        <is>
          <t>8 BENEISH INDICES</t>
        </is>
      </c>
      <c r="C22" s="53" t="n"/>
      <c r="D22" s="23" t="n"/>
      <c r="E22" s="23" t="n"/>
      <c r="F22" s="23" t="n"/>
      <c r="G22" s="47" t="n"/>
      <c r="H22" s="47" t="n"/>
      <c r="I22" s="47" t="n"/>
      <c r="J22" s="47" t="n"/>
      <c r="K22" s="47" t="n"/>
      <c r="L22" s="47" t="n"/>
      <c r="M22" s="47" t="n"/>
    </row>
    <row r="23" ht="18" customHeight="1">
      <c r="A23" s="126" t="n"/>
      <c r="B23" s="139" t="n"/>
      <c r="C23" s="139" t="n"/>
      <c r="D23" s="123" t="n"/>
      <c r="E23" s="123" t="n"/>
      <c r="F23" s="123" t="n"/>
      <c r="G23" s="108" t="n"/>
      <c r="H23" s="108" t="n"/>
      <c r="I23" s="108" t="n"/>
      <c r="J23" s="108" t="n"/>
      <c r="K23" s="108" t="n"/>
      <c r="L23" s="108" t="n"/>
      <c r="M23" s="108" t="n"/>
    </row>
    <row r="24" ht="15" customHeight="1">
      <c r="A24" s="3" t="n"/>
      <c r="B24" s="17" t="inlineStr">
        <is>
          <t>DSRI — Days Sales Receivable Index</t>
        </is>
      </c>
      <c r="C24" s="17" t="n"/>
      <c r="D24" s="421" t="n"/>
      <c r="F24" s="437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17" t="n"/>
      <c r="D25" s="421" t="n"/>
      <c r="F25" s="437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17" t="n"/>
      <c r="D26" s="421" t="n"/>
      <c r="F26" s="437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17" t="n"/>
      <c r="D27" s="421" t="n"/>
      <c r="F27" s="437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17" t="n"/>
      <c r="D28" s="421" t="n"/>
      <c r="F28" s="437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17" t="n"/>
      <c r="D29" s="421" t="n"/>
      <c r="F29" s="437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17" t="n"/>
      <c r="D30" s="421" t="n"/>
      <c r="F30" s="437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17" t="n"/>
      <c r="D31" s="421" t="n"/>
      <c r="F31" s="438">
        <f>IFERROR(((F16+F15)/F14)/((E16+E15)/E14),"–")</f>
        <v/>
      </c>
    </row>
    <row r="32" ht="15" customHeight="1">
      <c r="A32" s="3" t="n"/>
      <c r="B32" s="14" t="n"/>
      <c r="C32" s="14" t="n"/>
      <c r="D32" s="61" t="n"/>
      <c r="E32" s="61" t="n"/>
      <c r="F32" s="61" t="n"/>
    </row>
    <row r="33" ht="18" customHeight="1">
      <c r="A33" s="7" t="inlineStr">
        <is>
          <t xml:space="preserve"> </t>
        </is>
      </c>
      <c r="B33" s="53" t="inlineStr">
        <is>
          <t>M-SCORE WEIGHTED CALCULATION</t>
        </is>
      </c>
      <c r="C33" s="53" t="n"/>
      <c r="D33" s="23" t="n"/>
      <c r="E33" s="23" t="n"/>
      <c r="F33" s="23" t="n"/>
      <c r="G33" s="47" t="n"/>
      <c r="H33" s="47" t="n"/>
      <c r="I33" s="47" t="n"/>
      <c r="J33" s="47" t="n"/>
      <c r="K33" s="47" t="n"/>
      <c r="L33" s="47" t="n"/>
      <c r="M33" s="47" t="n"/>
    </row>
    <row r="34" ht="18" customHeight="1">
      <c r="A34" s="126" t="n"/>
      <c r="B34" s="139" t="n"/>
      <c r="C34" s="139" t="n"/>
      <c r="D34" s="123" t="n"/>
      <c r="E34" s="123" t="n"/>
      <c r="F34" s="123" t="n"/>
      <c r="G34" s="108" t="n"/>
      <c r="H34" s="108" t="n"/>
      <c r="I34" s="108" t="n"/>
      <c r="J34" s="108" t="n"/>
      <c r="K34" s="108" t="n"/>
      <c r="L34" s="108" t="n"/>
      <c r="M34" s="108" t="n"/>
    </row>
    <row r="35" ht="15" customHeight="1">
      <c r="A35" s="3" t="n"/>
      <c r="B35" s="17" t="inlineStr">
        <is>
          <t>Constant</t>
        </is>
      </c>
      <c r="C35" s="17" t="n"/>
      <c r="D35" s="421" t="n"/>
      <c r="F35" s="437">
        <f>-4.84</f>
        <v/>
      </c>
    </row>
    <row r="36" ht="15" customHeight="1">
      <c r="A36" s="3" t="n"/>
      <c r="B36" s="17" t="inlineStr">
        <is>
          <t>0.920 × DSRI</t>
        </is>
      </c>
      <c r="C36" s="17" t="n"/>
      <c r="D36" s="421" t="n"/>
      <c r="F36" s="437">
        <f>IFERROR(0.92*F24,"–")</f>
        <v/>
      </c>
    </row>
    <row r="37" ht="15" customHeight="1">
      <c r="A37" s="3" t="n"/>
      <c r="B37" s="17" t="inlineStr">
        <is>
          <t>0.528 × GMI</t>
        </is>
      </c>
      <c r="C37" s="17" t="n"/>
      <c r="D37" s="421" t="n"/>
      <c r="F37" s="437">
        <f>IFERROR(0.528*F25,"–")</f>
        <v/>
      </c>
    </row>
    <row r="38" ht="15" customHeight="1">
      <c r="A38" s="3" t="n"/>
      <c r="B38" s="17" t="inlineStr">
        <is>
          <t>0.404 × AQI</t>
        </is>
      </c>
      <c r="C38" s="17" t="n"/>
      <c r="D38" s="421" t="n"/>
      <c r="F38" s="437">
        <f>IFERROR(0.404*F26,"–")</f>
        <v/>
      </c>
    </row>
    <row r="39" ht="15" customHeight="1">
      <c r="A39" s="3" t="n"/>
      <c r="B39" s="17" t="inlineStr">
        <is>
          <t>0.892 × SGI</t>
        </is>
      </c>
      <c r="C39" s="17" t="n"/>
      <c r="D39" s="421" t="n"/>
      <c r="F39" s="437">
        <f>IFERROR(0.892*F27,"–")</f>
        <v/>
      </c>
    </row>
    <row r="40" ht="15" customHeight="1">
      <c r="A40" s="3" t="n"/>
      <c r="B40" s="17" t="inlineStr">
        <is>
          <t>0.115 × DEPI</t>
        </is>
      </c>
      <c r="C40" s="17" t="n"/>
      <c r="D40" s="421" t="n"/>
      <c r="F40" s="437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17" t="n"/>
      <c r="D41" s="421" t="n"/>
      <c r="F41" s="437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17" t="n"/>
      <c r="D42" s="421" t="n"/>
      <c r="F42" s="437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17" t="n"/>
      <c r="D43" s="421" t="n"/>
      <c r="F43" s="438">
        <f>IFERROR(-0.327*F31,"–")</f>
        <v/>
      </c>
    </row>
    <row r="44" ht="15" customHeight="1">
      <c r="A44" s="3" t="n"/>
      <c r="B44" s="14" t="n"/>
      <c r="C44" s="14" t="n"/>
      <c r="D44" s="61" t="n"/>
      <c r="E44" s="61" t="n"/>
      <c r="F44" s="61" t="n"/>
    </row>
    <row r="45" ht="18" customHeight="1">
      <c r="A45" s="7" t="inlineStr">
        <is>
          <t xml:space="preserve"> </t>
        </is>
      </c>
      <c r="B45" s="70" t="inlineStr">
        <is>
          <t>M-SCORE (FINAL)</t>
        </is>
      </c>
      <c r="C45" s="70" t="n"/>
      <c r="D45" s="422" t="n"/>
      <c r="F45" s="300">
        <f>IFERROR(F35+F36+F37+F38+F39+F40+F41+F42+F43,"–")</f>
        <v/>
      </c>
      <c r="G45" s="47" t="n"/>
      <c r="H45" s="47" t="n"/>
      <c r="I45" s="47" t="n"/>
      <c r="J45" s="47" t="n"/>
      <c r="K45" s="47" t="n"/>
      <c r="L45" s="47" t="n"/>
      <c r="M45" s="47" t="n"/>
    </row>
    <row r="46" ht="15" customHeight="1">
      <c r="A46" s="3" t="n"/>
      <c r="B46" s="14" t="n"/>
      <c r="C46" s="14" t="n"/>
      <c r="D46" s="421" t="n"/>
      <c r="E46" s="421" t="n"/>
      <c r="F46" s="22" t="n"/>
    </row>
    <row r="47" ht="18" customHeight="1">
      <c r="A47" s="7" t="inlineStr">
        <is>
          <t xml:space="preserve"> </t>
        </is>
      </c>
      <c r="B47" s="53" t="inlineStr">
        <is>
          <t>INTERPRETATION</t>
        </is>
      </c>
      <c r="C47" s="53" t="n"/>
      <c r="D47" s="97" t="n"/>
      <c r="E47" s="97" t="n"/>
      <c r="F47" s="23" t="n"/>
      <c r="G47" s="47" t="n"/>
      <c r="H47" s="47" t="n"/>
      <c r="I47" s="47" t="n"/>
      <c r="J47" s="47" t="n"/>
      <c r="K47" s="47" t="n"/>
      <c r="L47" s="47" t="n"/>
      <c r="M47" s="47" t="n"/>
    </row>
    <row r="48" ht="15" customHeight="1">
      <c r="A48" s="3" t="n"/>
      <c r="B48" s="14" t="inlineStr">
        <is>
          <t>RESULT</t>
        </is>
      </c>
      <c r="C48" s="14" t="n"/>
      <c r="D48" s="420" t="n"/>
      <c r="F48" s="301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14" t="n"/>
      <c r="D49" s="22" t="n"/>
      <c r="E49" s="22" t="n"/>
      <c r="F49" s="22" t="n"/>
    </row>
    <row r="50" ht="15" customHeight="1">
      <c r="A50" s="3" t="n"/>
      <c r="B50" s="62" t="inlineStr">
        <is>
          <t>NOT LIKELY MANIPULATOR</t>
        </is>
      </c>
      <c r="C50" s="62" t="n"/>
      <c r="D50" s="61" t="n"/>
      <c r="E50" s="61" t="n"/>
      <c r="F50" s="61" t="n"/>
    </row>
    <row r="51" ht="15" customHeight="1">
      <c r="A51" s="3" t="n"/>
      <c r="B51" s="63" t="inlineStr">
        <is>
          <t>POSSIBLE MANIPULATOR</t>
        </is>
      </c>
      <c r="C51" s="63" t="n"/>
      <c r="D51" s="61" t="n"/>
      <c r="E51" s="61" t="n"/>
      <c r="F51" s="61" t="n"/>
    </row>
    <row r="52" ht="15" customHeight="1">
      <c r="A52" s="3" t="n"/>
      <c r="B52" s="14" t="n"/>
      <c r="C52" s="14" t="n"/>
      <c r="D52" s="22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18" t="n"/>
      <c r="D53" s="22" t="n"/>
      <c r="E53" s="22" t="n"/>
      <c r="F53" s="22" t="n"/>
    </row>
    <row r="54" ht="15" customHeight="1">
      <c r="A54" s="3" t="n"/>
      <c r="B54" s="14" t="n"/>
      <c r="C54" s="14" t="n"/>
      <c r="D54" s="22" t="n"/>
      <c r="E54" s="22" t="n"/>
      <c r="F54" s="22" t="n"/>
    </row>
    <row r="55" ht="15" customHeight="1">
      <c r="A55" s="4" t="n"/>
      <c r="B55" s="33" t="inlineStr">
        <is>
          <t>© 2015 to 2024 FinSight</t>
        </is>
      </c>
      <c r="C55" s="33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</row>
    <row r="56" ht="15" customHeight="1">
      <c r="A56" s="4" t="n"/>
      <c r="B56" s="33" t="inlineStr">
        <is>
          <t>This Excel model is for educational purposes only.</t>
        </is>
      </c>
      <c r="C56" s="33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</row>
    <row r="57" ht="15" customHeight="1">
      <c r="A57" s="4" t="n"/>
      <c r="B57" s="33" t="inlineStr">
        <is>
          <t>https://finsight.com/</t>
        </is>
      </c>
      <c r="C57" s="33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</row>
    <row r="58" ht="15" customHeight="1">
      <c r="B58" s="51" t="n"/>
      <c r="C58" s="51" t="n"/>
    </row>
    <row r="59" ht="15" customHeight="1">
      <c r="B59" s="51" t="n"/>
      <c r="C59" s="51" t="n"/>
    </row>
    <row r="60" ht="15" customHeight="1">
      <c r="B60" s="51" t="n"/>
      <c r="C60" s="51" t="n"/>
    </row>
    <row r="61" ht="15" customHeight="1">
      <c r="B61" s="51" t="n"/>
      <c r="C61" s="51" t="n"/>
    </row>
    <row r="62" ht="15" customHeight="1">
      <c r="B62" s="51" t="n"/>
      <c r="C62" s="51" t="n"/>
    </row>
    <row r="63" ht="15" customHeight="1">
      <c r="B63" s="51" t="n"/>
      <c r="C63" s="51" t="n"/>
    </row>
    <row r="64" ht="15" customHeight="1">
      <c r="B64" s="51" t="n"/>
      <c r="C64" s="51" t="n"/>
    </row>
    <row r="65" ht="15" customHeight="1">
      <c r="B65" s="51" t="n"/>
      <c r="C65" s="51" t="n"/>
    </row>
    <row r="66" ht="15" customHeight="1">
      <c r="B66" s="51" t="n"/>
      <c r="C66" s="51" t="n"/>
    </row>
    <row r="67" ht="15" customHeight="1">
      <c r="B67" s="51" t="n"/>
      <c r="C67" s="51" t="n"/>
    </row>
    <row r="68" ht="15" customHeight="1">
      <c r="B68" s="51" t="n"/>
      <c r="C68" s="51" t="n"/>
    </row>
    <row r="69" ht="15" customHeight="1">
      <c r="B69" s="51" t="n"/>
      <c r="C69" s="51" t="n"/>
    </row>
    <row r="70" ht="15" customHeight="1">
      <c r="B70" s="51" t="n"/>
      <c r="C70" s="51" t="n"/>
    </row>
    <row r="71" ht="15" customHeight="1">
      <c r="B71" s="51" t="n"/>
      <c r="C71" s="51" t="n"/>
    </row>
    <row r="72" ht="15" customHeight="1">
      <c r="B72" s="51" t="n"/>
      <c r="C72" s="51" t="n"/>
    </row>
    <row r="73" ht="15" customHeight="1">
      <c r="B73" s="51" t="n"/>
      <c r="C73" s="51" t="n"/>
    </row>
    <row r="74" ht="15" customHeight="1">
      <c r="B74" s="51" t="n"/>
      <c r="C74" s="51" t="n"/>
    </row>
    <row r="75" ht="15" customHeight="1">
      <c r="B75" s="51" t="n"/>
      <c r="C75" s="51" t="n"/>
    </row>
    <row r="76" ht="15" customHeight="1">
      <c r="B76" s="51" t="n"/>
      <c r="C76" s="51" t="n"/>
    </row>
    <row r="77" ht="15" customHeight="1">
      <c r="B77" s="51" t="n"/>
      <c r="C77" s="51" t="n"/>
    </row>
    <row r="78" ht="15" customHeight="1">
      <c r="B78" s="51" t="n"/>
      <c r="C78" s="51" t="n"/>
    </row>
    <row r="79" ht="15" customHeight="1">
      <c r="B79" s="51" t="n"/>
      <c r="C79" s="51" t="n"/>
    </row>
    <row r="80" ht="15" customHeight="1">
      <c r="B80" s="51" t="n"/>
      <c r="C80" s="51" t="n"/>
    </row>
    <row r="81" ht="15" customHeight="1">
      <c r="B81" s="51" t="n"/>
      <c r="C81" s="51" t="n"/>
    </row>
    <row r="82" ht="15" customHeight="1">
      <c r="B82" s="51" t="n"/>
      <c r="C82" s="51" t="n"/>
    </row>
    <row r="83" ht="15" customHeight="1">
      <c r="B83" s="51" t="n"/>
      <c r="C83" s="51" t="n"/>
    </row>
    <row r="84" ht="15" customHeight="1">
      <c r="B84" s="51" t="n"/>
      <c r="C84" s="51" t="n"/>
    </row>
    <row r="85" ht="15" customHeight="1">
      <c r="B85" s="51" t="n"/>
      <c r="C85" s="51" t="n"/>
    </row>
    <row r="86" ht="15" customHeight="1">
      <c r="B86" s="51" t="n"/>
      <c r="C86" s="51" t="n"/>
    </row>
    <row r="87" ht="15" customHeight="1">
      <c r="B87" s="51" t="n"/>
      <c r="C87" s="51" t="n"/>
    </row>
    <row r="88" ht="15" customHeight="1">
      <c r="B88" s="51" t="n"/>
      <c r="C88" s="51" t="n"/>
    </row>
    <row r="89" ht="15" customHeight="1">
      <c r="B89" s="51" t="n"/>
      <c r="C89" s="51" t="n"/>
    </row>
    <row r="90" ht="15" customHeight="1">
      <c r="B90" s="51" t="n"/>
      <c r="C90" s="51" t="n"/>
    </row>
    <row r="91" ht="15" customHeight="1">
      <c r="B91" s="51" t="n"/>
      <c r="C91" s="51" t="n"/>
    </row>
    <row r="92" ht="15" customHeight="1">
      <c r="B92" s="51" t="n"/>
      <c r="C92" s="51" t="n"/>
    </row>
    <row r="93" ht="15" customHeight="1">
      <c r="B93" s="51" t="n"/>
      <c r="C93" s="51" t="n"/>
    </row>
    <row r="94" ht="15" customHeight="1">
      <c r="B94" s="51" t="n"/>
      <c r="C94" s="51" t="n"/>
    </row>
    <row r="95" ht="15" customHeight="1">
      <c r="B95" s="51" t="n"/>
      <c r="C95" s="51" t="n"/>
    </row>
    <row r="96" ht="15" customHeight="1">
      <c r="B96" s="51" t="n"/>
      <c r="C96" s="51" t="n"/>
    </row>
    <row r="97" ht="15" customHeight="1">
      <c r="B97" s="51" t="n"/>
      <c r="C97" s="51" t="n"/>
    </row>
    <row r="98" ht="15" customHeight="1">
      <c r="B98" s="51" t="n"/>
      <c r="C98" s="51" t="n"/>
    </row>
    <row r="99" ht="15" customHeight="1">
      <c r="B99" s="51" t="n"/>
      <c r="C99" s="51" t="n"/>
    </row>
    <row r="100" ht="15" customHeight="1">
      <c r="B100" s="51" t="n"/>
      <c r="C100" s="51" t="n"/>
    </row>
    <row r="101" ht="15" customHeight="1">
      <c r="B101" s="51" t="n"/>
      <c r="C101" s="51" t="n"/>
    </row>
    <row r="102" ht="15" customHeight="1">
      <c r="B102" s="51" t="n"/>
      <c r="C102" s="51" t="n"/>
    </row>
    <row r="103" ht="15" customHeight="1">
      <c r="B103" s="51" t="n"/>
      <c r="C103" s="51" t="n"/>
    </row>
    <row r="104" ht="15" customHeight="1">
      <c r="B104" s="51" t="n"/>
      <c r="C104" s="51" t="n"/>
    </row>
    <row r="105" ht="15" customHeight="1">
      <c r="B105" s="51" t="n"/>
      <c r="C105" s="51" t="n"/>
    </row>
    <row r="106" ht="15" customHeight="1">
      <c r="B106" s="51" t="n"/>
      <c r="C106" s="51" t="n"/>
    </row>
    <row r="107" ht="15" customHeight="1">
      <c r="B107" s="51" t="n"/>
      <c r="C107" s="51" t="n"/>
    </row>
    <row r="108" ht="15" customHeight="1">
      <c r="B108" s="51" t="n"/>
      <c r="C108" s="51" t="n"/>
    </row>
    <row r="109" ht="15" customHeight="1">
      <c r="B109" s="51" t="n"/>
      <c r="C109" s="51" t="n"/>
    </row>
    <row r="110" ht="15" customHeight="1">
      <c r="B110" s="51" t="n"/>
      <c r="C110" s="51" t="n"/>
    </row>
    <row r="111" ht="15" customHeight="1">
      <c r="B111" s="51" t="n"/>
      <c r="C111" s="51" t="n"/>
    </row>
    <row r="112" ht="15" customHeight="1">
      <c r="B112" s="51" t="n"/>
      <c r="C112" s="51" t="n"/>
    </row>
    <row r="113" ht="15" customHeight="1">
      <c r="B113" s="51" t="n"/>
      <c r="C113" s="51" t="n"/>
    </row>
    <row r="114" ht="15" customHeight="1">
      <c r="B114" s="51" t="n"/>
      <c r="C114" s="51" t="n"/>
    </row>
    <row r="115" ht="15" customHeight="1">
      <c r="B115" s="51" t="n"/>
      <c r="C115" s="51" t="n"/>
    </row>
    <row r="116" ht="15" customHeight="1">
      <c r="B116" s="51" t="n"/>
      <c r="C116" s="51" t="n"/>
    </row>
    <row r="117" ht="15" customHeight="1">
      <c r="B117" s="51" t="n"/>
      <c r="C117" s="51" t="n"/>
    </row>
    <row r="118" ht="15" customHeight="1">
      <c r="B118" s="51" t="n"/>
      <c r="C118" s="51" t="n"/>
    </row>
    <row r="119" ht="15" customHeight="1">
      <c r="B119" s="51" t="n"/>
      <c r="C119" s="51" t="n"/>
    </row>
    <row r="120" ht="15" customHeight="1">
      <c r="B120" s="51" t="n"/>
      <c r="C120" s="51" t="n"/>
    </row>
    <row r="121" ht="15" customHeight="1">
      <c r="B121" s="51" t="n"/>
      <c r="C121" s="51" t="n"/>
    </row>
    <row r="122" ht="15" customHeight="1">
      <c r="B122" s="51" t="n"/>
      <c r="C122" s="51" t="n"/>
    </row>
    <row r="123" ht="15" customHeight="1">
      <c r="B123" s="51" t="n"/>
      <c r="C123" s="51" t="n"/>
    </row>
  </sheetData>
  <mergeCells count="19">
    <mergeCell ref="D40:E40"/>
    <mergeCell ref="D36:E36"/>
    <mergeCell ref="D31:E31"/>
    <mergeCell ref="D45:E45"/>
    <mergeCell ref="D27:E27"/>
    <mergeCell ref="D41:E41"/>
    <mergeCell ref="D48:E48"/>
    <mergeCell ref="D43:E43"/>
    <mergeCell ref="D37:E37"/>
    <mergeCell ref="D28:E28"/>
    <mergeCell ref="D39:E39"/>
    <mergeCell ref="D25:E25"/>
    <mergeCell ref="D24:E24"/>
    <mergeCell ref="D30:E30"/>
    <mergeCell ref="D42:E42"/>
    <mergeCell ref="D29:E29"/>
    <mergeCell ref="D38:E38"/>
    <mergeCell ref="D26:E26"/>
    <mergeCell ref="D35:E35"/>
  </mergeCells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showGridLines="0" zoomScale="81" workbookViewId="0">
      <selection activeCell="E26" sqref="E26"/>
    </sheetView>
  </sheetViews>
  <sheetFormatPr baseColWidth="10" defaultRowHeight="14.4"/>
  <cols>
    <col width="11" customWidth="1" min="1" max="1"/>
    <col width="49.5546875" customWidth="1" style="19" min="2" max="2"/>
    <col width="15.6640625" customWidth="1" min="3" max="3"/>
    <col width="11" customWidth="1" style="21" min="4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24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42" t="n"/>
      <c r="B8" s="143" t="n"/>
      <c r="C8" s="142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</row>
    <row r="9" ht="15" customHeight="1">
      <c r="A9" s="3" t="n"/>
      <c r="B9" s="17" t="inlineStr">
        <is>
          <t>Revenue</t>
        </is>
      </c>
      <c r="C9" s="439" t="n"/>
      <c r="D9" s="440">
        <f>INPUT!D9</f>
        <v/>
      </c>
      <c r="E9" s="440">
        <f>INPUT!E9</f>
        <v/>
      </c>
      <c r="F9" s="440">
        <f>INPUT!F9</f>
        <v/>
      </c>
      <c r="G9" s="440">
        <f>INPUT!G9</f>
        <v/>
      </c>
      <c r="H9" s="440">
        <f>IF(INPUT!H9&lt;&gt;"",INPUT!H9,INPUT!G9)</f>
        <v/>
      </c>
      <c r="I9" s="441">
        <f>H9*(1+$I$29)</f>
        <v/>
      </c>
      <c r="J9" s="441">
        <f>I9*(1+$I$29)</f>
        <v/>
      </c>
      <c r="K9" s="441">
        <f>J9*(1+$I$29)</f>
        <v/>
      </c>
      <c r="L9" s="442">
        <f>K9*(1+$I$29)</f>
        <v/>
      </c>
      <c r="M9" s="442">
        <f>L9*(1+$I$29)</f>
        <v/>
      </c>
      <c r="N9" s="443" t="n"/>
    </row>
    <row r="10" ht="15" customHeight="1">
      <c r="A10" s="3" t="n"/>
      <c r="B10" s="17" t="inlineStr">
        <is>
          <t>Cost of Goods Sold</t>
        </is>
      </c>
      <c r="C10" s="439" t="n"/>
      <c r="D10" s="444">
        <f>INPUT!D10</f>
        <v/>
      </c>
      <c r="E10" s="444">
        <f>INPUT!E10</f>
        <v/>
      </c>
      <c r="F10" s="444">
        <f>INPUT!F10</f>
        <v/>
      </c>
      <c r="G10" s="445">
        <f>INPUT!G10</f>
        <v/>
      </c>
      <c r="H10" s="445">
        <f>IF(INPUT!H10&lt;&gt;"",INPUT!H10,INPUT!G10)</f>
        <v/>
      </c>
      <c r="I10" s="445">
        <f>-I9*(1-$I$30)</f>
        <v/>
      </c>
      <c r="J10" s="445">
        <f>-J9*(1-$I$30)</f>
        <v/>
      </c>
      <c r="K10" s="445">
        <f>-K9*(1-$I$30)</f>
        <v/>
      </c>
      <c r="L10" s="446">
        <f>-L9*(1-$I$30)</f>
        <v/>
      </c>
      <c r="M10" s="446">
        <f>-M9*(1-$I$30)</f>
        <v/>
      </c>
      <c r="N10" s="447" t="n"/>
    </row>
    <row r="11" ht="15" customHeight="1">
      <c r="A11" s="3" t="n"/>
      <c r="B11" s="58" t="inlineStr">
        <is>
          <t>Gross Profit</t>
        </is>
      </c>
      <c r="C11" s="448" t="n"/>
      <c r="D11" s="449">
        <f>SUM(D9:D10)</f>
        <v/>
      </c>
      <c r="E11" s="449">
        <f>SUM(E9:E10)</f>
        <v/>
      </c>
      <c r="F11" s="449">
        <f>SUM(F9:F10)</f>
        <v/>
      </c>
      <c r="G11" s="431">
        <f>SUM(G9:G10)</f>
        <v/>
      </c>
      <c r="H11" s="431">
        <f>SUM(H9:H10)</f>
        <v/>
      </c>
      <c r="I11" s="431">
        <f>SUM(I9:I10)</f>
        <v/>
      </c>
      <c r="J11" s="431">
        <f>SUM(J9:J10)</f>
        <v/>
      </c>
      <c r="K11" s="431">
        <f>SUM(K9:K10)</f>
        <v/>
      </c>
      <c r="L11" s="450">
        <f>SUM(L9:L10)</f>
        <v/>
      </c>
      <c r="M11" s="450">
        <f>SUM(M9:M10)</f>
        <v/>
      </c>
      <c r="N11" s="451" t="n"/>
    </row>
    <row r="12" ht="15" customHeight="1">
      <c r="A12" s="147" t="n"/>
      <c r="B12" s="148" t="n"/>
      <c r="C12" s="452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1" t="n"/>
      <c r="M12" s="151" t="n"/>
      <c r="N12" s="151" t="n"/>
    </row>
    <row r="13" ht="15" customHeight="1">
      <c r="A13" s="3" t="n"/>
      <c r="B13" s="17" t="inlineStr">
        <is>
          <t>SG&amp;A Expenses</t>
        </is>
      </c>
      <c r="C13" s="439" t="n"/>
      <c r="D13" s="440">
        <f>INPUT!D14</f>
        <v/>
      </c>
      <c r="E13" s="440">
        <f>INPUT!E14</f>
        <v/>
      </c>
      <c r="F13" s="440">
        <f>INPUT!F14</f>
        <v/>
      </c>
      <c r="G13" s="441">
        <f>INPUT!G14</f>
        <v/>
      </c>
      <c r="H13" s="441">
        <f>IF(INPUT!H14&lt;&gt;"",INPUT!H14,INPUT!G14)</f>
        <v/>
      </c>
      <c r="I13" s="441">
        <f>-I9*$I$31</f>
        <v/>
      </c>
      <c r="J13" s="441">
        <f>-J9*$I$31</f>
        <v/>
      </c>
      <c r="K13" s="441">
        <f>-K9*$I$31</f>
        <v/>
      </c>
      <c r="L13" s="442">
        <f>-L9*$I$31</f>
        <v/>
      </c>
      <c r="M13" s="442">
        <f>-M9*$I$31</f>
        <v/>
      </c>
      <c r="N13" s="443" t="n"/>
    </row>
    <row r="14" ht="15" customHeight="1">
      <c r="A14" s="3" t="n"/>
      <c r="B14" s="17" t="inlineStr">
        <is>
          <t>Research &amp; Development</t>
        </is>
      </c>
      <c r="C14" s="439" t="n"/>
      <c r="D14" s="444">
        <f>INPUT!D15</f>
        <v/>
      </c>
      <c r="E14" s="444">
        <f>INPUT!E15</f>
        <v/>
      </c>
      <c r="F14" s="444">
        <f>INPUT!F15</f>
        <v/>
      </c>
      <c r="G14" s="445">
        <f>INPUT!G15</f>
        <v/>
      </c>
      <c r="H14" s="445">
        <f>IF(INPUT!H15&lt;&gt;"",INPUT!H15,INPUT!G15)</f>
        <v/>
      </c>
      <c r="I14" s="445">
        <f>-I9*$I$32</f>
        <v/>
      </c>
      <c r="J14" s="445">
        <f>-J9*$I$32</f>
        <v/>
      </c>
      <c r="K14" s="445">
        <f>-K9*$I$32</f>
        <v/>
      </c>
      <c r="L14" s="446">
        <f>-L9*$I$32</f>
        <v/>
      </c>
      <c r="M14" s="446">
        <f>-M9*$I$32</f>
        <v/>
      </c>
      <c r="N14" s="447" t="n"/>
    </row>
    <row r="15" ht="15" customHeight="1">
      <c r="A15" s="3" t="n"/>
      <c r="B15" s="58" t="inlineStr">
        <is>
          <t>EBITDA</t>
        </is>
      </c>
      <c r="C15" s="448" t="n"/>
      <c r="D15" s="449">
        <f>INPUT!D30</f>
        <v/>
      </c>
      <c r="E15" s="449">
        <f>INPUT!E30</f>
        <v/>
      </c>
      <c r="F15" s="449">
        <f>INPUT!F30</f>
        <v/>
      </c>
      <c r="G15" s="431">
        <f>INPUT!G30</f>
        <v/>
      </c>
      <c r="H15" s="431">
        <f>IF(INPUT!H30&lt;&gt;"",INPUT!H30,INPUT!G30)</f>
        <v/>
      </c>
      <c r="I15" s="431">
        <f>I11+I13+I14</f>
        <v/>
      </c>
      <c r="J15" s="431">
        <f>J11+J13+J14</f>
        <v/>
      </c>
      <c r="K15" s="431">
        <f>K11+K13+K14</f>
        <v/>
      </c>
      <c r="L15" s="450">
        <f>L11+L13+L14</f>
        <v/>
      </c>
      <c r="M15" s="450">
        <f>M11+M13+M14</f>
        <v/>
      </c>
      <c r="N15" s="451" t="n"/>
    </row>
    <row r="16" ht="15" customHeight="1">
      <c r="A16" s="147" t="n"/>
      <c r="B16" s="148" t="n"/>
      <c r="C16" s="452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1" t="n"/>
      <c r="M16" s="151" t="n"/>
      <c r="N16" s="151" t="n"/>
    </row>
    <row r="17" ht="15" customHeight="1">
      <c r="A17" s="3" t="n"/>
      <c r="B17" s="17" t="inlineStr">
        <is>
          <t>Depreciation &amp; Amortization</t>
        </is>
      </c>
      <c r="C17" s="439" t="n"/>
      <c r="D17" s="444">
        <f>INPUT!D16</f>
        <v/>
      </c>
      <c r="E17" s="444">
        <f>INPUT!E16</f>
        <v/>
      </c>
      <c r="F17" s="444">
        <f>INPUT!F16</f>
        <v/>
      </c>
      <c r="G17" s="445">
        <f>INPUT!G16</f>
        <v/>
      </c>
      <c r="H17" s="445">
        <f>IF(INPUT!H16&lt;&gt;"",INPUT!H16,INPUT!G16)</f>
        <v/>
      </c>
      <c r="I17" s="445">
        <f>-I9*$I$33</f>
        <v/>
      </c>
      <c r="J17" s="445">
        <f>-J9*$I$33</f>
        <v/>
      </c>
      <c r="K17" s="445">
        <f>-K9*$I$33</f>
        <v/>
      </c>
      <c r="L17" s="446">
        <f>-L9*$I$33</f>
        <v/>
      </c>
      <c r="M17" s="446">
        <f>-M9*$I$33</f>
        <v/>
      </c>
      <c r="N17" s="447" t="n"/>
    </row>
    <row r="18" ht="15" customHeight="1">
      <c r="A18" s="3" t="n"/>
      <c r="B18" s="58" t="inlineStr">
        <is>
          <t>EBIT (Operating Profit)</t>
        </is>
      </c>
      <c r="C18" s="448" t="n"/>
      <c r="D18" s="449">
        <f>D15+D17</f>
        <v/>
      </c>
      <c r="E18" s="449">
        <f>E15+E17</f>
        <v/>
      </c>
      <c r="F18" s="449">
        <f>F15+F17</f>
        <v/>
      </c>
      <c r="G18" s="431">
        <f>G15+G17</f>
        <v/>
      </c>
      <c r="H18" s="431">
        <f>H15+H17</f>
        <v/>
      </c>
      <c r="I18" s="431">
        <f>I15+I17</f>
        <v/>
      </c>
      <c r="J18" s="431">
        <f>J15+J17</f>
        <v/>
      </c>
      <c r="K18" s="431">
        <f>K15+K17</f>
        <v/>
      </c>
      <c r="L18" s="450">
        <f>L15+L17</f>
        <v/>
      </c>
      <c r="M18" s="450">
        <f>M15+M17</f>
        <v/>
      </c>
      <c r="N18" s="451" t="n"/>
    </row>
    <row r="19" ht="15" customHeight="1">
      <c r="A19" s="147" t="n"/>
      <c r="B19" s="148" t="n"/>
      <c r="C19" s="452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1" t="n"/>
      <c r="M19" s="151" t="n"/>
      <c r="N19" s="151" t="n"/>
    </row>
    <row r="20" ht="15" customHeight="1">
      <c r="A20" s="3" t="n"/>
      <c r="B20" s="17" t="inlineStr">
        <is>
          <t>Interest Expense</t>
        </is>
      </c>
      <c r="C20" s="439" t="n"/>
      <c r="D20" s="444">
        <f>INPUT!D20</f>
        <v/>
      </c>
      <c r="E20" s="444">
        <f>INPUT!E20</f>
        <v/>
      </c>
      <c r="F20" s="444">
        <f>INPUT!F20</f>
        <v/>
      </c>
      <c r="G20" s="445">
        <f>INPUT!G20</f>
        <v/>
      </c>
      <c r="H20" s="445">
        <f>IF(INPUT!H20&lt;&gt;"",INPUT!H20,INPUT!G20)</f>
        <v/>
      </c>
      <c r="I20" s="445">
        <f>-I18*(INPUT!H103)/(1-$I$34)</f>
        <v/>
      </c>
      <c r="J20" s="445">
        <f>-J18*(INPUT!H103)/(1-$I$34)</f>
        <v/>
      </c>
      <c r="K20" s="445">
        <f>-K18*(INPUT!H103)/(1-$I$34)</f>
        <v/>
      </c>
      <c r="L20" s="446">
        <f>-L18*(INPUT!H103)/(1-$I$34)</f>
        <v/>
      </c>
      <c r="M20" s="446">
        <f>-M18*(INPUT!H103)/(1-$I$34)</f>
        <v/>
      </c>
      <c r="N20" s="447" t="n"/>
    </row>
    <row r="21" ht="15" customHeight="1">
      <c r="A21" s="3" t="n"/>
      <c r="B21" s="58" t="inlineStr">
        <is>
          <t>Earnings Before Tax (EBT)</t>
        </is>
      </c>
      <c r="C21" s="448" t="n"/>
      <c r="D21" s="449">
        <f>D18+D20</f>
        <v/>
      </c>
      <c r="E21" s="449">
        <f>E18+E20</f>
        <v/>
      </c>
      <c r="F21" s="449">
        <f>F18+F20</f>
        <v/>
      </c>
      <c r="G21" s="431">
        <f>G18+G20</f>
        <v/>
      </c>
      <c r="H21" s="431">
        <f>H18+H20</f>
        <v/>
      </c>
      <c r="I21" s="431">
        <f>I18+I20</f>
        <v/>
      </c>
      <c r="J21" s="431">
        <f>J18+J20</f>
        <v/>
      </c>
      <c r="K21" s="431">
        <f>K18+K20</f>
        <v/>
      </c>
      <c r="L21" s="450">
        <f>L18+L20</f>
        <v/>
      </c>
      <c r="M21" s="450">
        <f>M18+M20</f>
        <v/>
      </c>
      <c r="N21" s="451" t="n"/>
    </row>
    <row r="22" ht="15" customHeight="1">
      <c r="A22" s="147" t="n"/>
      <c r="B22" s="148" t="n"/>
      <c r="C22" s="452" t="n"/>
      <c r="D22" s="150" t="n"/>
      <c r="E22" s="150" t="n"/>
      <c r="F22" s="150" t="n"/>
      <c r="G22" s="150" t="n"/>
      <c r="H22" s="150" t="n"/>
      <c r="I22" s="150" t="n"/>
      <c r="J22" s="150" t="n"/>
      <c r="K22" s="150" t="n"/>
      <c r="L22" s="151" t="n"/>
      <c r="M22" s="151" t="n"/>
      <c r="N22" s="151" t="n"/>
    </row>
    <row r="23" ht="15" customHeight="1">
      <c r="A23" s="3" t="n"/>
      <c r="B23" s="17" t="inlineStr">
        <is>
          <t>Income Taxes</t>
        </is>
      </c>
      <c r="C23" s="439" t="n"/>
      <c r="D23" s="440">
        <f>INPUT!D24</f>
        <v/>
      </c>
      <c r="E23" s="440">
        <f>INPUT!E24</f>
        <v/>
      </c>
      <c r="F23" s="440">
        <f>INPUT!F24</f>
        <v/>
      </c>
      <c r="G23" s="441">
        <f>INPUT!G24</f>
        <v/>
      </c>
      <c r="H23" s="441">
        <f>IF(INPUT!H24&lt;&gt;"",INPUT!H24,INPUT!G24)</f>
        <v/>
      </c>
      <c r="I23" s="441">
        <f>-I21*$I$34</f>
        <v/>
      </c>
      <c r="J23" s="441">
        <f>-J21*$I$34</f>
        <v/>
      </c>
      <c r="K23" s="441">
        <f>-K21*$I$34</f>
        <v/>
      </c>
      <c r="L23" s="442">
        <f>-L21*$I$34</f>
        <v/>
      </c>
      <c r="M23" s="442">
        <f>-M21*$I$34</f>
        <v/>
      </c>
      <c r="N23" s="443" t="n"/>
    </row>
    <row r="24" ht="15" customHeight="1" thickBot="1">
      <c r="A24" s="3" t="n"/>
      <c r="B24" s="58" t="inlineStr">
        <is>
          <t>Net Income</t>
        </is>
      </c>
      <c r="C24" s="448" t="n"/>
      <c r="D24" s="453">
        <f>D21+D23</f>
        <v/>
      </c>
      <c r="E24" s="453">
        <f>E21+E23</f>
        <v/>
      </c>
      <c r="F24" s="453">
        <f>F21+F23</f>
        <v/>
      </c>
      <c r="G24" s="454">
        <f>G21+G23</f>
        <v/>
      </c>
      <c r="H24" s="454">
        <f>H21+H23</f>
        <v/>
      </c>
      <c r="I24" s="454">
        <f>I21+I23</f>
        <v/>
      </c>
      <c r="J24" s="454">
        <f>J21+J23</f>
        <v/>
      </c>
      <c r="K24" s="454">
        <f>K21+K23</f>
        <v/>
      </c>
      <c r="L24" s="455">
        <f>L21+L23</f>
        <v/>
      </c>
      <c r="M24" s="455">
        <f>M21+M23</f>
        <v/>
      </c>
      <c r="N24" s="456" t="n"/>
    </row>
    <row r="25" ht="15" customHeight="1">
      <c r="A25" s="3" t="n"/>
      <c r="B25" s="14" t="n"/>
      <c r="C25" s="9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53" t="inlineStr">
        <is>
          <t>ASSUMPTIONS &amp; DRIVERS</t>
        </is>
      </c>
      <c r="C26" s="48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98" t="inlineStr">
        <is>
          <t>INCOME STATEMENT DRIVERS</t>
        </is>
      </c>
      <c r="C28" s="99" t="n"/>
      <c r="D28" s="1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34" t="n"/>
    </row>
    <row r="29" ht="15" customHeight="1">
      <c r="A29" s="3" t="n"/>
      <c r="B29" s="17" t="inlineStr">
        <is>
          <t>Revenue Growth Rate (YoY)</t>
        </is>
      </c>
      <c r="C29" s="9" t="n"/>
      <c r="D29" s="457">
        <f>IFERROR(IF(NOT(ISBLANK(INPUT!H9)),INPUT!H9/INPUT!G9-1,IF(NOT(ISBLANK(INPUT!G9)),INPUT!G9/INPUT!F9-1,IF(NOT(ISBLANK(INPUT!F9)),INPUT!F9/INPUT!E9-1,IF(NOT(ISBLANK(INPUT!E9)),INPUT!E9/INPUT!D9-1,0.05)))),0.05)</f>
        <v/>
      </c>
      <c r="E29" s="458">
        <f>I29</f>
        <v/>
      </c>
      <c r="F29" s="458">
        <f>I29</f>
        <v/>
      </c>
      <c r="G29" s="459" t="n"/>
      <c r="H29" s="459" t="n"/>
      <c r="I29" s="457">
        <f>IFERROR(IF(NOT(ISBLANK(INPUT!H9)),INPUT!H9/INPUT!G9-1,IF(NOT(ISBLANK(INPUT!G9)),INPUT!G9/INPUT!F9-1,IF(NOT(ISBLANK(INPUT!F9)),INPUT!F9/INPUT!E9-1,IF(NOT(ISBLANK(INPUT!E9)),INPUT!E9/INPUT!D9-1,0.05)))),0.05)</f>
        <v/>
      </c>
      <c r="J29" s="460">
        <f>I29</f>
        <v/>
      </c>
      <c r="K29" s="460">
        <f>I29</f>
        <v/>
      </c>
      <c r="L29" s="461">
        <f>I29</f>
        <v/>
      </c>
      <c r="M29" s="461">
        <f>I29</f>
        <v/>
      </c>
      <c r="N29" s="462" t="n"/>
    </row>
    <row r="30" ht="15" customHeight="1">
      <c r="A30" s="3" t="n"/>
      <c r="B30" s="17" t="inlineStr">
        <is>
          <t>Gross Margin</t>
        </is>
      </c>
      <c r="C30" s="9" t="n"/>
      <c r="D30" s="458">
        <f>IFERROR(INPUT!H11/INPUT!H9,0.4)</f>
        <v/>
      </c>
      <c r="E30" s="458">
        <f>I30</f>
        <v/>
      </c>
      <c r="F30" s="458">
        <f>I30</f>
        <v/>
      </c>
      <c r="G30" s="459" t="n"/>
      <c r="H30" s="459" t="n"/>
      <c r="I30" s="457">
        <f>IFERROR(INPUT!H11/INPUT!H9,0.4)</f>
        <v/>
      </c>
      <c r="J30" s="460">
        <f>I30</f>
        <v/>
      </c>
      <c r="K30" s="460">
        <f>I30</f>
        <v/>
      </c>
      <c r="L30" s="461">
        <f>I30</f>
        <v/>
      </c>
      <c r="M30" s="461">
        <f>I30</f>
        <v/>
      </c>
      <c r="N30" s="462" t="n"/>
    </row>
    <row r="31" ht="15" customHeight="1">
      <c r="A31" s="3" t="n"/>
      <c r="B31" s="17" t="inlineStr">
        <is>
          <t>SG&amp;A (% of Revenue)</t>
        </is>
      </c>
      <c r="C31" s="9" t="n"/>
      <c r="D31" s="458">
        <f>IFERROR(ABS(INPUT!H14)/INPUT!H9,0.15)</f>
        <v/>
      </c>
      <c r="E31" s="458">
        <f>I31</f>
        <v/>
      </c>
      <c r="F31" s="458">
        <f>I31</f>
        <v/>
      </c>
      <c r="G31" s="459" t="n"/>
      <c r="H31" s="459" t="n"/>
      <c r="I31" s="457">
        <f>IFERROR(ABS(INPUT!H14)/INPUT!H9,0.15)</f>
        <v/>
      </c>
      <c r="J31" s="460">
        <f>I31</f>
        <v/>
      </c>
      <c r="K31" s="460">
        <f>I31</f>
        <v/>
      </c>
      <c r="L31" s="461">
        <f>I31</f>
        <v/>
      </c>
      <c r="M31" s="461">
        <f>I31</f>
        <v/>
      </c>
      <c r="N31" s="462" t="n"/>
    </row>
    <row r="32" ht="15" customHeight="1">
      <c r="A32" s="3" t="n"/>
      <c r="B32" s="17" t="inlineStr">
        <is>
          <t>R&amp;D (% of Revenue)</t>
        </is>
      </c>
      <c r="C32" s="9" t="n"/>
      <c r="D32" s="458">
        <f>IFERROR(ABS(INPUT!H15)/INPUT!H9,0.05)</f>
        <v/>
      </c>
      <c r="E32" s="458">
        <f>I32</f>
        <v/>
      </c>
      <c r="F32" s="458">
        <f>I32</f>
        <v/>
      </c>
      <c r="G32" s="459" t="n"/>
      <c r="H32" s="459" t="n"/>
      <c r="I32" s="457">
        <f>IFERROR(ABS(INPUT!H15)/INPUT!H9,0.05)</f>
        <v/>
      </c>
      <c r="J32" s="460">
        <f>I32</f>
        <v/>
      </c>
      <c r="K32" s="460">
        <f>I32</f>
        <v/>
      </c>
      <c r="L32" s="461">
        <f>I32</f>
        <v/>
      </c>
      <c r="M32" s="461">
        <f>I32</f>
        <v/>
      </c>
      <c r="N32" s="462" t="n"/>
    </row>
    <row r="33" ht="15" customHeight="1">
      <c r="A33" s="3" t="n"/>
      <c r="B33" s="17" t="inlineStr">
        <is>
          <t>D&amp;A (% of Revenue)</t>
        </is>
      </c>
      <c r="C33" s="9" t="n"/>
      <c r="D33" s="458">
        <f>IFERROR(ABS(INPUT!H16)/INPUT!H9,0.04)</f>
        <v/>
      </c>
      <c r="E33" s="458">
        <f>I33</f>
        <v/>
      </c>
      <c r="F33" s="458">
        <f>I33</f>
        <v/>
      </c>
      <c r="G33" s="459" t="n"/>
      <c r="H33" s="459" t="n"/>
      <c r="I33" s="457">
        <f>IFERROR(ABS(INPUT!H16)/INPUT!H9,0.04)</f>
        <v/>
      </c>
      <c r="J33" s="460">
        <f>I33</f>
        <v/>
      </c>
      <c r="K33" s="460">
        <f>I33</f>
        <v/>
      </c>
      <c r="L33" s="461">
        <f>I33</f>
        <v/>
      </c>
      <c r="M33" s="461">
        <f>I33</f>
        <v/>
      </c>
      <c r="N33" s="462" t="n"/>
    </row>
    <row r="34" ht="15" customHeight="1">
      <c r="A34" s="3" t="n"/>
      <c r="B34" s="17" t="inlineStr">
        <is>
          <t>Effective Tax Rate</t>
        </is>
      </c>
      <c r="C34" s="9" t="n"/>
      <c r="D34" s="458">
        <f>IFERROR(INPUT!H104,0.21)</f>
        <v/>
      </c>
      <c r="E34" s="458">
        <f>I34</f>
        <v/>
      </c>
      <c r="F34" s="458">
        <f>I34</f>
        <v/>
      </c>
      <c r="G34" s="459" t="n"/>
      <c r="H34" s="459" t="n"/>
      <c r="I34" s="457">
        <f>IFERROR(INPUT!H104,0.21)</f>
        <v/>
      </c>
      <c r="J34" s="460">
        <f>I34</f>
        <v/>
      </c>
      <c r="K34" s="460">
        <f>I34</f>
        <v/>
      </c>
      <c r="L34" s="461">
        <f>I34</f>
        <v/>
      </c>
      <c r="M34" s="461">
        <f>I34</f>
        <v/>
      </c>
      <c r="N34" s="462" t="n"/>
    </row>
    <row r="35" ht="15" customHeight="1">
      <c r="A35" s="3" t="n"/>
      <c r="B35" s="14" t="n"/>
      <c r="C35" s="9" t="n"/>
      <c r="D35" s="420" t="n"/>
      <c r="E35" s="420" t="n"/>
      <c r="F35" s="420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53" t="inlineStr">
        <is>
          <t>BALANCE SHEET / CASH FLOW DRIVERS</t>
        </is>
      </c>
      <c r="C36" s="48" t="n"/>
      <c r="D36" s="48" t="n"/>
      <c r="E36" s="48" t="n"/>
      <c r="F36" s="48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458">
        <f>IFERROR(ABS(INPUT!H78)/INPUT!H9,0.05)</f>
        <v/>
      </c>
      <c r="E37" s="458">
        <f>I37</f>
        <v/>
      </c>
      <c r="F37" s="458">
        <f>I37</f>
        <v/>
      </c>
      <c r="G37" s="459" t="n"/>
      <c r="H37" s="459" t="n"/>
      <c r="I37" s="457">
        <f>IFERROR(ABS(INPUT!H78)/INPUT!H9,0.05)</f>
        <v/>
      </c>
      <c r="J37" s="460">
        <f>I37</f>
        <v/>
      </c>
      <c r="K37" s="460">
        <f>I37</f>
        <v/>
      </c>
      <c r="L37" s="461">
        <f>I37</f>
        <v/>
      </c>
      <c r="M37" s="461">
        <f>I37</f>
        <v/>
      </c>
      <c r="N37" s="462" t="n"/>
    </row>
    <row r="38" ht="15" customHeight="1">
      <c r="A38" s="3" t="n"/>
      <c r="B38" s="17" t="inlineStr">
        <is>
          <t>Change in NWC (% of Revenue Change)</t>
        </is>
      </c>
      <c r="C38" s="9" t="n"/>
      <c r="D38" s="458">
        <f>IFERROR(ABS((INPUT!H71+INPUT!H72+INPUT!H73)/INPUT!H9),0.1)</f>
        <v/>
      </c>
      <c r="E38" s="458">
        <f>I38</f>
        <v/>
      </c>
      <c r="F38" s="458">
        <f>I38</f>
        <v/>
      </c>
      <c r="G38" s="459" t="n"/>
      <c r="H38" s="459" t="n"/>
      <c r="I38" s="457">
        <f>IFERROR(ABS((INPUT!H71+INPUT!H72+INPUT!H73)/INPUT!H9),0.1)</f>
        <v/>
      </c>
      <c r="J38" s="460">
        <f>I38</f>
        <v/>
      </c>
      <c r="K38" s="460">
        <f>I38</f>
        <v/>
      </c>
      <c r="L38" s="461">
        <f>I38</f>
        <v/>
      </c>
      <c r="M38" s="461">
        <f>I38</f>
        <v/>
      </c>
      <c r="N38" s="462" t="n"/>
    </row>
    <row r="39" ht="15" customHeight="1">
      <c r="A39" s="3" t="n"/>
      <c r="B39" s="17" t="n"/>
      <c r="C39" s="9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53" t="inlineStr">
        <is>
          <t>FREE CASH FLOW CALCULATION</t>
        </is>
      </c>
      <c r="C40" s="48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41" t="n"/>
      <c r="B41" s="152" t="n"/>
      <c r="C41" s="153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</row>
    <row r="42" ht="15" customHeight="1">
      <c r="A42" s="3" t="n"/>
      <c r="B42" s="17" t="inlineStr">
        <is>
          <t>EBIT</t>
        </is>
      </c>
      <c r="C42" s="439" t="n"/>
      <c r="D42" s="440">
        <f>D18</f>
        <v/>
      </c>
      <c r="E42" s="440">
        <f>E18</f>
        <v/>
      </c>
      <c r="F42" s="440">
        <f>F18</f>
        <v/>
      </c>
      <c r="G42" s="441">
        <f>G18</f>
        <v/>
      </c>
      <c r="H42" s="441">
        <f>H18</f>
        <v/>
      </c>
      <c r="I42" s="441">
        <f>I18</f>
        <v/>
      </c>
      <c r="J42" s="441">
        <f>J18</f>
        <v/>
      </c>
      <c r="K42" s="441">
        <f>K18</f>
        <v/>
      </c>
      <c r="L42" s="442">
        <f>L18</f>
        <v/>
      </c>
      <c r="M42" s="442">
        <f>M18</f>
        <v/>
      </c>
      <c r="N42" s="443" t="n"/>
    </row>
    <row r="43" ht="15" customHeight="1">
      <c r="A43" s="3" t="n"/>
      <c r="B43" s="17" t="inlineStr">
        <is>
          <t>(-) Taxes on EBIT (Unlevered)</t>
        </is>
      </c>
      <c r="C43" s="439" t="n"/>
      <c r="D43" s="444">
        <f>D18*(-INPUT!D104)</f>
        <v/>
      </c>
      <c r="E43" s="444">
        <f>E18*(-INPUT!E104)</f>
        <v/>
      </c>
      <c r="F43" s="444">
        <f>F18*(-INPUT!F104)</f>
        <v/>
      </c>
      <c r="G43" s="445">
        <f>G18*(-INPUT!G104)</f>
        <v/>
      </c>
      <c r="H43" s="445">
        <f>H18*(-INPUT!H104)</f>
        <v/>
      </c>
      <c r="I43" s="445">
        <f>I18*(-$I$34)</f>
        <v/>
      </c>
      <c r="J43" s="445">
        <f>J18*(-$I$34)</f>
        <v/>
      </c>
      <c r="K43" s="445">
        <f>K18*(-$I$34)</f>
        <v/>
      </c>
      <c r="L43" s="446">
        <f>L18*(-$I$34)</f>
        <v/>
      </c>
      <c r="M43" s="446">
        <f>M18*(-$I$34)</f>
        <v/>
      </c>
      <c r="N43" s="447" t="n"/>
    </row>
    <row r="44" ht="15" customHeight="1">
      <c r="A44" s="3" t="n"/>
      <c r="B44" s="58" t="inlineStr">
        <is>
          <t>NOPAT (Net Operating Profit After Tax)</t>
        </is>
      </c>
      <c r="C44" s="448" t="n"/>
      <c r="D44" s="449">
        <f>D42+D43</f>
        <v/>
      </c>
      <c r="E44" s="449">
        <f>E42+E43</f>
        <v/>
      </c>
      <c r="F44" s="449">
        <f>F42+F43</f>
        <v/>
      </c>
      <c r="G44" s="431">
        <f>G42+G43</f>
        <v/>
      </c>
      <c r="H44" s="431">
        <f>H42+H43</f>
        <v/>
      </c>
      <c r="I44" s="431">
        <f>I42+I43</f>
        <v/>
      </c>
      <c r="J44" s="431">
        <f>J42+J43</f>
        <v/>
      </c>
      <c r="K44" s="431">
        <f>K42+K43</f>
        <v/>
      </c>
      <c r="L44" s="450">
        <f>L42+L43</f>
        <v/>
      </c>
      <c r="M44" s="450">
        <f>M42+M43</f>
        <v/>
      </c>
      <c r="N44" s="451" t="n"/>
    </row>
    <row r="45" ht="15" customHeight="1">
      <c r="A45" s="81" t="n"/>
      <c r="B45" s="145" t="n"/>
      <c r="C45" s="463" t="n"/>
      <c r="D45" s="146" t="n"/>
      <c r="E45" s="146" t="n"/>
      <c r="F45" s="146" t="n"/>
      <c r="G45" s="69" t="n"/>
      <c r="H45" s="69" t="n"/>
      <c r="I45" s="69" t="n"/>
      <c r="J45" s="69" t="n"/>
      <c r="K45" s="69" t="n"/>
      <c r="L45" s="67" t="n"/>
      <c r="M45" s="67" t="n"/>
      <c r="N45" s="67" t="n"/>
    </row>
    <row r="46" ht="15" customHeight="1">
      <c r="A46" s="3" t="n"/>
      <c r="B46" s="17" t="inlineStr">
        <is>
          <t>(+) Depreciation &amp; Amortization</t>
        </is>
      </c>
      <c r="C46" s="439" t="n"/>
      <c r="D46" s="440">
        <f>ABS(D17)</f>
        <v/>
      </c>
      <c r="E46" s="440">
        <f>ABS(E17)</f>
        <v/>
      </c>
      <c r="F46" s="440">
        <f>ABS(F17)</f>
        <v/>
      </c>
      <c r="G46" s="441">
        <f>ABS(G17)</f>
        <v/>
      </c>
      <c r="H46" s="441">
        <f>ABS(H17)</f>
        <v/>
      </c>
      <c r="I46" s="441">
        <f>ABS(I17)</f>
        <v/>
      </c>
      <c r="J46" s="441">
        <f>ABS(J17)</f>
        <v/>
      </c>
      <c r="K46" s="441">
        <f>ABS(K17)</f>
        <v/>
      </c>
      <c r="L46" s="442">
        <f>ABS(L17)</f>
        <v/>
      </c>
      <c r="M46" s="442">
        <f>ABS(M17)</f>
        <v/>
      </c>
      <c r="N46" s="443" t="n"/>
    </row>
    <row r="47" ht="15" customHeight="1">
      <c r="A47" s="3" t="n"/>
      <c r="B47" s="17" t="inlineStr">
        <is>
          <t>(-) Capital Expenditures (CapEx)</t>
        </is>
      </c>
      <c r="C47" s="439" t="n"/>
      <c r="D47" s="440">
        <f>INPUT!D78</f>
        <v/>
      </c>
      <c r="E47" s="440">
        <f>INPUT!E78</f>
        <v/>
      </c>
      <c r="F47" s="440">
        <f>INPUT!F78</f>
        <v/>
      </c>
      <c r="G47" s="441">
        <f>INPUT!G78</f>
        <v/>
      </c>
      <c r="H47" s="441">
        <f>IF(INPUT!H78&lt;&gt;"",INPUT!H78,INPUT!G78)</f>
        <v/>
      </c>
      <c r="I47" s="441">
        <f>-I9*$I$37</f>
        <v/>
      </c>
      <c r="J47" s="441">
        <f>-J9*$I$37</f>
        <v/>
      </c>
      <c r="K47" s="441">
        <f>-K9*$I$37</f>
        <v/>
      </c>
      <c r="L47" s="442">
        <f>-L9*$I$37</f>
        <v/>
      </c>
      <c r="M47" s="442">
        <f>-M9*$I$37</f>
        <v/>
      </c>
      <c r="N47" s="443" t="n"/>
    </row>
    <row r="48" ht="15" customHeight="1">
      <c r="A48" s="3" t="n"/>
      <c r="B48" s="17" t="inlineStr">
        <is>
          <t>(-) Change in Working Capital</t>
        </is>
      </c>
      <c r="C48" s="439" t="n"/>
      <c r="D48" s="440">
        <f>INPUT!D70+INPUT!D71+INPUT!D72+INPUT!D73</f>
        <v/>
      </c>
      <c r="E48" s="440">
        <f>INPUT!E70+INPUT!E71+INPUT!E72+INPUT!E73</f>
        <v/>
      </c>
      <c r="F48" s="440">
        <f>INPUT!F70+INPUT!F71+INPUT!F72+INPUT!F73</f>
        <v/>
      </c>
      <c r="G48" s="441">
        <f>INPUT!G70+INPUT!G71+INPUT!G72+INPUT!G73</f>
        <v/>
      </c>
      <c r="H48" s="441">
        <f>IF(INPUT!H70&lt;&gt;"",INPUT!H70,INPUT!G70)+IF(INPUT!H71&lt;&gt;"",INPUT!H71,INPUT!G71)+IF(INPUT!H72&lt;&gt;"",INPUT!H72,INPUT!G72)+IF(INPUT!H73&lt;&gt;"",INPUT!H73,INPUT!G73)</f>
        <v/>
      </c>
      <c r="I48" s="441">
        <f>-(I9-H9)*$I$38</f>
        <v/>
      </c>
      <c r="J48" s="441">
        <f>-(J9-I9)*$I$38</f>
        <v/>
      </c>
      <c r="K48" s="441">
        <f>-(K9-J9)*$I$38</f>
        <v/>
      </c>
      <c r="L48" s="442">
        <f>-(L9-K9)*$I$38</f>
        <v/>
      </c>
      <c r="M48" s="442">
        <f>-(M9-L9)*$I$38</f>
        <v/>
      </c>
      <c r="N48" s="443" t="n"/>
    </row>
    <row r="49" ht="15" customHeight="1" thickBot="1">
      <c r="A49" s="81" t="n"/>
      <c r="B49" s="92" t="inlineStr">
        <is>
          <t>Unlevered Free Cash Flow (UFCF)</t>
        </is>
      </c>
      <c r="C49" s="463" t="n"/>
      <c r="D49" s="453">
        <f>D44+D46+D47+D48</f>
        <v/>
      </c>
      <c r="E49" s="453">
        <f>E44+E46+E47+E48</f>
        <v/>
      </c>
      <c r="F49" s="453">
        <f>F44+F46+F47+F48</f>
        <v/>
      </c>
      <c r="G49" s="454">
        <f>G44+G46+G47+G48</f>
        <v/>
      </c>
      <c r="H49" s="454">
        <f>H44+H46+H47+H48</f>
        <v/>
      </c>
      <c r="I49" s="454">
        <f>I44+I46+I47+I48</f>
        <v/>
      </c>
      <c r="J49" s="454">
        <f>J44+J46+J47+J48</f>
        <v/>
      </c>
      <c r="K49" s="454">
        <f>K44+K46+K47+K48</f>
        <v/>
      </c>
      <c r="L49" s="455">
        <f>L44+L46+L47+L48</f>
        <v/>
      </c>
      <c r="M49" s="455">
        <f>M44+M46+M47+M48</f>
        <v/>
      </c>
      <c r="N49" s="464" t="n"/>
    </row>
    <row r="50" ht="15" customHeight="1">
      <c r="A50" s="3" t="n"/>
      <c r="B50" s="14" t="n"/>
      <c r="C50" s="9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53" t="inlineStr">
        <is>
          <t>WACC CALCULATION (Capital Asset Pricing Model)</t>
        </is>
      </c>
      <c r="C51" s="48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</row>
    <row r="52" ht="18" customHeight="1">
      <c r="A52" s="141" t="n"/>
      <c r="B52" s="152" t="n"/>
      <c r="C52" s="153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</row>
    <row r="53" ht="15" customHeight="1">
      <c r="A53" s="3" t="n"/>
      <c r="B53" s="17" t="inlineStr">
        <is>
          <t>Risk-Free Rate (Rf)</t>
        </is>
      </c>
      <c r="C53" s="9" t="n"/>
      <c r="D53" s="460">
        <f>INPUT!H100</f>
        <v/>
      </c>
      <c r="E53" s="414" t="n"/>
      <c r="F53" s="414" t="n"/>
      <c r="G53" s="414" t="n"/>
      <c r="H53" s="414" t="n"/>
      <c r="I53" s="414" t="n"/>
      <c r="J53" s="414" t="n"/>
      <c r="K53" s="414" t="n"/>
      <c r="L53" s="414" t="n"/>
      <c r="M53" s="414" t="n"/>
      <c r="N53" s="414" t="n"/>
    </row>
    <row r="54" ht="15" customHeight="1">
      <c r="A54" s="3" t="n"/>
      <c r="B54" s="17" t="inlineStr">
        <is>
          <t>Beta (Levered)</t>
        </is>
      </c>
      <c r="C54" s="9" t="n"/>
      <c r="D54" s="465">
        <f>INPUT!H99</f>
        <v/>
      </c>
      <c r="E54" s="414" t="n"/>
      <c r="F54" s="414" t="n"/>
      <c r="G54" s="414" t="n"/>
      <c r="H54" s="414" t="n"/>
      <c r="I54" s="414" t="n"/>
      <c r="J54" s="414" t="n"/>
      <c r="K54" s="414" t="n"/>
      <c r="L54" s="414" t="n"/>
      <c r="M54" s="414" t="n"/>
      <c r="N54" s="414" t="n"/>
    </row>
    <row r="55" ht="15" customHeight="1">
      <c r="A55" s="3" t="n"/>
      <c r="B55" s="17" t="inlineStr">
        <is>
          <t>Equity Risk Premium (ERP)</t>
        </is>
      </c>
      <c r="C55" s="9" t="n"/>
      <c r="D55" s="460">
        <f>INPUT!H101</f>
        <v/>
      </c>
      <c r="E55" s="414" t="n"/>
      <c r="F55" s="414" t="n"/>
      <c r="G55" s="414" t="n"/>
      <c r="H55" s="414" t="n"/>
      <c r="I55" s="414" t="n"/>
      <c r="J55" s="414" t="n"/>
      <c r="K55" s="414" t="n"/>
      <c r="L55" s="414" t="n"/>
      <c r="M55" s="414" t="n"/>
      <c r="N55" s="414" t="n"/>
    </row>
    <row r="56" ht="15" customHeight="1">
      <c r="A56" s="3" t="n"/>
      <c r="B56" s="58" t="inlineStr">
        <is>
          <t>Cost of Equity (CAPM)</t>
        </is>
      </c>
      <c r="C56" s="11" t="n"/>
      <c r="D56" s="466">
        <f>D53+D54*D55</f>
        <v/>
      </c>
      <c r="E56" s="415" t="n"/>
      <c r="F56" s="415" t="n"/>
      <c r="G56" s="415" t="n"/>
      <c r="H56" s="415" t="n"/>
      <c r="I56" s="415" t="n"/>
      <c r="J56" s="415" t="n"/>
      <c r="K56" s="415" t="n"/>
      <c r="L56" s="415" t="n"/>
      <c r="M56" s="415" t="n"/>
      <c r="N56" s="415" t="n"/>
    </row>
    <row r="57" ht="15" customHeight="1">
      <c r="A57" s="3" t="n"/>
      <c r="B57" s="17" t="n"/>
      <c r="C57" s="9" t="n"/>
      <c r="D57" s="3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</row>
    <row r="58" ht="15" customHeight="1">
      <c r="A58" s="3" t="n"/>
      <c r="B58" s="17" t="inlineStr">
        <is>
          <t>Target Equity Weight (We)</t>
        </is>
      </c>
      <c r="C58" s="9" t="n"/>
      <c r="D58" s="460">
        <f>INPUT!H106</f>
        <v/>
      </c>
      <c r="E58" s="414" t="n"/>
      <c r="F58" s="414" t="n"/>
      <c r="G58" s="414" t="n"/>
      <c r="H58" s="414" t="n"/>
      <c r="I58" s="414" t="n"/>
      <c r="J58" s="414" t="n"/>
      <c r="K58" s="414" t="n"/>
      <c r="L58" s="414" t="n"/>
      <c r="M58" s="414" t="n"/>
      <c r="N58" s="414" t="n"/>
    </row>
    <row r="59" ht="15" customHeight="1">
      <c r="A59" s="3" t="n"/>
      <c r="B59" s="17" t="inlineStr">
        <is>
          <t>Target Debt Weight (Wd)</t>
        </is>
      </c>
      <c r="C59" s="9" t="n"/>
      <c r="D59" s="460">
        <f>INPUT!H107</f>
        <v/>
      </c>
      <c r="E59" s="414" t="n"/>
      <c r="F59" s="414" t="n"/>
      <c r="G59" s="414" t="n"/>
      <c r="H59" s="414" t="n"/>
      <c r="I59" s="414" t="n"/>
      <c r="J59" s="414" t="n"/>
      <c r="K59" s="414" t="n"/>
      <c r="L59" s="414" t="n"/>
      <c r="M59" s="414" t="n"/>
      <c r="N59" s="414" t="n"/>
    </row>
    <row r="60" ht="15" customHeight="1">
      <c r="A60" s="3" t="n"/>
      <c r="B60" s="17" t="inlineStr">
        <is>
          <t>Pre-Tax Cost of Debt (Kd)</t>
        </is>
      </c>
      <c r="C60" s="9" t="n"/>
      <c r="D60" s="460">
        <f>INPUT!H103</f>
        <v/>
      </c>
      <c r="E60" s="414" t="n"/>
      <c r="F60" s="414" t="n"/>
      <c r="G60" s="414" t="n"/>
      <c r="H60" s="414" t="n"/>
      <c r="I60" s="414" t="n"/>
      <c r="J60" s="414" t="n"/>
      <c r="K60" s="414" t="n"/>
      <c r="L60" s="414" t="n"/>
      <c r="M60" s="414" t="n"/>
      <c r="N60" s="414" t="n"/>
    </row>
    <row r="61" ht="15" customHeight="1">
      <c r="A61" s="3" t="n"/>
      <c r="B61" s="17" t="inlineStr">
        <is>
          <t>Tax Rate</t>
        </is>
      </c>
      <c r="C61" s="9" t="n"/>
      <c r="D61" s="460">
        <f>INPUT!H104</f>
        <v/>
      </c>
      <c r="E61" s="414" t="n"/>
      <c r="F61" s="414" t="n"/>
      <c r="G61" s="414" t="n"/>
      <c r="H61" s="414" t="n"/>
      <c r="I61" s="414" t="n"/>
      <c r="J61" s="414" t="n"/>
      <c r="K61" s="414" t="n"/>
      <c r="L61" s="414" t="n"/>
      <c r="M61" s="414" t="n"/>
      <c r="N61" s="414" t="n"/>
    </row>
    <row r="62" ht="15" customHeight="1">
      <c r="A62" s="3" t="n"/>
      <c r="B62" s="17" t="inlineStr">
        <is>
          <t>After-Tax Cost of Debt</t>
        </is>
      </c>
      <c r="C62" s="9" t="n"/>
      <c r="D62" s="425">
        <f>D60*(1-D61)</f>
        <v/>
      </c>
      <c r="E62" s="414" t="n"/>
      <c r="F62" s="414" t="n"/>
      <c r="G62" s="414" t="n"/>
      <c r="H62" s="414" t="n"/>
      <c r="I62" s="414" t="n"/>
      <c r="J62" s="414" t="n"/>
      <c r="K62" s="414" t="n"/>
      <c r="L62" s="414" t="n"/>
      <c r="M62" s="414" t="n"/>
      <c r="N62" s="414" t="n"/>
    </row>
    <row r="63" ht="15" customHeight="1" thickBot="1">
      <c r="A63" s="3" t="n"/>
      <c r="B63" s="55" t="inlineStr">
        <is>
          <t>WACC</t>
        </is>
      </c>
      <c r="C63" s="11" t="n"/>
      <c r="D63" s="467">
        <f>D58*D56+D62*D59</f>
        <v/>
      </c>
      <c r="E63" s="415" t="n"/>
      <c r="F63" s="415" t="n"/>
      <c r="G63" s="415" t="n"/>
      <c r="H63" s="415" t="n"/>
      <c r="I63" s="415" t="n"/>
      <c r="J63" s="415" t="n"/>
      <c r="K63" s="415" t="n"/>
      <c r="L63" s="415" t="n"/>
      <c r="M63" s="415" t="n"/>
      <c r="N63" s="415" t="n"/>
    </row>
    <row r="64" ht="15" customHeight="1">
      <c r="A64" s="3" t="n"/>
      <c r="B64" s="14" t="n"/>
      <c r="C64" s="9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</row>
    <row r="65" ht="18" customHeight="1">
      <c r="A65" s="7" t="n"/>
      <c r="B65" s="53" t="inlineStr">
        <is>
          <t>TERMINAL VALUE &amp; ENTERPRISE VALUE</t>
        </is>
      </c>
      <c r="C65" s="48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</row>
    <row r="66" ht="18" customHeight="1">
      <c r="A66" s="141" t="n"/>
      <c r="B66" s="152" t="n"/>
      <c r="C66" s="153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</row>
    <row r="67" ht="15" customHeight="1">
      <c r="A67" s="3" t="n"/>
      <c r="B67" s="17" t="inlineStr">
        <is>
          <t>Terminal Growth Rate (g)</t>
        </is>
      </c>
      <c r="C67" s="9" t="n"/>
      <c r="D67" s="460">
        <f>INPUT!H109</f>
        <v/>
      </c>
      <c r="E67" s="414" t="n"/>
      <c r="F67" s="414" t="n"/>
      <c r="G67" s="414" t="n"/>
      <c r="H67" s="414" t="n"/>
      <c r="I67" s="414" t="n"/>
      <c r="J67" s="414" t="n"/>
      <c r="K67" s="414" t="n"/>
      <c r="L67" s="414" t="n"/>
      <c r="M67" s="414" t="n"/>
      <c r="N67" s="414" t="n"/>
    </row>
    <row r="68" ht="15" customHeight="1">
      <c r="A68" s="3" t="n"/>
      <c r="B68" s="17" t="inlineStr">
        <is>
          <t>WACC</t>
        </is>
      </c>
      <c r="C68" s="9" t="n"/>
      <c r="D68" s="460">
        <f>D63</f>
        <v/>
      </c>
      <c r="E68" s="414" t="n"/>
      <c r="F68" s="414" t="n"/>
      <c r="G68" s="414" t="n"/>
      <c r="H68" s="414" t="n"/>
      <c r="I68" s="414" t="n"/>
      <c r="J68" s="414" t="n"/>
      <c r="K68" s="414" t="n"/>
      <c r="L68" s="414" t="n"/>
      <c r="M68" s="414" t="n"/>
      <c r="N68" s="414" t="n"/>
    </row>
    <row r="69" ht="15" customHeight="1">
      <c r="A69" s="3" t="n"/>
      <c r="B69" s="17" t="inlineStr">
        <is>
          <t>Year 5 UFCF</t>
        </is>
      </c>
      <c r="C69" s="439" t="n"/>
      <c r="D69" s="442">
        <f>M49</f>
        <v/>
      </c>
      <c r="E69" s="414" t="n"/>
      <c r="F69" s="414" t="n"/>
      <c r="G69" s="414" t="n"/>
      <c r="H69" s="414" t="n"/>
      <c r="I69" s="414" t="n"/>
      <c r="J69" s="414" t="n"/>
      <c r="K69" s="414" t="n"/>
      <c r="L69" s="414" t="n"/>
      <c r="M69" s="414" t="n"/>
      <c r="N69" s="414" t="n"/>
    </row>
    <row r="70" ht="15" customHeight="1">
      <c r="A70" s="3" t="n"/>
      <c r="B70" s="17" t="inlineStr">
        <is>
          <t>Terminal Year UFCF (t+1)</t>
        </is>
      </c>
      <c r="C70" s="439" t="n"/>
      <c r="D70" s="442">
        <f>D69*(1+D67)</f>
        <v/>
      </c>
      <c r="E70" s="414" t="n"/>
      <c r="F70" s="414" t="n"/>
      <c r="G70" s="414" t="n"/>
      <c r="H70" s="414" t="n"/>
      <c r="I70" s="414" t="n"/>
      <c r="J70" s="414" t="n"/>
      <c r="K70" s="414" t="n"/>
      <c r="L70" s="414" t="n"/>
      <c r="M70" s="414" t="n"/>
      <c r="N70" s="414" t="n"/>
    </row>
    <row r="71" ht="15" customHeight="1" thickBot="1">
      <c r="A71" s="3" t="n"/>
      <c r="B71" s="58" t="inlineStr">
        <is>
          <t>Terminal Value (Gordon Growth)</t>
        </is>
      </c>
      <c r="C71" s="448" t="n"/>
      <c r="D71" s="455">
        <f>IFERROR(D70/(D68-D67),"–")</f>
        <v/>
      </c>
      <c r="E71" s="415" t="n"/>
      <c r="F71" s="415" t="n"/>
      <c r="G71" s="415" t="n"/>
      <c r="H71" s="415" t="n"/>
      <c r="I71" s="415" t="n"/>
      <c r="J71" s="415" t="n"/>
      <c r="K71" s="415" t="n"/>
      <c r="L71" s="415" t="n"/>
      <c r="M71" s="415" t="n"/>
      <c r="N71" s="415" t="n"/>
    </row>
    <row r="72" ht="15" customHeight="1">
      <c r="A72" s="3" t="n"/>
      <c r="B72" s="17" t="inlineStr">
        <is>
          <t>Terminal EBITDA Multiple (Alt.)</t>
        </is>
      </c>
      <c r="C72" s="9" t="n"/>
      <c r="D72" s="468">
        <f>IFERROR(D71/M15,"–")</f>
        <v/>
      </c>
      <c r="E72" s="414" t="n"/>
      <c r="F72" s="414" t="n"/>
      <c r="G72" s="414" t="n"/>
      <c r="H72" s="414" t="n"/>
      <c r="I72" s="414" t="n"/>
      <c r="J72" s="414" t="n"/>
      <c r="K72" s="414" t="n"/>
      <c r="L72" s="414" t="n"/>
      <c r="M72" s="414" t="n"/>
      <c r="N72" s="414" t="n"/>
    </row>
    <row r="73" ht="15" customHeight="1">
      <c r="A73" s="3" t="n"/>
      <c r="B73" s="14" t="n"/>
      <c r="C73" s="9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</row>
    <row r="74" ht="15" customHeight="1">
      <c r="A74" s="3" t="n"/>
      <c r="B74" s="14" t="inlineStr">
        <is>
          <t>Discounting Period (Years)</t>
        </is>
      </c>
      <c r="C74" s="9" t="n"/>
      <c r="D74" s="301">
        <f>1</f>
        <v/>
      </c>
      <c r="E74" s="22" t="n"/>
      <c r="F74" s="22" t="n"/>
      <c r="G74" s="469" t="n"/>
      <c r="H74" s="469" t="n"/>
      <c r="I74" s="470" t="n">
        <v>1</v>
      </c>
      <c r="J74" s="470" t="n">
        <v>2</v>
      </c>
      <c r="K74" s="470" t="n">
        <v>3</v>
      </c>
      <c r="L74" s="470" t="n">
        <v>4</v>
      </c>
      <c r="M74" s="470" t="n">
        <v>5</v>
      </c>
      <c r="N74" s="470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01">
        <f>1/(1+$D$68)^I74</f>
        <v/>
      </c>
      <c r="E75" s="22" t="n"/>
      <c r="F75" s="22" t="n"/>
      <c r="G75" s="471" t="n"/>
      <c r="H75" s="471" t="n"/>
      <c r="I75" s="322">
        <f>1/(1+$D$68)^I74</f>
        <v/>
      </c>
      <c r="J75" s="322">
        <f>1/(1+$D$68)^J74</f>
        <v/>
      </c>
      <c r="K75" s="322">
        <f>1/(1+$D$68)^K74</f>
        <v/>
      </c>
      <c r="L75" s="322">
        <f>1/(1+$D$68)^L74</f>
        <v/>
      </c>
      <c r="M75" s="322">
        <f>1/(1+$D$68)^M74</f>
        <v/>
      </c>
      <c r="N75" s="322">
        <f>1/(1+$D$68)^M74</f>
        <v/>
      </c>
    </row>
    <row r="76" ht="15" customHeight="1">
      <c r="A76" s="3" t="n"/>
      <c r="B76" s="14" t="inlineStr">
        <is>
          <t>UFCF to Discount</t>
        </is>
      </c>
      <c r="C76" s="439" t="n"/>
      <c r="D76" s="301">
        <f>I49</f>
        <v/>
      </c>
      <c r="E76" s="22" t="n"/>
      <c r="F76" s="22" t="n"/>
      <c r="G76" s="37" t="n"/>
      <c r="H76" s="37" t="n"/>
      <c r="I76" s="442">
        <f>I49</f>
        <v/>
      </c>
      <c r="J76" s="442">
        <f>J49</f>
        <v/>
      </c>
      <c r="K76" s="442">
        <f>K49</f>
        <v/>
      </c>
      <c r="L76" s="442">
        <f>L49</f>
        <v/>
      </c>
      <c r="M76" s="442">
        <f>M49</f>
        <v/>
      </c>
      <c r="N76" s="37" t="n"/>
    </row>
    <row r="77" ht="15" customHeight="1">
      <c r="A77" s="3" t="n"/>
      <c r="B77" s="14" t="inlineStr">
        <is>
          <t>Terminal Value to Discount</t>
        </is>
      </c>
      <c r="C77" s="439" t="n"/>
      <c r="D77" s="22" t="n"/>
      <c r="E77" s="22" t="n"/>
      <c r="F77" s="22" t="n"/>
      <c r="G77" s="37" t="n"/>
      <c r="H77" s="37" t="n"/>
      <c r="I77" s="37" t="n"/>
      <c r="J77" s="37" t="n"/>
      <c r="K77" s="37" t="n"/>
      <c r="L77" s="37" t="n"/>
      <c r="M77" s="37" t="n"/>
      <c r="N77" s="323">
        <f>D71</f>
        <v/>
      </c>
    </row>
    <row r="78" ht="15" customHeight="1">
      <c r="A78" s="3" t="n"/>
      <c r="B78" s="14" t="inlineStr">
        <is>
          <t>PV of UFCF + Terminal Value</t>
        </is>
      </c>
      <c r="C78" s="439" t="n"/>
      <c r="D78" s="22" t="n"/>
      <c r="E78" s="22" t="n"/>
      <c r="F78" s="22" t="n"/>
      <c r="G78" s="37" t="n"/>
      <c r="H78" s="37" t="n"/>
      <c r="I78" s="442">
        <f>I75*I76</f>
        <v/>
      </c>
      <c r="J78" s="442">
        <f>J75*J76</f>
        <v/>
      </c>
      <c r="K78" s="442">
        <f>K75*K76</f>
        <v/>
      </c>
      <c r="L78" s="442">
        <f>L75*L76</f>
        <v/>
      </c>
      <c r="M78" s="442">
        <f>M75*M76</f>
        <v/>
      </c>
      <c r="N78" s="442">
        <f>IFERROR(N75*N77,"–")</f>
        <v/>
      </c>
    </row>
    <row r="79" ht="15" customHeight="1">
      <c r="A79" s="3" t="n"/>
      <c r="B79" s="14" t="n"/>
      <c r="C79" s="9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</row>
    <row r="80" ht="18" customHeight="1">
      <c r="A80" s="7" t="n"/>
      <c r="B80" s="53" t="inlineStr">
        <is>
          <t>ENTERPRISE VALUE &amp; EQUITY VALUE</t>
        </is>
      </c>
      <c r="C80" s="48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</row>
    <row r="81" ht="18" customHeight="1">
      <c r="A81" s="141" t="n"/>
      <c r="B81" s="152" t="n"/>
      <c r="C81" s="153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</row>
    <row r="82" ht="15" customHeight="1">
      <c r="A82" s="3" t="n"/>
      <c r="B82" s="58" t="inlineStr">
        <is>
          <t>Sum of PV of UFCFs (Years 1-5)</t>
        </is>
      </c>
      <c r="C82" s="448" t="n"/>
      <c r="D82" s="450">
        <f>SUM(I78:M78)</f>
        <v/>
      </c>
      <c r="E82" s="414" t="n"/>
      <c r="F82" s="414" t="n"/>
      <c r="G82" s="414" t="n"/>
      <c r="H82" s="414" t="n"/>
      <c r="I82" s="414" t="n"/>
      <c r="J82" s="414" t="n"/>
      <c r="K82" s="414" t="n"/>
      <c r="L82" s="414" t="n"/>
      <c r="M82" s="414" t="n"/>
      <c r="N82" s="414" t="n"/>
    </row>
    <row r="83" ht="15" customHeight="1">
      <c r="A83" s="3" t="n"/>
      <c r="B83" s="17" t="inlineStr">
        <is>
          <t>PV of Terminal Value</t>
        </is>
      </c>
      <c r="C83" s="439" t="n"/>
      <c r="D83" s="450">
        <f>N78</f>
        <v/>
      </c>
      <c r="E83" s="414" t="n"/>
      <c r="F83" s="414" t="n"/>
      <c r="G83" s="414" t="n"/>
      <c r="H83" s="414" t="n"/>
      <c r="I83" s="414" t="n"/>
      <c r="J83" s="414" t="n"/>
      <c r="K83" s="414" t="n"/>
      <c r="L83" s="414" t="n"/>
      <c r="M83" s="414" t="n"/>
      <c r="N83" s="414" t="n"/>
    </row>
    <row r="84" ht="15" customHeight="1">
      <c r="A84" s="3" t="n"/>
      <c r="B84" s="58" t="inlineStr">
        <is>
          <t>Enterprise Value (EV)</t>
        </is>
      </c>
      <c r="C84" s="448" t="n"/>
      <c r="D84" s="450">
        <f>IFERROR(D82+D83,"–")</f>
        <v/>
      </c>
      <c r="E84" s="415" t="n"/>
      <c r="F84" s="415" t="n"/>
      <c r="G84" s="415" t="n"/>
      <c r="H84" s="415" t="n"/>
      <c r="I84" s="415" t="n"/>
      <c r="J84" s="415" t="n"/>
      <c r="K84" s="415" t="n"/>
      <c r="L84" s="415" t="n"/>
      <c r="M84" s="415" t="n"/>
      <c r="N84" s="415" t="n"/>
    </row>
    <row r="85" ht="15" customHeight="1">
      <c r="A85" s="81" t="n"/>
      <c r="B85" s="145" t="n"/>
      <c r="C85" s="463" t="n"/>
      <c r="D85" s="66" t="n"/>
      <c r="E85" s="416" t="n"/>
      <c r="F85" s="416" t="n"/>
      <c r="G85" s="416" t="n"/>
      <c r="H85" s="416" t="n"/>
      <c r="I85" s="416" t="n"/>
      <c r="J85" s="416" t="n"/>
      <c r="K85" s="416" t="n"/>
      <c r="L85" s="416" t="n"/>
      <c r="M85" s="416" t="n"/>
      <c r="N85" s="416" t="n"/>
    </row>
    <row r="86" ht="15" customHeight="1">
      <c r="A86" s="3" t="n"/>
      <c r="B86" s="17" t="inlineStr">
        <is>
          <t>(-) Total Debt</t>
        </is>
      </c>
      <c r="C86" s="439" t="n"/>
      <c r="D86" s="442">
        <f>-(INPUT!H49+INPUT!H55)</f>
        <v/>
      </c>
      <c r="E86" s="414" t="n"/>
      <c r="F86" s="414" t="n"/>
      <c r="G86" s="414" t="n"/>
      <c r="H86" s="414" t="n"/>
      <c r="I86" s="414" t="n"/>
      <c r="J86" s="414" t="n"/>
      <c r="K86" s="414" t="n"/>
      <c r="L86" s="414" t="n"/>
      <c r="M86" s="414" t="n"/>
      <c r="N86" s="414" t="n"/>
    </row>
    <row r="87" ht="15" customHeight="1">
      <c r="A87" s="3" t="n"/>
      <c r="B87" s="17" t="inlineStr">
        <is>
          <t>(+) Cash &amp; Cash Equivalents</t>
        </is>
      </c>
      <c r="C87" s="439" t="n"/>
      <c r="D87" s="442">
        <f>INPUT!H34</f>
        <v/>
      </c>
      <c r="E87" s="414" t="n"/>
      <c r="F87" s="414" t="n"/>
      <c r="G87" s="414" t="n"/>
      <c r="H87" s="414" t="n"/>
      <c r="I87" s="414" t="n"/>
      <c r="J87" s="414" t="n"/>
      <c r="K87" s="414" t="n"/>
      <c r="L87" s="414" t="n"/>
      <c r="M87" s="414" t="n"/>
      <c r="N87" s="414" t="n"/>
    </row>
    <row r="88" ht="15" customHeight="1" thickBot="1">
      <c r="A88" s="3" t="n"/>
      <c r="B88" s="58" t="inlineStr">
        <is>
          <t>Equity Value</t>
        </is>
      </c>
      <c r="C88" s="448" t="n"/>
      <c r="D88" s="455">
        <f>IFERROR(D84+D86+D87,"–")</f>
        <v/>
      </c>
      <c r="E88" s="415" t="n"/>
      <c r="F88" s="415" t="n"/>
      <c r="G88" s="415" t="n"/>
      <c r="H88" s="415" t="n"/>
      <c r="I88" s="415" t="n"/>
      <c r="J88" s="415" t="n"/>
      <c r="K88" s="415" t="n"/>
      <c r="L88" s="415" t="n"/>
      <c r="M88" s="415" t="n"/>
      <c r="N88" s="415" t="n"/>
    </row>
    <row r="89" ht="15" customHeight="1">
      <c r="A89" s="81" t="n"/>
      <c r="B89" s="145" t="n"/>
      <c r="C89" s="463" t="n"/>
      <c r="D89" s="66" t="n"/>
      <c r="E89" s="416" t="n"/>
      <c r="F89" s="416" t="n"/>
      <c r="G89" s="416" t="n"/>
      <c r="H89" s="416" t="n"/>
      <c r="I89" s="416" t="n"/>
      <c r="J89" s="416" t="n"/>
      <c r="K89" s="416" t="n"/>
      <c r="L89" s="416" t="n"/>
      <c r="M89" s="416" t="n"/>
      <c r="N89" s="416" t="n"/>
    </row>
    <row r="90" ht="15" customHeight="1">
      <c r="A90" s="3" t="n"/>
      <c r="B90" s="17" t="inlineStr">
        <is>
          <t>Shares Outstanding (Diluted)</t>
        </is>
      </c>
      <c r="C90" s="9" t="n"/>
      <c r="D90" s="273">
        <f>INPUT!H96</f>
        <v/>
      </c>
      <c r="E90" s="414" t="n"/>
      <c r="F90" s="414" t="n"/>
      <c r="G90" s="414" t="n"/>
      <c r="H90" s="414" t="n"/>
      <c r="I90" s="414" t="n"/>
      <c r="J90" s="414" t="n"/>
      <c r="K90" s="414" t="n"/>
      <c r="L90" s="414" t="n"/>
      <c r="M90" s="414" t="n"/>
      <c r="N90" s="414" t="n"/>
    </row>
    <row r="91" ht="15" customHeight="1" thickBot="1">
      <c r="A91" s="3" t="n"/>
      <c r="B91" s="58" t="inlineStr">
        <is>
          <t>Implied Share Price (DCF)</t>
        </is>
      </c>
      <c r="C91" s="11" t="n"/>
      <c r="D91" s="324">
        <f>IFERROR(D88/D90,"–")</f>
        <v/>
      </c>
      <c r="E91" s="415" t="n"/>
      <c r="F91" s="415" t="n"/>
      <c r="G91" s="415" t="n"/>
      <c r="H91" s="415" t="n"/>
      <c r="I91" s="415" t="n"/>
      <c r="J91" s="415" t="n"/>
      <c r="K91" s="415" t="n"/>
      <c r="L91" s="415" t="n"/>
      <c r="M91" s="415" t="n"/>
      <c r="N91" s="415" t="n"/>
    </row>
    <row r="92" ht="15" customHeight="1">
      <c r="A92" s="3" t="n"/>
      <c r="B92" s="17" t="inlineStr">
        <is>
          <t>Current Share Price</t>
        </is>
      </c>
      <c r="C92" s="9" t="inlineStr">
        <is>
          <t>($)</t>
        </is>
      </c>
      <c r="D92" s="325">
        <f>INPUT!H95</f>
        <v/>
      </c>
      <c r="E92" s="414" t="n"/>
      <c r="F92" s="414" t="n"/>
      <c r="G92" s="414" t="n"/>
      <c r="H92" s="414" t="n"/>
      <c r="I92" s="414" t="n"/>
      <c r="J92" s="414" t="n"/>
      <c r="K92" s="414" t="n"/>
      <c r="L92" s="414" t="n"/>
      <c r="M92" s="414" t="n"/>
      <c r="N92" s="414" t="n"/>
    </row>
    <row r="93" ht="15" customHeight="1">
      <c r="A93" s="3" t="n"/>
      <c r="B93" s="17" t="inlineStr">
        <is>
          <t>Upside / (Downside)</t>
        </is>
      </c>
      <c r="C93" s="9" t="inlineStr">
        <is>
          <t>(%)</t>
        </is>
      </c>
      <c r="D93" s="461">
        <f>IFERROR(D91/D92-1,"–")</f>
        <v/>
      </c>
      <c r="E93" s="414" t="n"/>
      <c r="F93" s="414" t="n"/>
      <c r="G93" s="414" t="n"/>
      <c r="H93" s="414" t="n"/>
      <c r="I93" s="414" t="n"/>
      <c r="J93" s="414" t="n"/>
      <c r="K93" s="414" t="n"/>
      <c r="L93" s="414" t="n"/>
      <c r="M93" s="414" t="n"/>
      <c r="N93" s="414" t="n"/>
    </row>
    <row r="94" ht="15" customHeight="1">
      <c r="A94" s="3" t="n"/>
      <c r="B94" s="115" t="inlineStr">
        <is>
          <t>UFCF IRR (5-Year)</t>
        </is>
      </c>
      <c r="C94" s="116" t="inlineStr">
        <is>
          <t>(%)</t>
        </is>
      </c>
      <c r="D94" s="472">
        <f>IFERROR(IRR(I49:M49),"–")</f>
        <v/>
      </c>
      <c r="E94" s="414" t="n"/>
      <c r="F94" s="414" t="n"/>
      <c r="G94" s="414" t="n"/>
      <c r="H94" s="414" t="n"/>
      <c r="I94" s="414" t="n"/>
      <c r="J94" s="414" t="n"/>
      <c r="K94" s="414" t="n"/>
      <c r="L94" s="414" t="n"/>
      <c r="M94" s="414" t="n"/>
      <c r="N94" s="414" t="n"/>
    </row>
    <row r="95" ht="15" customHeight="1">
      <c r="A95" s="3" t="n"/>
      <c r="B95" s="115" t="n"/>
      <c r="C95" s="116" t="n"/>
      <c r="D95" s="473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53" t="inlineStr">
        <is>
          <t>SENSITIVITY ANALYSIS — Implied Share Price ($)</t>
        </is>
      </c>
      <c r="C96" s="48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</row>
    <row r="97" ht="15" customHeight="1">
      <c r="A97" s="1" t="n"/>
      <c r="B97" s="16" t="inlineStr">
        <is>
          <t>Terminal Growth Rate →</t>
        </is>
      </c>
      <c r="C97" s="99" t="inlineStr">
        <is>
          <t>WACC ↓</t>
        </is>
      </c>
      <c r="D97" s="99" t="n">
        <v>0</v>
      </c>
      <c r="E97" s="99" t="n">
        <v>0.01</v>
      </c>
      <c r="F97" s="99" t="n">
        <v>0.02</v>
      </c>
      <c r="G97" s="99" t="n">
        <v>0.03</v>
      </c>
      <c r="H97" s="99" t="n">
        <v>0.04</v>
      </c>
      <c r="I97" s="24" t="n"/>
      <c r="J97" s="24" t="n"/>
      <c r="K97" s="24" t="n"/>
      <c r="L97" s="24" t="n"/>
      <c r="M97" s="24" t="n"/>
      <c r="N97" s="24" t="n"/>
    </row>
    <row r="98" ht="15" customHeight="1">
      <c r="A98" s="3" t="n"/>
      <c r="B98" s="14" t="n"/>
      <c r="C98" s="474">
        <f>D63-0.02</f>
        <v/>
      </c>
      <c r="D98" s="325">
        <f>IFERROR((D82+((D69*(1+0))/(C98-0))/(1+C98)^5+D86+D87)/D90,"–")</f>
        <v/>
      </c>
      <c r="E98" s="325">
        <f>IFERROR((D82+((D69*(1+0.01))/(C98-0.01))/(1+C98)^5+D86+D87)/D90,"–")</f>
        <v/>
      </c>
      <c r="F98" s="325">
        <f>IFERROR((D82+((D69*(1+0.02))/(C98-0.02))/(1+C98)^5+D86+D87)/D90,"–")</f>
        <v/>
      </c>
      <c r="G98" s="325">
        <f>IFERROR((D82+((D69*(1+0.03))/(C98-0.03))/(1+C98)^5+D86+D87)/D90,"–")</f>
        <v/>
      </c>
      <c r="H98" s="325">
        <f>IFERROR((D82+((D69*(1+0.04))/(C98-0.04))/(1+C98)^5+D86+D87)/D90,"–")</f>
        <v/>
      </c>
      <c r="I98" s="22" t="n"/>
      <c r="J98" s="22" t="n"/>
      <c r="K98" s="22" t="n"/>
      <c r="L98" s="22" t="n"/>
      <c r="M98" s="22" t="n"/>
      <c r="N98" s="22" t="n"/>
    </row>
    <row r="99" ht="15" customHeight="1">
      <c r="A99" s="3" t="n"/>
      <c r="B99" s="14" t="n"/>
      <c r="C99" s="474">
        <f>D63-0.01</f>
        <v/>
      </c>
      <c r="D99" s="325">
        <f>IFERROR((D82+((D69*(1+0))/(C99-0))/(1+C99)^5+D86+D87)/D90,"–")</f>
        <v/>
      </c>
      <c r="E99" s="325">
        <f>IFERROR((D82+((D69*(1+0.01))/(C99-0.01))/(1+C99)^5+D86+D87)/D90,"–")</f>
        <v/>
      </c>
      <c r="F99" s="325">
        <f>IFERROR((D82+((D69*(1+0.02))/(C99-0.02))/(1+C99)^5+D86+D87)/D90,"–")</f>
        <v/>
      </c>
      <c r="G99" s="325">
        <f>IFERROR((D82+((D69*(1+0.03))/(C99-0.03))/(1+C99)^5+D86+D87)/D90,"–")</f>
        <v/>
      </c>
      <c r="H99" s="325">
        <f>IFERROR((D82+((D69*(1+0.04))/(C99-0.04))/(1+C99)^5+D86+D87)/D90,"–")</f>
        <v/>
      </c>
      <c r="I99" s="22" t="n"/>
      <c r="J99" s="22" t="n"/>
      <c r="K99" s="22" t="n"/>
      <c r="L99" s="22" t="n"/>
      <c r="M99" s="22" t="n"/>
      <c r="N99" s="22" t="n"/>
    </row>
    <row r="100" ht="15" customHeight="1">
      <c r="A100" s="3" t="n"/>
      <c r="B100" s="14" t="n"/>
      <c r="C100" s="475">
        <f>D63</f>
        <v/>
      </c>
      <c r="D100" s="325">
        <f>IFERROR((D82+((D69*(1+0))/(C100-0))/(1+C100)^5+D86+D87)/D90,"–")</f>
        <v/>
      </c>
      <c r="E100" s="325">
        <f>IFERROR((D82+((D69*(1+0.01))/(C100-0.01))/(1+C100)^5+D86+D87)/D90,"–")</f>
        <v/>
      </c>
      <c r="F100" s="329">
        <f>IFERROR((D82+((D69*(1+0.02))/(C100-0.02))/(1+C100)^5+D86+D87)/D90,"–")</f>
        <v/>
      </c>
      <c r="G100" s="325">
        <f>IFERROR((D82+((D69*(1+0.03))/(C100-0.03))/(1+C100)^5+D86+D87)/D90,"–")</f>
        <v/>
      </c>
      <c r="H100" s="325">
        <f>IFERROR((D82+((D69*(1+0.04))/(C100-0.04))/(1+C100)^5+D86+D87)/D90,"–")</f>
        <v/>
      </c>
      <c r="I100" s="22" t="n"/>
      <c r="J100" s="22" t="n"/>
      <c r="K100" s="22" t="n"/>
      <c r="L100" s="22" t="n"/>
      <c r="M100" s="22" t="n"/>
      <c r="N100" s="22" t="n"/>
    </row>
    <row r="101" ht="15" customHeight="1">
      <c r="A101" s="3" t="n"/>
      <c r="B101" s="14" t="n"/>
      <c r="C101" s="474">
        <f>D63+0.01</f>
        <v/>
      </c>
      <c r="D101" s="325">
        <f>IFERROR((D82+((D69*(1+0))/(C101-0))/(1+C101)^5+D86+D87)/D90,"–")</f>
        <v/>
      </c>
      <c r="E101" s="325">
        <f>IFERROR((D82+((D69*(1+0.01))/(C101-0.01))/(1+C101)^5+D86+D87)/D90,"–")</f>
        <v/>
      </c>
      <c r="F101" s="325">
        <f>IFERROR((D82+((D69*(1+0.02))/(C101-0.02))/(1+C101)^5+D86+D87)/D90,"–")</f>
        <v/>
      </c>
      <c r="G101" s="325">
        <f>IFERROR((D82+((D69*(1+0.03))/(C101-0.03))/(1+C101)^5+D86+D87)/D90,"–")</f>
        <v/>
      </c>
      <c r="H101" s="325">
        <f>IFERROR((D82+((D69*(1+0.04))/(C101-0.04))/(1+C101)^5+D86+D87)/D90,"–")</f>
        <v/>
      </c>
      <c r="I101" s="22" t="n"/>
      <c r="J101" s="22" t="n"/>
      <c r="K101" s="22" t="n"/>
      <c r="L101" s="22" t="n"/>
      <c r="M101" s="22" t="n"/>
      <c r="N101" s="22" t="n"/>
    </row>
    <row r="102" ht="15" customHeight="1">
      <c r="A102" s="3" t="n"/>
      <c r="B102" s="14" t="n"/>
      <c r="C102" s="474">
        <f>D63+0.02</f>
        <v/>
      </c>
      <c r="D102" s="325">
        <f>IFERROR((D82+((D69*(1+0))/(C102-0))/(1+C102)^5+D86+D87)/D90,"–")</f>
        <v/>
      </c>
      <c r="E102" s="325">
        <f>IFERROR((D82+((D69*(1+0.01))/(C102-0.01))/(1+C102)^5+D86+D87)/D90,"–")</f>
        <v/>
      </c>
      <c r="F102" s="325">
        <f>IFERROR((D82+((D69*(1+0.02))/(C102-0.02))/(1+C102)^5+D86+D87)/D90,"–")</f>
        <v/>
      </c>
      <c r="G102" s="325">
        <f>IFERROR((D82+((D69*(1+0.03))/(C102-0.03))/(1+C102)^5+D86+D87)/D90,"–")</f>
        <v/>
      </c>
      <c r="H102" s="32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at current, g = 2%)</t>
        </is>
      </c>
      <c r="C103" s="9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53" t="inlineStr">
        <is>
          <t>SCENARIO ANALYSIS — 3 SCENARIOS</t>
        </is>
      </c>
      <c r="C105" s="48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99" t="inlineStr">
        <is>
          <t>(Units)</t>
        </is>
      </c>
      <c r="D106" s="24" t="inlineStr">
        <is>
          <t>Pessimistic</t>
        </is>
      </c>
      <c r="E106" s="24" t="n"/>
      <c r="F106" s="24" t="inlineStr">
        <is>
          <t>Realistic (Base)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461">
        <f>D29-0.03</f>
        <v/>
      </c>
      <c r="E107" s="461">
        <f>D29</f>
        <v/>
      </c>
      <c r="F107" s="461">
        <f>D29+0.03</f>
        <v/>
      </c>
      <c r="G107" s="330">
        <f>D29+0.03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461">
        <f>IFERROR(D15/D9-0.03,"–")</f>
        <v/>
      </c>
      <c r="E108" s="461">
        <f>IFERROR(H15/H9,"–")</f>
        <v/>
      </c>
      <c r="F108" s="461">
        <f>IFERROR(H15/H9+0.03,"–")</f>
        <v/>
      </c>
      <c r="G108" s="330">
        <f>IFERROR(D15/D9+0.03,"–")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461">
        <f>D67-0.01</f>
        <v/>
      </c>
      <c r="E109" s="461">
        <f>D67</f>
        <v/>
      </c>
      <c r="F109" s="461">
        <f>D67+0.01</f>
        <v/>
      </c>
      <c r="G109" s="330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461">
        <f>D63+0.01</f>
        <v/>
      </c>
      <c r="E110" s="461">
        <f>D63</f>
        <v/>
      </c>
      <c r="F110" s="461">
        <f>D63-0.01</f>
        <v/>
      </c>
      <c r="G110" s="330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31">
        <f>IFERROR((D82+((D69*(1+D109))/(D110-D109))/(1+D110)^5+D86+D87)/D90,"–")</f>
        <v/>
      </c>
      <c r="E111" s="325">
        <f>D91</f>
        <v/>
      </c>
      <c r="F111" s="331">
        <f>IFERROR((D82+((D69*(1+G109))/(G110-G109))/(1+G110)^5+D86+D87)/D90,"–")</f>
        <v/>
      </c>
      <c r="G111" s="476">
        <f>IFERROR((D82+((D69*(1+G109))/(G110-G109)/(1+G110)^5)+D86+D87)/D90,"–")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3" t="inlineStr">
        <is>
          <t>© 2015 to 2024 FinSight</t>
        </is>
      </c>
      <c r="C113" s="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</row>
    <row r="114" ht="15" customHeight="1">
      <c r="A114" s="4" t="n"/>
      <c r="B114" s="33" t="inlineStr">
        <is>
          <t>This Excel model is for educational purposes only.</t>
        </is>
      </c>
      <c r="C114" s="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</row>
    <row r="115" ht="15" customHeight="1">
      <c r="A115" s="4" t="n"/>
      <c r="B115" s="33" t="inlineStr">
        <is>
          <t>https://finsight.com/</t>
        </is>
      </c>
      <c r="C115" s="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</row>
    <row r="116" ht="15" customHeight="1">
      <c r="B116" s="51" t="n"/>
    </row>
    <row r="117" ht="15" customHeight="1">
      <c r="A117" s="100" t="n"/>
      <c r="B117" s="103" t="inlineStr">
        <is>
          <t>UFCF Projection ($000)</t>
        </is>
      </c>
      <c r="C117" s="103">
        <f>TEXT(INPUT!D117+1,"0")&amp;"F"</f>
        <v/>
      </c>
      <c r="D117" s="103">
        <f>TEXT(INPUT!D117+2,"0")&amp;"F"</f>
        <v/>
      </c>
      <c r="E117" s="103">
        <f>TEXT(INPUT!D117+3,"0")&amp;"F"</f>
        <v/>
      </c>
      <c r="F117" s="103">
        <f>TEXT(INPUT!D117+4,"0")&amp;"F"</f>
        <v/>
      </c>
      <c r="G117" s="103">
        <f>TEXT(INPUT!D117+5,"0")&amp;"F"</f>
        <v/>
      </c>
      <c r="H117" s="102" t="n"/>
      <c r="I117" s="102" t="n"/>
      <c r="J117" s="102" t="n"/>
      <c r="K117" s="102" t="n"/>
      <c r="L117" s="102" t="n"/>
      <c r="M117" s="102" t="n"/>
      <c r="N117" s="102" t="n"/>
    </row>
    <row r="118" ht="15" customHeight="1">
      <c r="B118" s="51" t="inlineStr">
        <is>
          <t>UFCF</t>
        </is>
      </c>
      <c r="C118" s="333">
        <f>IF(I49=0,NA(),I49)</f>
        <v/>
      </c>
      <c r="D118" s="333">
        <f>IF(J49=0,NA(),J49)</f>
        <v/>
      </c>
      <c r="E118" s="333">
        <f>IF(K49=0,NA(),K49)</f>
        <v/>
      </c>
      <c r="F118" s="333">
        <f>IF(L49=0,NA(),L49)</f>
        <v/>
      </c>
      <c r="G118" s="333">
        <f>IF(M49=0,NA(),M49)</f>
        <v/>
      </c>
      <c r="H118" s="102" t="n"/>
      <c r="I118" s="102" t="n"/>
      <c r="J118" s="102" t="n"/>
      <c r="K118" s="102" t="n"/>
      <c r="L118" s="102" t="n"/>
      <c r="M118" s="102" t="n"/>
      <c r="N118" s="102" t="n"/>
    </row>
    <row r="119" ht="15" customHeight="1">
      <c r="B119" s="51" t="n"/>
      <c r="C119" s="287">
        <f>TEXT(INPUT!D117+1,"0")&amp;"F"</f>
        <v/>
      </c>
      <c r="D119" s="287">
        <f>TEXT(INPUT!D117+2,"0")&amp;"F"</f>
        <v/>
      </c>
      <c r="E119" s="287">
        <f>TEXT(INPUT!D117+3,"0")&amp;"F"</f>
        <v/>
      </c>
      <c r="F119" s="287">
        <f>TEXT(INPUT!D117+4,"0")&amp;"F"</f>
        <v/>
      </c>
      <c r="G119" s="287">
        <f>TEXT(INPUT!D117+5,"0")&amp;"F"</f>
        <v/>
      </c>
      <c r="H119" s="102" t="n"/>
      <c r="I119" s="102" t="n"/>
      <c r="J119" s="102" t="n"/>
      <c r="K119" s="102" t="n"/>
      <c r="L119" s="102" t="n"/>
      <c r="M119" s="102" t="n"/>
      <c r="N119" s="102" t="n"/>
    </row>
    <row r="120" ht="15" customHeight="1">
      <c r="A120" s="100" t="n"/>
      <c r="B120" s="103" t="inlineStr">
        <is>
          <t>Revenue Projection ($000)</t>
        </is>
      </c>
      <c r="C120" s="103">
        <f>IF(I9=0,NA(),I9)</f>
        <v/>
      </c>
      <c r="D120" s="103">
        <f>IF(J9=0,NA(),J9)</f>
        <v/>
      </c>
      <c r="E120" s="103">
        <f>IF(K9=0,NA(),K9)</f>
        <v/>
      </c>
      <c r="F120" s="103">
        <f>IF(L9=0,NA(),L9)</f>
        <v/>
      </c>
      <c r="G120" s="103">
        <f>IF(M9=0,NA(),M9)</f>
        <v/>
      </c>
      <c r="H120" s="102" t="n"/>
      <c r="I120" s="102" t="n"/>
      <c r="J120" s="102" t="n"/>
      <c r="K120" s="102" t="n"/>
      <c r="L120" s="102" t="n"/>
      <c r="M120" s="102" t="n"/>
      <c r="N120" s="102" t="n"/>
    </row>
    <row r="121" ht="15" customHeight="1">
      <c r="B121" s="51" t="inlineStr">
        <is>
          <t>Revenue</t>
        </is>
      </c>
      <c r="C121" s="334">
        <f>IF(G9=0,NA(),G9)</f>
        <v/>
      </c>
      <c r="D121" s="333">
        <f>IF(H9=0,NA(),H9)</f>
        <v/>
      </c>
      <c r="E121" s="333">
        <f>IF(I9=0,NA(),I9)</f>
        <v/>
      </c>
      <c r="F121" s="333">
        <f>IF(J9=0,NA(),J9)</f>
        <v/>
      </c>
      <c r="G121" s="333">
        <f>IF(K9=0,NA(),K9)</f>
        <v/>
      </c>
      <c r="H121" s="102" t="n"/>
      <c r="I121" s="102" t="n"/>
      <c r="J121" s="102" t="n"/>
      <c r="K121" s="102" t="n"/>
      <c r="L121" s="102" t="n"/>
      <c r="M121" s="102" t="n"/>
      <c r="N121" s="102" t="n"/>
    </row>
    <row r="122" ht="15" customHeight="1">
      <c r="B122" s="51" t="n"/>
    </row>
    <row r="123" ht="15" customHeight="1">
      <c r="B123" s="51" t="n"/>
    </row>
    <row r="124" ht="15" customHeight="1">
      <c r="B124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0"/>
  <sheetViews>
    <sheetView showGridLines="0" tabSelected="1" zoomScale="79" zoomScaleNormal="100" workbookViewId="0">
      <selection activeCell="N9" sqref="N9"/>
    </sheetView>
  </sheetViews>
  <sheetFormatPr baseColWidth="10" defaultRowHeight="14.4"/>
  <cols>
    <col width="6.88671875" customWidth="1" min="1" max="1"/>
    <col width="34.88671875" customWidth="1" style="19" min="2" max="2"/>
    <col width="11.6640625" customWidth="1" min="3" max="3"/>
    <col width="13.33203125" customWidth="1" style="21" min="4" max="4"/>
    <col width="14.44140625" customWidth="1" style="21" min="5" max="6"/>
    <col width="12" customWidth="1" style="21" min="7" max="11"/>
    <col width="16.88671875" customWidth="1" style="21" min="12" max="12"/>
    <col width="11.5546875" customWidth="1" style="21" min="13" max="14"/>
  </cols>
  <sheetData>
    <row r="1" ht="54.9" customHeight="1">
      <c r="A1" s="250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COMPARABLES — Trading Comparables</t>
        </is>
      </c>
      <c r="L1" s="29" t="n"/>
      <c r="M1" s="264" t="n"/>
      <c r="N1" s="264" t="n"/>
      <c r="O1" s="264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26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108" t="n"/>
      <c r="N3" s="108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26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108" t="n"/>
      <c r="N6" s="108" t="n"/>
    </row>
    <row r="7" ht="15" customHeight="1">
      <c r="A7" s="251" t="n"/>
      <c r="B7" s="16" t="n"/>
      <c r="C7" s="1" t="n"/>
      <c r="D7" s="35" t="inlineStr">
        <is>
          <t>Share
Price</t>
        </is>
      </c>
      <c r="E7" s="35" t="inlineStr">
        <is>
          <t>Enterprise
Value</t>
        </is>
      </c>
      <c r="F7" s="35" t="inlineStr">
        <is>
          <t>Revenue
(LTM)</t>
        </is>
      </c>
      <c r="G7" s="35" t="inlineStr">
        <is>
          <t>EBITDA
(LTM)</t>
        </is>
      </c>
      <c r="H7" s="35" t="inlineStr">
        <is>
          <t>EV /
EBITDA</t>
        </is>
      </c>
      <c r="I7" s="35" t="inlineStr">
        <is>
          <t>EV /
Revenue</t>
        </is>
      </c>
      <c r="J7" s="35" t="inlineStr">
        <is>
          <t>EBITDA
Growth (NTM)</t>
        </is>
      </c>
      <c r="K7" s="35" t="inlineStr">
        <is>
          <t>EPS
(LTM)</t>
        </is>
      </c>
      <c r="L7" s="35" t="inlineStr">
        <is>
          <t>P / E
(LTM)</t>
        </is>
      </c>
      <c r="M7" s="251" t="n"/>
    </row>
    <row r="8" ht="15" customHeight="1">
      <c r="A8" s="263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(%)</t>
        </is>
      </c>
      <c r="K8" s="31" t="inlineStr">
        <is>
          <t>(USD/sh)</t>
        </is>
      </c>
      <c r="L8" s="31" t="inlineStr">
        <is>
          <t>(x)</t>
        </is>
      </c>
    </row>
    <row r="9" ht="15" customHeight="1">
      <c r="A9" s="3" t="n"/>
      <c r="B9" s="41" t="inlineStr">
        <is>
          <t>Oracle Corporation</t>
        </is>
      </c>
      <c r="C9" s="9" t="inlineStr">
        <is>
          <t>ORCL</t>
        </is>
      </c>
      <c r="D9" s="477" t="n">
        <v>142.81</v>
      </c>
      <c r="E9" s="36" t="n">
        <v>539271.14</v>
      </c>
      <c r="F9" s="36" t="n">
        <v>64076</v>
      </c>
      <c r="G9" s="36" t="n">
        <v>27441</v>
      </c>
      <c r="H9" s="478">
        <f>IFERROR(E9/G9,"–")</f>
        <v/>
      </c>
      <c r="I9" s="478">
        <f>IFERROR(E9/F9,"–")</f>
        <v/>
      </c>
      <c r="J9" s="479" t="n"/>
      <c r="K9" s="477" t="n">
        <v>5.57</v>
      </c>
      <c r="L9" s="478">
        <f>IFERROR(D9/K9,"–")</f>
        <v/>
      </c>
    </row>
    <row r="10" ht="15" customHeight="1">
      <c r="A10" s="3" t="n"/>
      <c r="B10" s="41" t="inlineStr">
        <is>
          <t>Microsoft Corporation</t>
        </is>
      </c>
      <c r="C10" s="9" t="inlineStr">
        <is>
          <t>MSFT</t>
        </is>
      </c>
      <c r="D10" s="477" t="n">
        <v>365.97</v>
      </c>
      <c r="E10" s="36" t="n">
        <v>2751373.51</v>
      </c>
      <c r="F10" s="36" t="n">
        <v>305453.01</v>
      </c>
      <c r="G10" s="36" t="n">
        <v>175258.99</v>
      </c>
      <c r="H10" s="478">
        <f>IFERROR(E10/G10,"–")</f>
        <v/>
      </c>
      <c r="I10" s="478">
        <f>IFERROR(E10/F10,"–")</f>
        <v/>
      </c>
      <c r="J10" s="479" t="n"/>
      <c r="K10" s="477" t="n">
        <v>15.99</v>
      </c>
      <c r="L10" s="478">
        <f>IFERROR(D10/K10,"–")</f>
        <v/>
      </c>
    </row>
    <row r="11" ht="15" customHeight="1">
      <c r="A11" s="3" t="n"/>
      <c r="B11" s="41" t="inlineStr">
        <is>
          <t>Salesforce, Inc.</t>
        </is>
      </c>
      <c r="C11" s="9" t="inlineStr">
        <is>
          <t>CRM</t>
        </is>
      </c>
      <c r="D11" s="477" t="n">
        <v>185.64</v>
      </c>
      <c r="E11" s="36" t="n">
        <v>179491.72</v>
      </c>
      <c r="F11" s="36" t="n">
        <v>41525</v>
      </c>
      <c r="G11" s="36" t="n">
        <v>12548</v>
      </c>
      <c r="H11" s="478">
        <f>IFERROR(E11/G11,"–")</f>
        <v/>
      </c>
      <c r="I11" s="478">
        <f>IFERROR(E11/F11,"–")</f>
        <v/>
      </c>
      <c r="J11" s="479" t="n"/>
      <c r="K11" s="477" t="n">
        <v>7.8</v>
      </c>
      <c r="L11" s="478">
        <f>IFERROR(D11/K11,"–")</f>
        <v/>
      </c>
    </row>
    <row r="12" ht="15" customHeight="1">
      <c r="A12" s="3" t="n"/>
      <c r="B12" s="41" t="inlineStr">
        <is>
          <t>ServiceNow, Inc.</t>
        </is>
      </c>
      <c r="C12" s="9" t="inlineStr">
        <is>
          <t>NOW</t>
        </is>
      </c>
      <c r="D12" s="477" t="n">
        <v>103.64</v>
      </c>
      <c r="E12" s="36" t="n">
        <v>104526.44</v>
      </c>
      <c r="F12" s="36" t="n">
        <v>13278</v>
      </c>
      <c r="G12" s="36" t="n">
        <v>2738</v>
      </c>
      <c r="H12" s="478">
        <f>IFERROR(E12/G12,"–")</f>
        <v/>
      </c>
      <c r="I12" s="478">
        <f>IFERROR(E12/F12,"–")</f>
        <v/>
      </c>
      <c r="J12" s="479" t="n"/>
      <c r="K12" s="477" t="n">
        <v>1.67</v>
      </c>
      <c r="L12" s="478">
        <f>IFERROR(D12/K12,"–")</f>
        <v/>
      </c>
    </row>
    <row r="13" ht="15" customHeight="1">
      <c r="A13" s="3" t="n"/>
      <c r="B13" s="41" t="inlineStr">
        <is>
          <t>Workday, Inc.</t>
        </is>
      </c>
      <c r="C13" s="9" t="inlineStr">
        <is>
          <t>WDAY</t>
        </is>
      </c>
      <c r="D13" s="480" t="n">
        <v>127.97</v>
      </c>
      <c r="E13" s="71" t="n">
        <v>31266.29</v>
      </c>
      <c r="F13" s="71" t="n">
        <v>9552</v>
      </c>
      <c r="G13" s="71" t="n">
        <v>1371</v>
      </c>
      <c r="H13" s="481">
        <f>IFERROR(E13/G13,"–")</f>
        <v/>
      </c>
      <c r="I13" s="481">
        <f>IFERROR(E13/F13,"–")</f>
        <v/>
      </c>
      <c r="J13" s="482" t="n"/>
      <c r="K13" s="480" t="n">
        <v>2.58</v>
      </c>
      <c r="L13" s="481">
        <f>IFERROR(D13/K13,"–")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15" customHeight="1">
      <c r="A15" s="3" t="n"/>
      <c r="B15" s="14" t="inlineStr">
        <is>
          <t>Mean</t>
        </is>
      </c>
      <c r="C15" s="9" t="n"/>
      <c r="D15" s="323">
        <f>IFERROR(AVERAGE(D9:D13),"–")</f>
        <v/>
      </c>
      <c r="E15" s="323">
        <f>IFERROR(AVERAGE(E9:E13),"–")</f>
        <v/>
      </c>
      <c r="F15" s="323">
        <f>IFERROR(AVERAGE(F9:F13),"–")</f>
        <v/>
      </c>
      <c r="G15" s="323">
        <f>IFERROR(AVERAGE(G9:G13),"–")</f>
        <v/>
      </c>
      <c r="H15" s="483">
        <f>IFERROR(AVERAGE(H9:H13),"–")</f>
        <v/>
      </c>
      <c r="I15" s="483">
        <f>IFERROR(AVERAGE(I9:I13),"–")</f>
        <v/>
      </c>
      <c r="J15" s="484">
        <f>IFERROR(AVERAGE(J9:J13),"–")</f>
        <v/>
      </c>
      <c r="K15" s="485">
        <f>IFERROR(AVERAGE(K9:K13),"–")</f>
        <v/>
      </c>
      <c r="L15" s="483">
        <f>IFERROR(AVERAGE(L9:L13),"–")</f>
        <v/>
      </c>
    </row>
    <row r="16" ht="15" customHeight="1">
      <c r="A16" s="3" t="n"/>
      <c r="B16" s="14" t="inlineStr">
        <is>
          <t>Median</t>
        </is>
      </c>
      <c r="C16" s="9" t="n"/>
      <c r="D16" s="323">
        <f>IFERROR(MEDIAN(D9:D13),"–")</f>
        <v/>
      </c>
      <c r="E16" s="323">
        <f>IFERROR(MEDIAN(E9:E13),"–")</f>
        <v/>
      </c>
      <c r="F16" s="323">
        <f>IFERROR(MEDIAN(F9:F13),"–")</f>
        <v/>
      </c>
      <c r="G16" s="323">
        <f>IFERROR(MEDIAN(G9:G13),"–")</f>
        <v/>
      </c>
      <c r="H16" s="483">
        <f>IFERROR(MEDIAN(H9:H13),"–")</f>
        <v/>
      </c>
      <c r="I16" s="483">
        <f>IFERROR(MEDIAN(I9:I13),"–")</f>
        <v/>
      </c>
      <c r="J16" s="484">
        <f>IFERROR(MEDIAN(J9:J13),"–")</f>
        <v/>
      </c>
      <c r="K16" s="485">
        <f>IFERROR(MEDIAN(K9:K13),"–")</f>
        <v/>
      </c>
      <c r="L16" s="483">
        <f>IFERROR(MEDIAN(L9:L13),"–")</f>
        <v/>
      </c>
    </row>
    <row r="17" ht="15" customHeight="1">
      <c r="A17" s="3" t="n"/>
      <c r="B17" s="14" t="inlineStr">
        <is>
          <t>Maximum</t>
        </is>
      </c>
      <c r="C17" s="9" t="n"/>
      <c r="D17" s="340">
        <f>IFERROR(MAX(D9:D13),"–")</f>
        <v/>
      </c>
      <c r="E17" s="340">
        <f>IFERROR(MAX(E9:E13),"–")</f>
        <v/>
      </c>
      <c r="F17" s="340">
        <f>IFERROR(MAX(F9:F13),"–")</f>
        <v/>
      </c>
      <c r="G17" s="340">
        <f>IFERROR(MAX(G9:G13),"–")</f>
        <v/>
      </c>
      <c r="H17" s="486">
        <f>IFERROR(MAX(H9:H13),"–")</f>
        <v/>
      </c>
      <c r="I17" s="486">
        <f>IFERROR(MAX(I9:I13),"–")</f>
        <v/>
      </c>
      <c r="J17" s="487">
        <f>IFERROR(MAX(J9:J13),"–")</f>
        <v/>
      </c>
      <c r="K17" s="488">
        <f>IFERROR(MAX(K9:K13),"–")</f>
        <v/>
      </c>
      <c r="L17" s="486">
        <f>IFERROR(MAX(L9:L13),"–")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344">
        <f>IFERROR(MIN(D9:D13),"–")</f>
        <v/>
      </c>
      <c r="E18" s="344">
        <f>IFERROR(MIN(E9:E13),"–")</f>
        <v/>
      </c>
      <c r="F18" s="344">
        <f>IFERROR(MIN(F9:F13),"–")</f>
        <v/>
      </c>
      <c r="G18" s="344">
        <f>IFERROR(MIN(G9:G13),"–")</f>
        <v/>
      </c>
      <c r="H18" s="489">
        <f>IFERROR(MIN(H9:H13),"–")</f>
        <v/>
      </c>
      <c r="I18" s="489">
        <f>IFERROR(MIN(I9:I13),"–")</f>
        <v/>
      </c>
      <c r="J18" s="490">
        <f>IFERROR(MIN(J9:J13),"–")</f>
        <v/>
      </c>
      <c r="K18" s="491">
        <f>IFERROR(MIN(K9:K13),"–")</f>
        <v/>
      </c>
      <c r="L18" s="489">
        <f>IFERROR(MIN(L9:L13),"–")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26" t="inlineStr">
        <is>
          <t xml:space="preserve"> </t>
        </is>
      </c>
      <c r="B20" s="53" t="inlineStr">
        <is>
          <t>TARGET COMPANY VALUATION (Based on Peer Multiples)</t>
        </is>
      </c>
      <c r="C20" s="48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108" t="n"/>
      <c r="N20" s="108" t="n"/>
    </row>
    <row r="21" ht="15" customHeight="1">
      <c r="A21" s="251" t="n"/>
      <c r="B21" s="52" t="inlineStr">
        <is>
          <t>TARGET COMPANY METRICS (from INPUT)</t>
        </is>
      </c>
      <c r="C21" s="10" t="n"/>
      <c r="D21" s="24">
        <f>INPUT!D117&amp;" (LTM)"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51" t="n"/>
      <c r="N21" s="251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492">
        <f>INPUT!F9/1000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492">
        <f>INPUT!F30/1000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493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492">
        <f>IFERROR((INPUT!F49+INPUT!F55-INPUT!F34)/1000,"–")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494">
        <f>IFERROR(INPUT!F96/1000,"–")</f>
        <v/>
      </c>
      <c r="E26" s="72" t="n"/>
      <c r="F26" s="72" t="n"/>
      <c r="G26" s="72" t="n"/>
      <c r="H26" s="72" t="n"/>
      <c r="I26" s="72" t="n"/>
      <c r="J26" s="72" t="n"/>
      <c r="K26" s="72" t="n"/>
      <c r="L26" s="7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26" t="inlineStr">
        <is>
          <t xml:space="preserve"> </t>
        </is>
      </c>
      <c r="B28" s="53" t="inlineStr">
        <is>
          <t>IMPLIED VALUATION</t>
        </is>
      </c>
      <c r="C28" s="48" t="n"/>
      <c r="D28" s="50" t="n"/>
      <c r="E28" s="50" t="n"/>
      <c r="F28" s="50" t="n"/>
      <c r="G28" s="50" t="n"/>
      <c r="H28" s="23" t="n"/>
      <c r="I28" s="23" t="n"/>
      <c r="J28" s="23" t="n"/>
      <c r="K28" s="23" t="n"/>
      <c r="L28" s="23" t="n"/>
      <c r="M28" s="108" t="n"/>
      <c r="N28" s="108" t="n"/>
    </row>
    <row r="29" ht="15" customHeight="1">
      <c r="A29" s="3" t="n"/>
      <c r="B29" s="17" t="inlineStr">
        <is>
          <t>EV / EBITDA — Implied EV ($M)</t>
        </is>
      </c>
      <c r="C29" s="9" t="n"/>
      <c r="D29" s="495">
        <f>IFERROR(D23*H18,"–")</f>
        <v/>
      </c>
      <c r="E29" s="495">
        <f>IFERROR(D23*H15,"–")</f>
        <v/>
      </c>
      <c r="F29" s="495">
        <f>IFERROR(D23*H16,"–")</f>
        <v/>
      </c>
      <c r="G29" s="495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495">
        <f>IFERROR(D22*I18,"–")</f>
        <v/>
      </c>
      <c r="E30" s="495">
        <f>IFERROR(D22*I15,"–")</f>
        <v/>
      </c>
      <c r="F30" s="495">
        <f>IFERROR(D22*I16,"–")</f>
        <v/>
      </c>
      <c r="G30" s="495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495">
        <f>IFERROR(D24*L18*D26,"–")</f>
        <v/>
      </c>
      <c r="E31" s="495">
        <f>IFERROR(D24*L15*D26,"–")</f>
        <v/>
      </c>
      <c r="F31" s="495">
        <f>IFERROR(D24*L16*D26,"–")</f>
        <v/>
      </c>
      <c r="G31" s="495">
        <f>IFERROR(D24*L17*D26,"–")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61" t="n"/>
      <c r="E32" s="22" t="n"/>
      <c r="F32" s="22" t="n"/>
      <c r="G32" s="61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495">
        <f>IFERROR(AVERAGE(D29,D30),"–")</f>
        <v/>
      </c>
      <c r="E33" s="495">
        <f>IFERROR(AVERAGE(E29,E30),"–")</f>
        <v/>
      </c>
      <c r="F33" s="495">
        <f>IFERROR(AVERAGE(F29,F30),"–")</f>
        <v/>
      </c>
      <c r="G33" s="495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495">
        <f>D25</f>
        <v/>
      </c>
      <c r="E34" s="495">
        <f>D25</f>
        <v/>
      </c>
      <c r="F34" s="495">
        <f>D25</f>
        <v/>
      </c>
      <c r="G34" s="495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495">
        <f>IFERROR(D33-D34,"–")</f>
        <v/>
      </c>
      <c r="E35" s="495">
        <f>IFERROR(E33-E34,"–")</f>
        <v/>
      </c>
      <c r="F35" s="495">
        <f>IFERROR(F33-F34,"–")</f>
        <v/>
      </c>
      <c r="G35" s="495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8" t="inlineStr">
        <is>
          <t>Implied Share Price ($)</t>
        </is>
      </c>
      <c r="C36" s="11" t="inlineStr">
        <is>
          <t>($)</t>
        </is>
      </c>
      <c r="D36" s="496">
        <f>IFERROR(D35/D26,"–")</f>
        <v/>
      </c>
      <c r="E36" s="496">
        <f>IFERROR(E35/D26,"–")</f>
        <v/>
      </c>
      <c r="F36" s="496">
        <f>IFERROR(F35/D26,"–")</f>
        <v/>
      </c>
      <c r="G36" s="496">
        <f>IFERROR(G35/D26,"–")</f>
        <v/>
      </c>
      <c r="H36" s="74" t="n"/>
      <c r="I36" s="74" t="n"/>
      <c r="J36" s="74" t="n"/>
      <c r="K36" s="74" t="n"/>
      <c r="L36" s="74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485">
        <f>INPUT!H95</f>
        <v/>
      </c>
      <c r="E37" s="485">
        <f>INPUT!H95</f>
        <v/>
      </c>
      <c r="F37" s="485">
        <f>INPUT!H95</f>
        <v/>
      </c>
      <c r="G37" s="485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8" t="inlineStr">
        <is>
          <t>Implied Upside / (Downside)</t>
        </is>
      </c>
      <c r="C38" s="11" t="inlineStr">
        <is>
          <t>(%)</t>
        </is>
      </c>
      <c r="D38" s="497">
        <f>IFERROR(D36/D37-1,"–")</f>
        <v/>
      </c>
      <c r="E38" s="497">
        <f>IFERROR(E36/D37-1,"–")</f>
        <v/>
      </c>
      <c r="F38" s="497">
        <f>IFERROR(F36/D37-1,"–")</f>
        <v/>
      </c>
      <c r="G38" s="497">
        <f>IFERROR(G36/D37-1,"–")</f>
        <v/>
      </c>
      <c r="H38" s="74" t="n"/>
      <c r="I38" s="74" t="n"/>
      <c r="J38" s="74" t="n"/>
      <c r="K38" s="74" t="n"/>
      <c r="L38" s="74" t="n"/>
    </row>
    <row r="39" ht="15" customHeight="1">
      <c r="A39" s="3" t="n"/>
      <c r="B39" s="17" t="n"/>
      <c r="C39" s="9" t="n"/>
      <c r="D39" s="65" t="n"/>
      <c r="E39" s="40" t="n"/>
      <c r="F39" s="40" t="n"/>
      <c r="G39" s="65" t="n"/>
      <c r="H39" s="22" t="n"/>
      <c r="I39" s="22" t="n"/>
      <c r="J39" s="22" t="n"/>
      <c r="K39" s="22" t="n"/>
      <c r="L39" s="22" t="n"/>
    </row>
    <row r="40" ht="15" customHeight="1">
      <c r="A40" s="3" t="n"/>
      <c r="B40" s="18" t="inlineStr">
        <is>
          <t>(1) Target company EV based on LTM EV/EBITDA and EV/Revenue multiples relative to comparable peer set.</t>
        </is>
      </c>
      <c r="C40" s="3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5" customHeight="1">
      <c r="A41" s="3" t="n"/>
      <c r="B41" s="14" t="n"/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250" t="n"/>
      <c r="B42" s="33" t="inlineStr">
        <is>
          <t>© 2015 to 2024 FinSight</t>
        </is>
      </c>
      <c r="C42" s="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264" t="n"/>
      <c r="N42" s="264" t="n"/>
    </row>
    <row r="43" ht="15" customHeight="1">
      <c r="A43" s="250" t="n"/>
      <c r="B43" s="33" t="inlineStr">
        <is>
          <t>This Excel model is for educational purposes only.</t>
        </is>
      </c>
      <c r="C43" s="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264" t="n"/>
      <c r="N43" s="264" t="n"/>
    </row>
    <row r="44" ht="15" customHeight="1">
      <c r="A44" s="250" t="n"/>
      <c r="B44" s="33" t="inlineStr">
        <is>
          <t>https://finsight.com/</t>
        </is>
      </c>
      <c r="C44" s="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264" t="n"/>
      <c r="N44" s="264" t="n"/>
    </row>
    <row r="45" ht="15" customHeight="1">
      <c r="B45" s="51" t="n"/>
    </row>
    <row r="46" ht="15" customHeight="1">
      <c r="A46" s="111" t="n"/>
      <c r="B46" s="105" t="inlineStr">
        <is>
          <t>Company</t>
        </is>
      </c>
      <c r="C46" s="106" t="inlineStr">
        <is>
          <t>EV/EBITDA (x)</t>
        </is>
      </c>
      <c r="D46" s="107" t="inlineStr">
        <is>
          <t>EV/Revenue (x)</t>
        </is>
      </c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265" t="n"/>
      <c r="N46" s="265" t="n"/>
    </row>
    <row r="47" ht="15" customHeight="1">
      <c r="B47" s="354">
        <f>B9</f>
        <v/>
      </c>
      <c r="C47" s="355">
        <f>IFERROR(H9*1,0)</f>
        <v/>
      </c>
      <c r="D47" s="356">
        <f>IFERROR(I9*1,0)</f>
        <v/>
      </c>
    </row>
    <row r="48" ht="15" customHeight="1">
      <c r="B48" s="354">
        <f>B10</f>
        <v/>
      </c>
      <c r="C48" s="355">
        <f>IFERROR(H10*1,0)</f>
        <v/>
      </c>
      <c r="D48" s="356">
        <f>IFERROR(I10*1,0)</f>
        <v/>
      </c>
    </row>
    <row r="49" ht="15" customHeight="1">
      <c r="B49" s="354">
        <f>B11</f>
        <v/>
      </c>
      <c r="C49" s="355">
        <f>IFERROR(H11*1,0)</f>
        <v/>
      </c>
      <c r="D49" s="356">
        <f>IFERROR(I11*1,0)</f>
        <v/>
      </c>
    </row>
    <row r="50" ht="15" customHeight="1">
      <c r="B50" s="354">
        <f>B12</f>
        <v/>
      </c>
      <c r="C50" s="355">
        <f>IFERROR(H12*1,0)</f>
        <v/>
      </c>
      <c r="D50" s="356">
        <f>IFERROR(I12*1,0)</f>
        <v/>
      </c>
    </row>
    <row r="51" ht="15" customHeight="1">
      <c r="B51" s="354">
        <f>B13</f>
        <v/>
      </c>
      <c r="C51" s="355">
        <f>IFERROR(H13*1,0)</f>
        <v/>
      </c>
      <c r="D51" s="356">
        <f>IFERROR(I13*1,0)</f>
        <v/>
      </c>
    </row>
    <row r="52" ht="15" customHeight="1">
      <c r="B52" s="354">
        <f>B15</f>
        <v/>
      </c>
      <c r="C52" s="355">
        <f>IFERROR(H15*1,0)</f>
        <v/>
      </c>
      <c r="D52" s="356">
        <f>IFERROR(I15*1,0)</f>
        <v/>
      </c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  <c r="F56" s="21" t="inlineStr">
        <is>
          <t>vé</t>
        </is>
      </c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73" workbookViewId="0">
      <selection activeCell="C62" sqref="C62"/>
    </sheetView>
  </sheetViews>
  <sheetFormatPr baseColWidth="10" defaultRowHeight="14.4"/>
  <cols>
    <col width="11" customWidth="1" style="248" min="1" max="1"/>
    <col width="51" bestFit="1" customWidth="1" style="19" min="2" max="2"/>
    <col width="15.6640625" customWidth="1" min="3" max="3"/>
    <col width="13.33203125" customWidth="1" style="21" min="4" max="9"/>
    <col width="11" customWidth="1" style="21" min="10" max="13"/>
    <col width="11.44140625" customWidth="1" style="110" min="14" max="14"/>
  </cols>
  <sheetData>
    <row r="1" ht="54.9" customHeight="1">
      <c r="A1" s="243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117" t="inlineStr">
        <is>
          <t>SCENARIOS — Scenario Analysis</t>
        </is>
      </c>
      <c r="I1" s="29" t="n"/>
      <c r="J1" s="29" t="n"/>
      <c r="K1" s="29" t="n"/>
      <c r="L1" s="29" t="n"/>
      <c r="M1" s="29" t="n"/>
      <c r="N1" s="109" t="n"/>
    </row>
    <row r="2" ht="15" customHeight="1">
      <c r="A2" s="244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245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244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246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16">
        <f>TEXT(INPUT!D117,"0")</f>
        <v/>
      </c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244" t="n"/>
      <c r="B6" s="16" t="inlineStr">
        <is>
          <t>▶  SELECT SCENARIO</t>
        </is>
      </c>
      <c r="C6" s="88" t="n"/>
      <c r="D6" s="93" t="inlineStr">
        <is>
          <t>Realistic</t>
        </is>
      </c>
      <c r="E6" s="90" t="n"/>
      <c r="F6" s="89" t="n"/>
      <c r="G6" s="90" t="n"/>
      <c r="H6" s="89" t="n"/>
      <c r="I6" s="89" t="n"/>
      <c r="J6" s="89" t="n"/>
      <c r="K6" s="89" t="n"/>
      <c r="L6" s="89" t="n"/>
      <c r="M6" s="89" t="n"/>
    </row>
    <row r="7" ht="18" customHeight="1">
      <c r="A7" s="245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246" t="n"/>
      <c r="B8" s="16" t="inlineStr">
        <is>
          <t>DRIVER</t>
        </is>
      </c>
      <c r="C8" s="16" t="inlineStr">
        <is>
          <t>(Units)</t>
        </is>
      </c>
      <c r="D8" s="87" t="inlineStr">
        <is>
          <t>Pessimistic</t>
        </is>
      </c>
      <c r="E8" s="87" t="inlineStr">
        <is>
          <t>Realistic</t>
        </is>
      </c>
      <c r="F8" s="8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244" t="n"/>
      <c r="B9" s="82" t="inlineStr">
        <is>
          <t>Revenue Growth Rate (Y1-Y5)</t>
        </is>
      </c>
      <c r="C9" s="235" t="inlineStr">
        <is>
          <t>(%)</t>
        </is>
      </c>
      <c r="D9" s="45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45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45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498" t="n"/>
      <c r="H9" s="462" t="n"/>
      <c r="I9" s="499" t="n"/>
      <c r="J9" s="500" t="n"/>
      <c r="K9" s="500" t="n"/>
      <c r="L9" s="500" t="n"/>
      <c r="M9" s="500" t="n"/>
    </row>
    <row r="10" ht="15" customHeight="1">
      <c r="A10" s="244" t="n"/>
      <c r="B10" s="82" t="inlineStr">
        <is>
          <t>Gross Margin</t>
        </is>
      </c>
      <c r="C10" s="235" t="inlineStr">
        <is>
          <t>(%)</t>
        </is>
      </c>
      <c r="D10" s="457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457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457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462" t="n"/>
      <c r="H10" s="462" t="n"/>
      <c r="I10" s="499" t="n"/>
      <c r="J10" s="500" t="n"/>
      <c r="K10" s="500" t="n"/>
      <c r="L10" s="500" t="n"/>
      <c r="M10" s="500" t="n"/>
    </row>
    <row r="11" ht="15" customHeight="1">
      <c r="A11" s="244" t="n"/>
      <c r="B11" s="82" t="inlineStr">
        <is>
          <t>EBITDA Margin</t>
        </is>
      </c>
      <c r="C11" s="235" t="inlineStr">
        <is>
          <t>(%)</t>
        </is>
      </c>
      <c r="D11" s="457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457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457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462" t="n"/>
      <c r="H11" s="462" t="n"/>
      <c r="I11" s="499" t="n"/>
      <c r="J11" s="500" t="n"/>
      <c r="K11" s="500" t="n"/>
      <c r="L11" s="500" t="n"/>
      <c r="M11" s="500" t="n"/>
    </row>
    <row r="12" ht="15" customHeight="1">
      <c r="A12" s="244" t="n"/>
      <c r="B12" s="82" t="inlineStr">
        <is>
          <t>Terminal Growth Rate</t>
        </is>
      </c>
      <c r="C12" s="235" t="inlineStr">
        <is>
          <t>(%)</t>
        </is>
      </c>
      <c r="D12" s="457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457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457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462" t="n"/>
      <c r="H12" s="462" t="n"/>
      <c r="I12" s="499" t="n"/>
      <c r="J12" s="500" t="n"/>
      <c r="K12" s="500" t="n"/>
      <c r="L12" s="500" t="n"/>
      <c r="M12" s="500" t="n"/>
    </row>
    <row r="13" ht="15" customHeight="1">
      <c r="A13" s="244" t="n"/>
      <c r="B13" s="82" t="inlineStr">
        <is>
          <t>WACC</t>
        </is>
      </c>
      <c r="C13" s="235" t="inlineStr">
        <is>
          <t>(%)</t>
        </is>
      </c>
      <c r="D13" s="457">
        <f t="array" ref="D13">IFERROR(INDEX(SECTOR_REF!$C$2:$E$61,MATCH(1,(SECTOR_REF!$A$2:$A$61=INPUT!$D$116)*(SECTOR_REF!$B$2:$B$61="WACC"),0),MATCH("Pessimiste",{"Pessimiste","Realiste","Optimiste"},0)),DCF!D63+0.015)</f>
        <v/>
      </c>
      <c r="E13" s="457">
        <f t="array" ref="E13">IFERROR(INDEX(SECTOR_REF!$C$2:$E$61,MATCH(1,(SECTOR_REF!$A$2:$A$61=INPUT!$D$116)*(SECTOR_REF!$B$2:$B$61="WACC"),0),MATCH("Realiste",{"Pessimiste","Realiste","Optimiste"},0)),DCF!D63)</f>
        <v/>
      </c>
      <c r="F13" s="457">
        <f t="array" ref="F13">IFERROR(INDEX(SECTOR_REF!$C$2:$E$61,MATCH(1,(SECTOR_REF!$A$2:$A$61=INPUT!$D$116)*(SECTOR_REF!$B$2:$B$61="WACC"),0),MATCH("Optimiste",{"Pessimiste","Realiste","Optimiste"},0)),DCF!D63-0.015)</f>
        <v/>
      </c>
      <c r="G13" s="462" t="n"/>
      <c r="H13" s="462" t="n"/>
      <c r="I13" s="499" t="n"/>
      <c r="J13" s="500" t="n"/>
      <c r="K13" s="500" t="n"/>
      <c r="L13" s="500" t="n"/>
      <c r="M13" s="500" t="n"/>
    </row>
    <row r="14" ht="15" customHeight="1">
      <c r="A14" s="244" t="n"/>
      <c r="B14" s="231" t="inlineStr">
        <is>
          <t>▶ Secteur actif :</t>
        </is>
      </c>
      <c r="C14" s="88" t="n"/>
      <c r="D14" s="357">
        <f>IF(INPUT!$D$116="","— Aucun secteur sélectionné (INPUT!D116) —",INPUT!$D$116)</f>
        <v/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</row>
    <row r="15" ht="18" customHeight="1">
      <c r="A15" s="245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244" t="n"/>
      <c r="B16" s="98" t="inlineStr">
        <is>
          <t>METRIC</t>
        </is>
      </c>
      <c r="C16" s="501" t="inlineStr">
        <is>
          <t>(Units)</t>
        </is>
      </c>
      <c r="D16" s="501">
        <f>INPUT!D117-4</f>
        <v/>
      </c>
      <c r="E16" s="501">
        <f>INPUT!D117-3</f>
        <v/>
      </c>
      <c r="F16" s="501">
        <f>INPUT!D117-2</f>
        <v/>
      </c>
      <c r="G16" s="501">
        <f>INPUT!D117-1</f>
        <v/>
      </c>
      <c r="H16" s="501">
        <f>INPUT!D117&amp;" (LTM)"</f>
        <v/>
      </c>
      <c r="I16" s="501">
        <f>TEXT(INPUT!D117+1,"0")&amp;"F"</f>
        <v/>
      </c>
      <c r="J16" s="501">
        <f>TEXT(INPUT!D117+2,"0")&amp;"F"</f>
        <v/>
      </c>
      <c r="K16" s="501">
        <f>TEXT(INPUT!D117+3,"0")&amp;"F"</f>
        <v/>
      </c>
      <c r="L16" s="501">
        <f>TEXT(INPUT!D117+4,"0")&amp;"F"</f>
        <v/>
      </c>
      <c r="M16" s="501">
        <f>TEXT(INPUT!D117+5,"0")&amp;"F"</f>
        <v/>
      </c>
    </row>
    <row r="17" ht="15" customHeight="1">
      <c r="A17" s="244" t="n"/>
      <c r="B17" s="82" t="inlineStr">
        <is>
          <t>Revenue</t>
        </is>
      </c>
      <c r="C17" s="502" t="n">
        <v>0</v>
      </c>
      <c r="D17" s="440">
        <f>INPUT!D9</f>
        <v/>
      </c>
      <c r="E17" s="503">
        <f>INPUT!E9</f>
        <v/>
      </c>
      <c r="F17" s="503">
        <f>INPUT!F9</f>
        <v/>
      </c>
      <c r="G17" s="503">
        <f>INPUT!G9</f>
        <v/>
      </c>
      <c r="H17" s="503">
        <f>INPUT!H9</f>
        <v/>
      </c>
      <c r="I17" s="441">
        <f>INPUT!H9*(1+IF($D$6="Pessimistic",$D$9,IF($D$6="Realistic",$E$9,$F$9)))</f>
        <v/>
      </c>
      <c r="J17" s="441">
        <f>I17*(1+IF($D$6="Pessimistic",$D$9,IF($D$6="Realistic",$E$9,$F$9)))</f>
        <v/>
      </c>
      <c r="K17" s="441">
        <f>J17*(1+IF($D$6="Pessimistic",$D$9,IF($D$6="Realistic",$E$9,$F$9)))</f>
        <v/>
      </c>
      <c r="L17" s="441">
        <f>K17*(1+IF($D$6="Pessimistic",$D$9,IF($D$6="Realistic",$E$9,$F$9)))</f>
        <v/>
      </c>
      <c r="M17" s="441">
        <f>L17*(1+IF($D$6="Pessimistic",$D$9,IF($D$6="Realistic",$E$9,$F$9)))</f>
        <v/>
      </c>
    </row>
    <row r="18" ht="15" customHeight="1">
      <c r="A18" s="244" t="n"/>
      <c r="B18" s="78" t="inlineStr">
        <is>
          <t>Gross Profit</t>
        </is>
      </c>
      <c r="C18" s="502" t="n">
        <v>0</v>
      </c>
      <c r="D18" s="441">
        <f>INPUT!D11</f>
        <v/>
      </c>
      <c r="E18" s="503">
        <f>INPUT!E11</f>
        <v/>
      </c>
      <c r="F18" s="503">
        <f>INPUT!F11</f>
        <v/>
      </c>
      <c r="G18" s="503">
        <f>INPUT!G11</f>
        <v/>
      </c>
      <c r="H18" s="503">
        <f>INPUT!H11</f>
        <v/>
      </c>
      <c r="I18" s="431">
        <f>I17*IF($D$6="Pessimistic",$D$10,IF($D$6="Realistic",$E$10,$F$10))</f>
        <v/>
      </c>
      <c r="J18" s="441">
        <f>J17*IF($D$6="Pessimistic",$D$10,IF($D$6="Realistic",$E$10,$F$10))</f>
        <v/>
      </c>
      <c r="K18" s="441">
        <f>K17*IF($D$6="Pessimistic",$D$10,IF($D$6="Realistic",$E$10,$F$10))</f>
        <v/>
      </c>
      <c r="L18" s="441">
        <f>L17*IF($D$6="Pessimistic",$D$10,IF($D$6="Realistic",$E$10,$F$10))</f>
        <v/>
      </c>
      <c r="M18" s="441">
        <f>M17*IF($D$6="Pessimistic",$D$10,IF($D$6="Realistic",$E$10,$F$10))</f>
        <v/>
      </c>
    </row>
    <row r="19" ht="15" customHeight="1">
      <c r="A19" s="244" t="n"/>
      <c r="B19" s="78" t="inlineStr">
        <is>
          <t>EBITDA</t>
        </is>
      </c>
      <c r="C19" s="502" t="n">
        <v>0</v>
      </c>
      <c r="D19" s="441">
        <f>INPUT!D30</f>
        <v/>
      </c>
      <c r="E19" s="503">
        <f>INPUT!E30</f>
        <v/>
      </c>
      <c r="F19" s="503">
        <f>INPUT!F30</f>
        <v/>
      </c>
      <c r="G19" s="503">
        <f>INPUT!G30</f>
        <v/>
      </c>
      <c r="H19" s="503">
        <f>INPUT!H30</f>
        <v/>
      </c>
      <c r="I19" s="431">
        <f>I17*IF($D$6="Pessimistic",$D$11,IF($D$6="Realistic",$E$11,$F$11))</f>
        <v/>
      </c>
      <c r="J19" s="441">
        <f>J17*IF($D$6="Pessimistic",$D$11,IF($D$6="Realistic",$E$11,$F$11))</f>
        <v/>
      </c>
      <c r="K19" s="441">
        <f>K17*IF($D$6="Pessimistic",$D$11,IF($D$6="Realistic",$E$11,$F$11))</f>
        <v/>
      </c>
      <c r="L19" s="441">
        <f>L17*IF($D$6="Pessimistic",$D$11,IF($D$6="Realistic",$E$11,$F$11))</f>
        <v/>
      </c>
      <c r="M19" s="441">
        <f>M17*IF($D$6="Pessimistic",$D$11,IF($D$6="Realistic",$E$11,$F$11))</f>
        <v/>
      </c>
    </row>
    <row r="20" ht="15" customHeight="1">
      <c r="A20" s="244" t="n"/>
      <c r="B20" s="82" t="inlineStr">
        <is>
          <t>Net Income</t>
        </is>
      </c>
      <c r="C20" s="502" t="n">
        <v>0</v>
      </c>
      <c r="D20" s="441">
        <f>INPUT!D26</f>
        <v/>
      </c>
      <c r="E20" s="503">
        <f>INPUT!E26</f>
        <v/>
      </c>
      <c r="F20" s="503">
        <f>INPUT!F26</f>
        <v/>
      </c>
      <c r="G20" s="503">
        <f>INPUT!G26</f>
        <v/>
      </c>
      <c r="H20" s="503">
        <f>INPUT!H26</f>
        <v/>
      </c>
      <c r="I20" s="441">
        <f>I19*0.6</f>
        <v/>
      </c>
      <c r="J20" s="441">
        <f>J19*0.6</f>
        <v/>
      </c>
      <c r="K20" s="441">
        <f>K19*0.6</f>
        <v/>
      </c>
      <c r="L20" s="441">
        <f>L19*0.6</f>
        <v/>
      </c>
      <c r="M20" s="441">
        <f>M19*0.6</f>
        <v/>
      </c>
    </row>
    <row r="21" ht="15" customHeight="1">
      <c r="A21" s="244" t="n"/>
      <c r="B21" s="78" t="inlineStr">
        <is>
          <t>Free Cash Flow (Est.)</t>
        </is>
      </c>
      <c r="C21" s="502" t="n">
        <v>0</v>
      </c>
      <c r="D21" s="504">
        <f>IFERROR(INPUT!D75+INPUT!D78,"–")</f>
        <v/>
      </c>
      <c r="E21" s="505">
        <f>IFERROR(INPUT!E75+INPUT!E78,"–")</f>
        <v/>
      </c>
      <c r="F21" s="505">
        <f>IFERROR(INPUT!F75+INPUT!F78,"–")</f>
        <v/>
      </c>
      <c r="G21" s="505">
        <f>IFERROR(INPUT!G75+INPUT!G78,"–")</f>
        <v/>
      </c>
      <c r="H21" s="505">
        <f>IFERROR(INPUT!H75+INPUT!H78,"–")</f>
        <v/>
      </c>
      <c r="I21" s="506">
        <f>I19*0.5</f>
        <v/>
      </c>
      <c r="J21" s="441">
        <f>J19*0.5</f>
        <v/>
      </c>
      <c r="K21" s="441">
        <f>K19*0.5</f>
        <v/>
      </c>
      <c r="L21" s="441">
        <f>L19*0.5</f>
        <v/>
      </c>
      <c r="M21" s="441">
        <f>M19*0.5</f>
        <v/>
      </c>
    </row>
    <row r="22" ht="15" customHeight="1" thickBot="1">
      <c r="A22" s="247" t="n"/>
      <c r="B22" s="78" t="inlineStr">
        <is>
          <t>EBITDA Margin</t>
        </is>
      </c>
      <c r="C22" s="237" t="inlineStr">
        <is>
          <t>(%)</t>
        </is>
      </c>
      <c r="D22" s="507">
        <f>IFERROR(INPUT!D30/INPUT!D9,"–")</f>
        <v/>
      </c>
      <c r="E22" s="508">
        <f>IFERROR(INPUT!E30/INPUT!E9,"–")</f>
        <v/>
      </c>
      <c r="F22" s="508">
        <f>IFERROR(INPUT!F30/INPUT!F9,"–")</f>
        <v/>
      </c>
      <c r="G22" s="508">
        <f>IFERROR(INPUT!G30/INPUT!G9,"–")</f>
        <v/>
      </c>
      <c r="H22" s="508">
        <f>IFERROR(INPUT!H30/INPUT!H9,"–")</f>
        <v/>
      </c>
      <c r="I22" s="507">
        <f>IFERROR(I19/I17,"–")</f>
        <v/>
      </c>
      <c r="J22" s="425">
        <f>IFERROR(J19/J17,"–")</f>
        <v/>
      </c>
      <c r="K22" s="425">
        <f>IFERROR(K19/K17,"–")</f>
        <v/>
      </c>
      <c r="L22" s="425">
        <f>IFERROR(L19/L17,"–")</f>
        <v/>
      </c>
      <c r="M22" s="425">
        <f>IFERROR(M19/M17,"–")</f>
        <v/>
      </c>
    </row>
    <row r="23" ht="15" customHeight="1">
      <c r="A23" s="244" t="n"/>
      <c r="B23" s="80" t="inlineStr">
        <is>
          <t>Implied Share Price</t>
        </is>
      </c>
      <c r="C23" s="235" t="inlineStr">
        <is>
          <t>($)</t>
        </is>
      </c>
      <c r="D23" s="22" t="n"/>
      <c r="E23" s="22" t="n"/>
      <c r="F23" s="61" t="n"/>
      <c r="G23" s="61" t="n"/>
      <c r="H23" s="22" t="n"/>
      <c r="I23" s="22" t="n"/>
      <c r="J23" s="22" t="n"/>
      <c r="K23" s="22" t="n"/>
      <c r="L23" s="22" t="n"/>
      <c r="M23" s="329">
        <f>IFERROR(IF($D$6="Pessimistic",DCF!D91*(1+$D$9+$D$11-$E$9-$E$11)*0.8,IF($D$6="Realistic",DCF!D91,DCF!D91*(1+$F$9+$F$11-$E$9-$E$11)*1.2)),"–")</f>
        <v/>
      </c>
    </row>
    <row r="24" ht="18" customHeight="1">
      <c r="B24" s="80" t="n"/>
    </row>
    <row r="25" ht="21" customHeight="1">
      <c r="A25" s="245" t="inlineStr">
        <is>
          <t xml:space="preserve"> </t>
        </is>
      </c>
      <c r="B25" s="238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244" t="n"/>
      <c r="B26" s="98" t="inlineStr">
        <is>
          <t>METRIC (Year 5)</t>
        </is>
      </c>
      <c r="C26" s="239" t="n"/>
      <c r="D26" s="239" t="inlineStr">
        <is>
          <t>Pessimistic</t>
        </is>
      </c>
      <c r="E26" s="239" t="inlineStr">
        <is>
          <t>Realistic</t>
        </is>
      </c>
      <c r="F26" s="87" t="inlineStr">
        <is>
          <t>Optimistic</t>
        </is>
      </c>
      <c r="G26" s="239" t="n"/>
      <c r="H26" s="239" t="n"/>
      <c r="I26" s="239" t="n"/>
      <c r="J26" s="239" t="n"/>
      <c r="K26" s="239" t="n"/>
      <c r="L26" s="239" t="n"/>
      <c r="M26" s="239" t="n"/>
    </row>
    <row r="27" ht="15" customHeight="1">
      <c r="A27" s="244" t="n"/>
      <c r="B27" s="82" t="inlineStr">
        <is>
          <t>Revenue (Year 5)</t>
        </is>
      </c>
      <c r="C27" s="502" t="n">
        <v>0</v>
      </c>
      <c r="D27" s="441">
        <f>INPUT!H9*(1+$D$9)^5</f>
        <v/>
      </c>
      <c r="E27" s="503">
        <f>INPUT!H9*(1+$E$9)^5</f>
        <v/>
      </c>
      <c r="F27" s="441">
        <f>INPUT!H9*(1+$F$9)^5</f>
        <v/>
      </c>
      <c r="G27" s="31" t="n"/>
      <c r="H27" s="31" t="n"/>
      <c r="I27" s="110" t="n"/>
    </row>
    <row r="28" ht="15" customHeight="1">
      <c r="A28" s="244" t="n"/>
      <c r="B28" s="82" t="inlineStr">
        <is>
          <t>EBITDA (Year 5)</t>
        </is>
      </c>
      <c r="C28" s="502" t="n">
        <v>0</v>
      </c>
      <c r="D28" s="441">
        <f>D27*$D$11</f>
        <v/>
      </c>
      <c r="E28" s="503">
        <f>E27*$E$11</f>
        <v/>
      </c>
      <c r="F28" s="441">
        <f>F27*$F$11</f>
        <v/>
      </c>
      <c r="G28" s="31" t="n"/>
      <c r="H28" s="31" t="n"/>
      <c r="I28" s="110" t="n"/>
    </row>
    <row r="29" ht="15" customHeight="1">
      <c r="A29" s="244" t="n"/>
      <c r="B29" s="82" t="inlineStr">
        <is>
          <t>Net Income (Year 5)</t>
        </is>
      </c>
      <c r="C29" s="502" t="n">
        <v>0</v>
      </c>
      <c r="D29" s="441">
        <f>D28*0.6</f>
        <v/>
      </c>
      <c r="E29" s="503">
        <f>E28*0.6</f>
        <v/>
      </c>
      <c r="F29" s="441">
        <f>F28*0.6</f>
        <v/>
      </c>
      <c r="G29" s="31" t="n"/>
      <c r="H29" s="31" t="n"/>
      <c r="I29" s="110" t="n"/>
    </row>
    <row r="30" ht="15" customHeight="1">
      <c r="A30" s="244" t="n"/>
      <c r="B30" s="82" t="inlineStr">
        <is>
          <t>FCF (Year 5)</t>
        </is>
      </c>
      <c r="C30" s="502" t="n">
        <v>0</v>
      </c>
      <c r="D30" s="504">
        <f>D28*0.5</f>
        <v/>
      </c>
      <c r="E30" s="505">
        <f>E28*0.5</f>
        <v/>
      </c>
      <c r="F30" s="505">
        <f>F28*0.5</f>
        <v/>
      </c>
      <c r="G30" s="31" t="n"/>
      <c r="H30" s="31" t="n"/>
      <c r="I30" s="110" t="n"/>
    </row>
    <row r="31" ht="15" customHeight="1" thickBot="1">
      <c r="A31" s="247" t="n"/>
      <c r="B31" s="78" t="inlineStr">
        <is>
          <t>EBITDA Margin (Year 5)</t>
        </is>
      </c>
      <c r="C31" s="237" t="inlineStr">
        <is>
          <t>(%)</t>
        </is>
      </c>
      <c r="D31" s="507">
        <f>$D$11</f>
        <v/>
      </c>
      <c r="E31" s="508">
        <f>$E$11</f>
        <v/>
      </c>
      <c r="F31" s="508">
        <f>$F$11</f>
        <v/>
      </c>
      <c r="G31" s="31" t="n"/>
      <c r="H31" s="31" t="n"/>
      <c r="I31" s="110" t="n"/>
    </row>
    <row r="32" ht="15" customHeight="1">
      <c r="A32" s="244" t="n"/>
      <c r="B32" s="80" t="inlineStr">
        <is>
          <t>Implied Share Price</t>
        </is>
      </c>
      <c r="C32" s="235" t="inlineStr">
        <is>
          <t>($)</t>
        </is>
      </c>
      <c r="D32" s="331">
        <f>IFERROR(DCF!D91*(1+$D$9+$D$11-$E$9-$E$11)*0.8,"–")</f>
        <v/>
      </c>
      <c r="E32" s="331">
        <f>IFERROR(DCF!D91,"–")</f>
        <v/>
      </c>
      <c r="F32" s="331">
        <f>IFERROR(DCF!D91*(1+$F$9+$F$11-$E$9-$E$11)*1.2,"–")</f>
        <v/>
      </c>
      <c r="G32" s="22" t="n"/>
      <c r="H32" s="22" t="n"/>
      <c r="I32" s="110" t="n"/>
    </row>
    <row r="33" ht="18" customHeight="1">
      <c r="A33" s="245" t="inlineStr">
        <is>
          <t xml:space="preserve"> </t>
        </is>
      </c>
      <c r="B33" s="249" t="inlineStr">
        <is>
          <t>Delta (Opt. vs Pess.)</t>
        </is>
      </c>
      <c r="C33" s="126" t="n"/>
      <c r="D33" s="509">
        <f>"—"</f>
        <v/>
      </c>
      <c r="E33" s="509">
        <f>"—"</f>
        <v/>
      </c>
      <c r="F33" s="509">
        <f>IFERROR(F27/D27-1,"–")</f>
        <v/>
      </c>
      <c r="G33" s="123" t="n"/>
      <c r="H33" s="123" t="n"/>
      <c r="I33" s="123" t="n"/>
      <c r="J33" s="123" t="n"/>
      <c r="K33" s="123" t="n"/>
      <c r="L33" s="123" t="n"/>
      <c r="M33" s="123" t="n"/>
    </row>
    <row r="34" ht="15" customHeight="1">
      <c r="A34" s="244" t="n"/>
      <c r="B34" s="82" t="inlineStr">
        <is>
          <t>Revenue</t>
        </is>
      </c>
      <c r="C34" s="510" t="n"/>
      <c r="D34" s="160" t="n"/>
      <c r="E34" s="158" t="n"/>
      <c r="F34" s="158" t="n"/>
      <c r="G34" s="158" t="n"/>
      <c r="H34" s="158" t="n"/>
      <c r="I34" s="158" t="n"/>
      <c r="J34" s="31" t="n"/>
      <c r="K34" s="31" t="n"/>
      <c r="L34" s="31" t="n"/>
      <c r="M34" s="31" t="n"/>
    </row>
    <row r="35" ht="15" customHeight="1">
      <c r="A35" s="244" t="n"/>
      <c r="B35" s="511">
        <f>"▶ SCÉNARIO SÉLECTIONNÉ : "&amp;$D$6</f>
        <v/>
      </c>
      <c r="C35" s="511" t="n"/>
      <c r="D35" s="511" t="n"/>
      <c r="E35" s="511" t="n"/>
      <c r="F35" s="511" t="n"/>
      <c r="G35" s="511" t="n"/>
      <c r="H35" s="511" t="n"/>
      <c r="I35" s="511" t="n"/>
      <c r="J35" s="511" t="n"/>
      <c r="K35" s="511" t="n"/>
      <c r="L35" s="511" t="n"/>
      <c r="M35" s="511" t="n"/>
    </row>
    <row r="36" ht="15" customHeight="1">
      <c r="A36" s="244" t="n"/>
      <c r="B36" s="82" t="n"/>
      <c r="C36" s="510" t="n"/>
      <c r="D36" s="160" t="n"/>
      <c r="E36" s="158" t="n"/>
      <c r="F36" s="158" t="n"/>
      <c r="G36" s="158" t="n"/>
      <c r="H36" s="158" t="n"/>
      <c r="I36" s="158" t="n"/>
      <c r="J36" s="31" t="n"/>
      <c r="K36" s="31" t="n"/>
      <c r="L36" s="31" t="n"/>
      <c r="M36" s="31" t="n"/>
    </row>
    <row r="37" ht="15" customHeight="1">
      <c r="A37" s="244" t="n"/>
      <c r="B37" s="240" t="inlineStr">
        <is>
          <t>CHART DATA: Revenue by Scenario</t>
        </is>
      </c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</row>
    <row r="38" ht="15" customHeight="1">
      <c r="A38" s="244" t="n"/>
      <c r="B38" s="98" t="inlineStr">
        <is>
          <t>Year</t>
        </is>
      </c>
      <c r="C38" s="98" t="n"/>
      <c r="D38" s="366">
        <f>INPUT!D117+1</f>
        <v/>
      </c>
      <c r="E38" s="366">
        <f>INPUT!D117+2</f>
        <v/>
      </c>
      <c r="F38" s="366">
        <f>INPUT!D117+3</f>
        <v/>
      </c>
      <c r="G38" s="366">
        <f>INPUT!D117+4</f>
        <v/>
      </c>
      <c r="H38" s="366">
        <f>INPUT!D117+5</f>
        <v/>
      </c>
      <c r="I38" s="239" t="n"/>
      <c r="J38" s="239" t="n"/>
      <c r="K38" s="239" t="n"/>
      <c r="L38" s="239" t="n"/>
      <c r="M38" s="239" t="n"/>
    </row>
    <row r="39" ht="15" customHeight="1">
      <c r="A39" s="244" t="n"/>
      <c r="B39" s="82" t="inlineStr">
        <is>
          <t>Pessimistic</t>
        </is>
      </c>
      <c r="C39" s="420" t="n"/>
      <c r="D39" s="512">
        <f>IF(INPUT!H9="",NA(),INPUT!H9*(1+$D$9))</f>
        <v/>
      </c>
      <c r="E39" s="513">
        <f>IF(INPUT!H9="",NA(),C40*(1+$D$9))</f>
        <v/>
      </c>
      <c r="F39" s="513">
        <f>IF(INPUT!H9="",NA(),D40*(1+$D$9))</f>
        <v/>
      </c>
      <c r="G39" s="513">
        <f>IF(INPUT!H9="",NA(),E40*(1+$D$9))</f>
        <v/>
      </c>
      <c r="H39" s="513">
        <f>IF(INPUT!H9="",NA(),F40*(1+$D$9))</f>
        <v/>
      </c>
      <c r="I39" s="514" t="n"/>
      <c r="J39" s="31" t="n"/>
      <c r="K39" s="31" t="n"/>
      <c r="L39" s="31" t="n"/>
      <c r="M39" s="31" t="n"/>
    </row>
    <row r="40" ht="15" customHeight="1" thickBot="1">
      <c r="A40" s="247" t="n"/>
      <c r="B40" s="78" t="inlineStr">
        <is>
          <t>Realistic</t>
        </is>
      </c>
      <c r="C40" s="79" t="n"/>
      <c r="D40" s="369">
        <f>IF(INPUT!H9="",NA(),INPUT!H9*(1+$E$9))</f>
        <v/>
      </c>
      <c r="E40" s="515">
        <f>IF(INPUT!H9="",NA(),C41*(1+$E$9))</f>
        <v/>
      </c>
      <c r="F40" s="371">
        <f>IF(INPUT!H9="",NA(),D41*(1+$E$9))</f>
        <v/>
      </c>
      <c r="G40" s="371">
        <f>IF(INPUT!H9="",NA(),E41*(1+$E$9))</f>
        <v/>
      </c>
      <c r="H40" s="371">
        <f>IF(INPUT!H9="",NA(),F41*(1+$E$9))</f>
        <v/>
      </c>
      <c r="I40" s="162" t="n"/>
      <c r="J40" s="31" t="n"/>
      <c r="K40" s="31" t="n"/>
      <c r="L40" s="31" t="n"/>
      <c r="M40" s="31" t="n"/>
    </row>
    <row r="41" ht="15" customHeight="1">
      <c r="A41" s="244" t="n"/>
      <c r="B41" s="85" t="inlineStr">
        <is>
          <t>Optimistic</t>
        </is>
      </c>
      <c r="C41" s="3" t="n"/>
      <c r="D41" s="301">
        <f>IF(INPUT!H9="",NA(),INPUT!H9*(1+$F$9))</f>
        <v/>
      </c>
      <c r="E41" s="301">
        <f>IF(INPUT!H9="",NA(),C42*(1+$F$9))</f>
        <v/>
      </c>
      <c r="F41" s="301">
        <f>IF(INPUT!H9="",NA(),D42*(1+$F$9))</f>
        <v/>
      </c>
      <c r="G41" s="301">
        <f>IF(INPUT!H9="",NA(),E42*(1+$F$9))</f>
        <v/>
      </c>
      <c r="H41" s="301">
        <f>IF(INPUT!H9="",NA(),F42*(1+$F$9))</f>
        <v/>
      </c>
      <c r="I41" s="22" t="n"/>
      <c r="J41" s="22" t="n"/>
      <c r="K41" s="22" t="n"/>
      <c r="L41" s="22" t="n"/>
      <c r="M41" s="22" t="n"/>
    </row>
    <row r="42" ht="18" customHeight="1">
      <c r="A42" s="245" t="inlineStr">
        <is>
          <t xml:space="preserve"> </t>
        </is>
      </c>
      <c r="B42" s="15" t="inlineStr">
        <is>
          <t>SCENARIO SUMMARY COMPARISON</t>
        </is>
      </c>
      <c r="C42" s="7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</row>
    <row r="43" ht="15" customHeight="1">
      <c r="A43" s="246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244" t="n"/>
      <c r="B44" s="16" t="inlineStr">
        <is>
          <t>Year</t>
        </is>
      </c>
      <c r="C44" s="98" t="n"/>
      <c r="D44" s="372">
        <f>INPUT!D117+1</f>
        <v/>
      </c>
      <c r="E44" s="372">
        <f>INPUT!D117+2</f>
        <v/>
      </c>
      <c r="F44" s="372">
        <f>INPUT!D117+3</f>
        <v/>
      </c>
      <c r="G44" s="372">
        <f>INPUT!D117+4</f>
        <v/>
      </c>
      <c r="H44" s="372">
        <f>INPUT!D117+5</f>
        <v/>
      </c>
      <c r="I44" s="241" t="n"/>
      <c r="J44" s="241" t="n"/>
      <c r="K44" s="241" t="n"/>
      <c r="L44" s="241" t="n"/>
      <c r="M44" s="241" t="n"/>
    </row>
    <row r="45" ht="15" customHeight="1">
      <c r="A45" s="244" t="n"/>
      <c r="B45" s="85" t="inlineStr">
        <is>
          <t>Pessimistic</t>
        </is>
      </c>
      <c r="C45" s="510" t="n"/>
      <c r="D45" s="296">
        <f>IF(INPUT!H9="",NA(),C40*$D$11)</f>
        <v/>
      </c>
      <c r="E45" s="269">
        <f>IF(INPUT!H9="",NA(),D40*$D$11)</f>
        <v/>
      </c>
      <c r="F45" s="516">
        <f>IF(INPUT!H9="",NA(),E40*$D$11)</f>
        <v/>
      </c>
      <c r="G45" s="269">
        <f>IF(INPUT!H9="",NA(),F40*$D$11)</f>
        <v/>
      </c>
      <c r="H45" s="374">
        <f>IF(INPUT!H9="",NA(),G40*$D$11)</f>
        <v/>
      </c>
      <c r="I45" s="421" t="n"/>
      <c r="J45" s="31" t="n"/>
      <c r="K45" s="31" t="n"/>
      <c r="L45" s="31" t="n"/>
      <c r="M45" s="31" t="n"/>
    </row>
    <row r="46" ht="15" customHeight="1">
      <c r="A46" s="244" t="n"/>
      <c r="B46" s="85" t="inlineStr">
        <is>
          <t>Realistic</t>
        </is>
      </c>
      <c r="C46" s="510" t="n"/>
      <c r="D46" s="296">
        <f>IF(INPUT!H9="",NA(),C41*$E$11)</f>
        <v/>
      </c>
      <c r="E46" s="269">
        <f>IF(INPUT!H9="",NA(),D41*$E$11)</f>
        <v/>
      </c>
      <c r="F46" s="516">
        <f>IF(INPUT!H9="",NA(),E41*$E$11)</f>
        <v/>
      </c>
      <c r="G46" s="269">
        <f>IF(INPUT!H9="",NA(),F41*$E$11)</f>
        <v/>
      </c>
      <c r="H46" s="374">
        <f>IF(INPUT!H9="",NA(),G41*$E$11)</f>
        <v/>
      </c>
      <c r="I46" s="421" t="n"/>
      <c r="J46" s="31" t="n"/>
      <c r="K46" s="31" t="n"/>
      <c r="L46" s="31" t="n"/>
      <c r="M46" s="31" t="n"/>
    </row>
    <row r="47" ht="15" customHeight="1">
      <c r="A47" s="244" t="n"/>
      <c r="B47" s="85" t="inlineStr">
        <is>
          <t>Optimistic</t>
        </is>
      </c>
      <c r="C47" s="510" t="n"/>
      <c r="D47" s="296">
        <f>IF(INPUT!H9="",NA(),C42*$F$11)</f>
        <v/>
      </c>
      <c r="E47" s="269">
        <f>IF(INPUT!H9="",NA(),D42*$F$11)</f>
        <v/>
      </c>
      <c r="F47" s="516">
        <f>IF(INPUT!H9="",NA(),E42*$F$11)</f>
        <v/>
      </c>
      <c r="G47" s="269">
        <f>IF(INPUT!H9="",NA(),F42*$F$11)</f>
        <v/>
      </c>
      <c r="H47" s="374">
        <f>IF(INPUT!H9="",NA(),G42*$F$11)</f>
        <v/>
      </c>
      <c r="I47" s="421" t="n"/>
      <c r="J47" s="31" t="n"/>
      <c r="K47" s="31" t="n"/>
      <c r="L47" s="31" t="n"/>
      <c r="M47" s="31" t="n"/>
    </row>
    <row r="48" ht="15" customHeight="1">
      <c r="A48" s="244" t="n"/>
      <c r="B48" s="85" t="inlineStr">
        <is>
          <t>EBITDA Margin (Year 5)</t>
        </is>
      </c>
      <c r="C48" s="420" t="n"/>
      <c r="D48" s="60" t="n"/>
      <c r="E48" s="517" t="n"/>
      <c r="F48" s="517" t="n"/>
      <c r="G48" s="517" t="n"/>
      <c r="H48" s="91" t="n"/>
      <c r="I48" s="421" t="n"/>
      <c r="J48" s="31" t="n"/>
      <c r="K48" s="31" t="n"/>
      <c r="L48" s="31" t="n"/>
      <c r="M48" s="31" t="n"/>
    </row>
    <row r="49" ht="15" customHeight="1" thickBot="1">
      <c r="A49" s="247" t="n"/>
      <c r="B49" s="80" t="inlineStr">
        <is>
          <t>Implied Share Price</t>
        </is>
      </c>
      <c r="C49" s="79" t="n"/>
      <c r="D49" s="518" t="n"/>
      <c r="E49" s="519" t="n"/>
      <c r="F49" s="520" t="n"/>
      <c r="G49" s="519" t="n"/>
      <c r="H49" s="91" t="n"/>
      <c r="I49" s="64" t="n"/>
      <c r="J49" s="31" t="n"/>
      <c r="K49" s="31" t="n"/>
      <c r="L49" s="31" t="n"/>
      <c r="M49" s="31" t="n"/>
    </row>
    <row r="50" ht="15" customHeight="1">
      <c r="A50" s="244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244" t="n"/>
      <c r="B51" s="44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244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243" t="n"/>
      <c r="B53" s="33" t="inlineStr">
        <is>
          <t>© 2015 to 2024 FinSight</t>
        </is>
      </c>
      <c r="C53" s="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109" t="n"/>
    </row>
    <row r="54" ht="15" customHeight="1">
      <c r="A54" s="243" t="n"/>
      <c r="B54" s="33" t="inlineStr">
        <is>
          <t>This Excel model is for educational purposes only.</t>
        </is>
      </c>
      <c r="C54" s="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109" t="n"/>
    </row>
    <row r="55" ht="15" customHeight="1">
      <c r="A55" s="243" t="n"/>
      <c r="B55" s="33" t="inlineStr">
        <is>
          <t>https://finsight.com/</t>
        </is>
      </c>
      <c r="C55" s="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109" t="n"/>
    </row>
    <row r="56" ht="15" customHeight="1">
      <c r="A56" s="244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246" t="n"/>
      <c r="B57" s="16" t="inlineStr">
        <is>
          <t>Chart Data: Revenue by Scenario</t>
        </is>
      </c>
      <c r="C57" s="511">
        <f>INPUT!D117+1</f>
        <v/>
      </c>
      <c r="D57" s="94" t="n"/>
      <c r="E57" s="94" t="n"/>
      <c r="F57" s="94" t="n"/>
      <c r="G57" s="94" t="n"/>
      <c r="H57" s="24" t="n"/>
      <c r="I57" s="24" t="n"/>
      <c r="J57" s="24" t="n"/>
      <c r="K57" s="24" t="n"/>
      <c r="L57" s="24" t="n"/>
      <c r="M57" s="24" t="n"/>
      <c r="N57" s="111" t="n"/>
    </row>
    <row r="58" ht="15" customHeight="1">
      <c r="A58" s="244" t="n"/>
      <c r="B58" s="14" t="inlineStr">
        <is>
          <t>Pessimistic</t>
        </is>
      </c>
      <c r="C58" s="375">
        <f>IF(INPUT!F9="",NA(),E16)</f>
        <v/>
      </c>
      <c r="D58" s="37" t="n"/>
      <c r="E58" s="37" t="n"/>
      <c r="F58" s="37" t="n"/>
      <c r="G58" s="37" t="n"/>
      <c r="H58" s="22" t="n"/>
      <c r="I58" s="22" t="n"/>
      <c r="J58" s="22" t="n"/>
      <c r="K58" s="22" t="n"/>
      <c r="L58" s="22" t="n"/>
      <c r="M58" s="22" t="n"/>
    </row>
    <row r="59" ht="15" customHeight="1">
      <c r="A59" s="244" t="n"/>
      <c r="B59" s="14" t="inlineStr">
        <is>
          <t>Realistic</t>
        </is>
      </c>
      <c r="C59" s="375">
        <f>IF(INPUT!F9="",NA(),#REF!)</f>
        <v/>
      </c>
      <c r="D59" s="37" t="n"/>
      <c r="E59" s="37" t="n"/>
      <c r="F59" s="37" t="n"/>
      <c r="G59" s="37" t="n"/>
      <c r="H59" s="22" t="n"/>
      <c r="I59" s="22" t="n"/>
      <c r="J59" s="22" t="n"/>
      <c r="K59" s="22" t="n"/>
      <c r="L59" s="22" t="n"/>
      <c r="M59" s="22" t="n"/>
    </row>
    <row r="60" ht="15" customHeight="1">
      <c r="A60" s="244" t="n"/>
      <c r="B60" s="14" t="inlineStr">
        <is>
          <t>Optimistic</t>
        </is>
      </c>
      <c r="C60" s="375">
        <f>IF(INPUT!F9="",NA(),E34)</f>
        <v/>
      </c>
      <c r="D60" s="37" t="n"/>
      <c r="E60" s="37" t="n"/>
      <c r="F60" s="37" t="n"/>
      <c r="G60" s="37" t="n"/>
      <c r="H60" s="22" t="n"/>
      <c r="I60" s="22" t="n"/>
      <c r="J60" s="22" t="n"/>
      <c r="K60" s="22" t="n"/>
      <c r="L60" s="22" t="n"/>
      <c r="M60" s="22" t="n"/>
    </row>
    <row r="61" ht="15" customHeight="1">
      <c r="A61" s="244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246" t="n"/>
      <c r="B62" s="16" t="inlineStr">
        <is>
          <t>Chart Data: EBITDA by Scenario</t>
        </is>
      </c>
      <c r="C62" s="511">
        <f>IF(INPUT!F9="",NA(),E18)</f>
        <v/>
      </c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111" t="n"/>
    </row>
    <row r="63" ht="15" customHeight="1">
      <c r="A63" s="244" t="n"/>
      <c r="B63" s="14" t="inlineStr">
        <is>
          <t>Pessimistic</t>
        </is>
      </c>
      <c r="C63" s="375">
        <f>IF(INPUT!F9="",NA(),#REF!)</f>
        <v/>
      </c>
      <c r="D63" s="37" t="n"/>
      <c r="E63" s="37" t="n"/>
      <c r="F63" s="37" t="n"/>
      <c r="G63" s="37" t="n"/>
      <c r="H63" s="22" t="n"/>
      <c r="I63" s="22" t="n"/>
      <c r="J63" s="22" t="n"/>
      <c r="K63" s="22" t="n"/>
      <c r="L63" s="22" t="n"/>
      <c r="M63" s="22" t="n"/>
    </row>
    <row r="64" ht="15" customHeight="1">
      <c r="A64" s="244" t="n"/>
      <c r="B64" s="14" t="inlineStr">
        <is>
          <t>Realistic</t>
        </is>
      </c>
      <c r="C64" s="375">
        <f>IF(INPUT!F9="",NA(),E36)</f>
        <v/>
      </c>
      <c r="D64" s="37" t="n"/>
      <c r="E64" s="37" t="n"/>
      <c r="F64" s="37" t="n"/>
      <c r="G64" s="37" t="n"/>
      <c r="H64" s="22" t="n"/>
      <c r="I64" s="22" t="n"/>
      <c r="J64" s="22" t="n"/>
      <c r="K64" s="22" t="n"/>
      <c r="L64" s="22" t="n"/>
      <c r="M64" s="22" t="n"/>
    </row>
    <row r="65" ht="15" customHeight="1">
      <c r="A65" s="244" t="n"/>
      <c r="B65" s="14" t="inlineStr">
        <is>
          <t>Optimistic</t>
        </is>
      </c>
      <c r="C65" s="375">
        <f>IF(INPUT!F9="",NA(),E36)</f>
        <v/>
      </c>
      <c r="D65" s="37" t="n"/>
      <c r="E65" s="37" t="n"/>
      <c r="F65" s="37" t="n"/>
      <c r="G65" s="37" t="n"/>
      <c r="H65" s="22" t="n"/>
      <c r="I65" s="22" t="n"/>
      <c r="J65" s="22" t="n"/>
      <c r="K65" s="22" t="n"/>
      <c r="L65" s="22" t="n"/>
      <c r="M65" s="22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4" zoomScale="74" zoomScaleNormal="100" workbookViewId="0">
      <selection activeCell="I1" sqref="I1"/>
    </sheetView>
  </sheetViews>
  <sheetFormatPr baseColWidth="10" defaultColWidth="11.5546875" defaultRowHeight="14.4"/>
  <cols>
    <col width="10" customWidth="1" min="1" max="1"/>
    <col width="13.6640625" bestFit="1" customWidth="1" style="19" min="2" max="2"/>
    <col width="15.88671875" customWidth="1" min="3" max="3"/>
    <col width="12" customWidth="1" style="21" min="4" max="4"/>
    <col width="18.5546875" customWidth="1" style="21" min="5" max="5"/>
    <col width="24.6640625" customWidth="1" style="21" min="6" max="6"/>
    <col width="10.109375" customWidth="1" style="21" min="7" max="7"/>
    <col width="17.5546875" customWidth="1" style="21" min="8" max="8"/>
    <col width="20.88671875" customWidth="1" style="21" min="9" max="9"/>
    <col width="12.33203125" bestFit="1" customWidth="1" style="21" min="10" max="13"/>
    <col width="11.88671875" customWidth="1" style="21" min="14" max="15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54" t="n"/>
      <c r="K1" s="154" t="n"/>
      <c r="L1" s="171" t="n"/>
      <c r="M1" s="171" t="n"/>
      <c r="N1" s="171" t="n"/>
    </row>
    <row r="2" ht="15" customHeight="1">
      <c r="A2" s="179" t="n"/>
      <c r="B2" s="179" t="n"/>
      <c r="C2" s="179" t="n"/>
      <c r="D2" s="179" t="n"/>
      <c r="E2" s="179" t="n"/>
      <c r="F2" s="179" t="n"/>
      <c r="G2" s="179" t="n"/>
      <c r="H2" s="179" t="n"/>
      <c r="I2" s="179" t="n"/>
      <c r="J2" s="179" t="n"/>
      <c r="K2" s="179" t="n"/>
      <c r="L2" s="179" t="n"/>
      <c r="M2" s="179" t="n"/>
      <c r="N2" s="179" t="n"/>
    </row>
    <row r="3" ht="21" customHeight="1">
      <c r="A3" s="183" t="inlineStr">
        <is>
          <t xml:space="preserve"> </t>
        </is>
      </c>
      <c r="B3" s="156" t="inlineStr">
        <is>
          <t>Financial Performance</t>
        </is>
      </c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1" t="n"/>
      <c r="N3" s="181" t="n"/>
    </row>
    <row r="4" ht="15" customHeight="1">
      <c r="A4" s="179" t="n"/>
      <c r="B4" s="179" t="n"/>
      <c r="C4" s="179" t="n"/>
      <c r="D4" s="179" t="n"/>
      <c r="E4" s="179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</row>
    <row r="5" ht="15" customHeight="1">
      <c r="A5" s="179" t="n"/>
      <c r="B5" s="179" t="n"/>
      <c r="C5" s="179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377">
        <f>"All figures in "&amp;INPUT!D118&amp;" "&amp;INPUT!D119&amp;" unless stated"</f>
        <v/>
      </c>
      <c r="N5" s="179" t="n"/>
    </row>
    <row r="6" ht="15" customHeight="1">
      <c r="A6" s="179" t="n"/>
      <c r="B6" s="179" t="n"/>
      <c r="C6" s="179" t="n"/>
      <c r="D6" s="179" t="n"/>
      <c r="E6" s="179" t="n"/>
      <c r="F6" s="179" t="n"/>
      <c r="G6" s="179" t="n"/>
      <c r="H6" s="179" t="n"/>
      <c r="I6" s="179" t="n"/>
      <c r="J6" s="179" t="n"/>
      <c r="K6" s="179" t="n"/>
      <c r="L6" s="179" t="n"/>
      <c r="M6" s="179" t="n"/>
      <c r="N6" s="179" t="n"/>
    </row>
    <row r="7" ht="15" customHeight="1">
      <c r="A7" s="179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</row>
    <row r="8" ht="15" customHeight="1">
      <c r="A8" s="179" t="n"/>
      <c r="B8" s="170" t="inlineStr">
        <is>
          <t>Revenue &amp; Profitability</t>
        </is>
      </c>
      <c r="C8" s="177" t="n"/>
      <c r="D8" s="177" t="n"/>
      <c r="E8" s="177" t="n"/>
      <c r="F8" s="177" t="n"/>
      <c r="G8" s="179" t="n"/>
      <c r="H8" s="220" t="inlineStr">
        <is>
          <t>Profit Margins</t>
        </is>
      </c>
      <c r="I8" s="219" t="n"/>
      <c r="J8" s="219" t="n"/>
      <c r="K8" s="219" t="n"/>
      <c r="L8" s="219" t="n"/>
      <c r="M8" s="219" t="n"/>
      <c r="N8" s="179" t="n"/>
    </row>
    <row r="9" ht="15" customHeight="1">
      <c r="A9" s="179" t="n"/>
      <c r="B9" s="185" t="n"/>
      <c r="C9" s="185" t="n"/>
      <c r="D9" s="185" t="n"/>
      <c r="E9" s="185" t="n"/>
      <c r="F9" s="185" t="n"/>
      <c r="G9" s="179" t="n"/>
      <c r="H9" s="185" t="n"/>
      <c r="I9" s="185" t="n"/>
      <c r="J9" s="185" t="n"/>
      <c r="K9" s="185" t="n"/>
      <c r="L9" s="185" t="n"/>
      <c r="M9" s="179" t="n"/>
      <c r="N9" s="179" t="n"/>
    </row>
    <row r="10" ht="15" customHeight="1">
      <c r="A10" s="179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</row>
    <row r="11" ht="15" customHeight="1">
      <c r="A11" s="179" t="n"/>
      <c r="B11" s="179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</row>
    <row r="12" ht="15" customHeight="1">
      <c r="A12" s="179" t="n"/>
      <c r="B12" s="179" t="n"/>
      <c r="C12" s="179" t="n"/>
      <c r="D12" s="179" t="n"/>
      <c r="E12" s="179" t="n"/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</row>
    <row r="13" ht="15" customHeight="1">
      <c r="A13" s="179" t="n"/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</row>
    <row r="14" ht="15" customHeight="1">
      <c r="A14" s="179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</row>
    <row r="15" ht="15" customHeight="1">
      <c r="A15" s="179" t="n"/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</row>
    <row r="16" ht="15" customHeight="1">
      <c r="A16" s="179" t="n"/>
      <c r="B16" s="179" t="n"/>
      <c r="C16" s="179" t="n"/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</row>
    <row r="17" ht="15" customHeight="1">
      <c r="A17" s="179" t="n"/>
      <c r="B17" s="179" t="n"/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</row>
    <row r="18" ht="15" customHeight="1">
      <c r="A18" s="179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79" t="n"/>
      <c r="N18" s="179" t="n"/>
    </row>
    <row r="19" ht="15" customHeight="1">
      <c r="A19" s="179" t="n"/>
      <c r="B19" s="179" t="n"/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</row>
    <row r="20" ht="15" customHeight="1">
      <c r="A20" s="179" t="n"/>
      <c r="B20" s="179" t="n"/>
      <c r="C20" s="179" t="n"/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</row>
    <row r="21" ht="15" customHeight="1">
      <c r="A21" s="179" t="n"/>
      <c r="B21" s="179" t="n"/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</row>
    <row r="22" ht="15" customHeight="1">
      <c r="A22" s="179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</row>
    <row r="23" ht="15" customHeight="1">
      <c r="A23" s="179" t="n"/>
      <c r="B23" s="179" t="n"/>
      <c r="C23" s="179" t="n"/>
      <c r="D23" s="179" t="n"/>
      <c r="E23" s="179" t="n"/>
      <c r="F23" s="179" t="n"/>
      <c r="G23" s="179" t="n"/>
      <c r="H23" s="179" t="n"/>
      <c r="I23" s="179" t="n"/>
      <c r="J23" s="179" t="n"/>
      <c r="K23" s="179" t="n"/>
      <c r="L23" s="179" t="n"/>
      <c r="M23" s="179" t="n"/>
      <c r="N23" s="179" t="n"/>
    </row>
    <row r="24" ht="15" customHeight="1">
      <c r="A24" s="179" t="n"/>
      <c r="B24" s="179" t="n"/>
      <c r="C24" s="179" t="n"/>
      <c r="D24" s="179" t="n"/>
      <c r="E24" s="179" t="n"/>
      <c r="F24" s="179" t="n"/>
      <c r="G24" s="179" t="n"/>
      <c r="H24" s="179" t="n"/>
      <c r="I24" s="179" t="n"/>
      <c r="J24" s="179" t="n"/>
      <c r="K24" s="179" t="n"/>
      <c r="L24" s="179" t="n"/>
      <c r="M24" s="179" t="n"/>
      <c r="N24" s="179" t="n"/>
    </row>
    <row r="25" ht="15" customHeight="1">
      <c r="A25" s="179" t="n"/>
      <c r="B25" s="220" t="inlineStr">
        <is>
          <t>Cumulative revenue</t>
        </is>
      </c>
      <c r="C25" s="221" t="n"/>
      <c r="D25" s="221" t="n"/>
      <c r="E25" s="221" t="n"/>
      <c r="F25" s="221" t="n"/>
      <c r="G25" s="179" t="n"/>
      <c r="H25" s="220" t="inlineStr">
        <is>
          <t>Expense Breakdown</t>
        </is>
      </c>
      <c r="I25" s="219" t="n"/>
      <c r="J25" s="219" t="n"/>
      <c r="K25" s="219" t="n"/>
      <c r="L25" s="219" t="n"/>
      <c r="M25" s="219" t="n"/>
      <c r="N25" s="179" t="n"/>
    </row>
    <row r="26" ht="15" customHeight="1">
      <c r="A26" s="179" t="n"/>
      <c r="B26" s="185" t="n"/>
      <c r="C26" s="185" t="n"/>
      <c r="D26" s="185" t="n"/>
      <c r="E26" s="185" t="n"/>
      <c r="F26" s="185" t="n"/>
      <c r="G26" s="179" t="n"/>
      <c r="H26" s="185" t="n"/>
      <c r="I26" s="185" t="n"/>
      <c r="J26" s="185" t="n"/>
      <c r="K26" s="185" t="n"/>
      <c r="L26" s="185" t="n"/>
      <c r="M26" s="179" t="n"/>
      <c r="N26" s="179" t="n"/>
    </row>
    <row r="27" ht="15" customHeight="1">
      <c r="A27" s="179" t="n"/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</row>
    <row r="28" ht="15" customHeight="1">
      <c r="A28" s="179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</row>
    <row r="29" ht="15" customHeight="1">
      <c r="A29" s="179" t="n"/>
      <c r="B29" s="179" t="n"/>
      <c r="C29" s="179" t="n"/>
      <c r="D29" s="179" t="n"/>
      <c r="E29" s="179" t="n"/>
      <c r="F29" s="179" t="n"/>
      <c r="G29" s="179" t="n"/>
      <c r="H29" s="179" t="n"/>
      <c r="I29" s="179" t="n"/>
      <c r="J29" s="179" t="n"/>
      <c r="K29" s="179" t="n"/>
      <c r="L29" s="179" t="n"/>
      <c r="M29" s="179" t="n"/>
      <c r="N29" s="179" t="n"/>
    </row>
    <row r="30" ht="15" customHeight="1">
      <c r="A30" s="179" t="n"/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</row>
    <row r="31" ht="15" customHeight="1">
      <c r="A31" s="179" t="n"/>
      <c r="B31" s="179" t="n"/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79" t="n"/>
      <c r="L31" s="179" t="n"/>
      <c r="M31" s="179" t="n"/>
      <c r="N31" s="179" t="n"/>
    </row>
    <row r="32" ht="15" customHeight="1">
      <c r="A32" s="179" t="n"/>
      <c r="B32" s="179" t="n"/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79" t="n"/>
      <c r="L32" s="179" t="n"/>
      <c r="M32" s="179" t="n"/>
      <c r="N32" s="179" t="n"/>
    </row>
    <row r="33" ht="15" customHeight="1">
      <c r="A33" s="179" t="n"/>
      <c r="B33" s="179" t="n"/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79" t="n"/>
      <c r="L33" s="179" t="n"/>
      <c r="M33" s="179" t="n"/>
      <c r="N33" s="179" t="n"/>
    </row>
    <row r="34" ht="15" customHeight="1">
      <c r="A34" s="179" t="n"/>
      <c r="B34" s="179" t="n"/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</row>
    <row r="35" ht="15" customHeight="1">
      <c r="A35" s="179" t="n"/>
      <c r="B35" s="179" t="n"/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79" t="n"/>
      <c r="L35" s="179" t="n"/>
      <c r="M35" s="179" t="n"/>
      <c r="N35" s="179" t="n"/>
    </row>
    <row r="36" ht="15" customHeight="1">
      <c r="A36" s="179" t="n"/>
      <c r="B36" s="179" t="n"/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79" t="n"/>
      <c r="L36" s="179" t="n"/>
      <c r="M36" s="179" t="n"/>
      <c r="N36" s="179" t="n"/>
    </row>
    <row r="37" ht="15" customHeight="1">
      <c r="A37" s="179" t="n"/>
      <c r="B37" s="179" t="n"/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79" t="n"/>
      <c r="L37" s="179" t="n"/>
      <c r="M37" s="179" t="n"/>
      <c r="N37" s="179" t="n"/>
    </row>
    <row r="38" ht="15" customHeight="1">
      <c r="A38" s="179" t="n"/>
      <c r="B38" s="179" t="n"/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79" t="n"/>
      <c r="L38" s="179" t="n"/>
      <c r="M38" s="179" t="n"/>
      <c r="N38" s="179" t="n"/>
    </row>
    <row r="39" ht="15" customHeight="1">
      <c r="A39" s="179" t="n"/>
      <c r="B39" s="179" t="n"/>
      <c r="C39" s="179" t="n"/>
      <c r="D39" s="179" t="n"/>
      <c r="E39" s="179" t="n"/>
      <c r="F39" s="179" t="n"/>
      <c r="G39" s="179" t="n"/>
      <c r="H39" s="179" t="n"/>
      <c r="I39" s="179" t="n"/>
      <c r="J39" s="179" t="n"/>
      <c r="K39" s="179" t="n"/>
      <c r="L39" s="179" t="n"/>
      <c r="M39" s="179" t="n"/>
      <c r="N39" s="179" t="n"/>
    </row>
    <row r="40" ht="15" customHeight="1">
      <c r="A40" s="179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</row>
    <row r="41" ht="15" customHeight="1">
      <c r="A41" s="179" t="n"/>
      <c r="B41" s="179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</row>
    <row r="42" ht="15" customHeight="1">
      <c r="A42" s="179" t="n"/>
      <c r="B42" s="218" t="inlineStr">
        <is>
          <t>Performance Summary (Five-Year)</t>
        </is>
      </c>
      <c r="C42" s="219" t="n"/>
      <c r="D42" s="219" t="n"/>
      <c r="E42" s="219" t="n"/>
      <c r="G42" s="179" t="n"/>
      <c r="H42" s="218" t="inlineStr">
        <is>
          <t>Income Statement (LTM)</t>
        </is>
      </c>
      <c r="I42" s="219" t="n"/>
      <c r="J42" s="219" t="n"/>
      <c r="K42" s="219" t="n"/>
      <c r="L42" s="219" t="n"/>
      <c r="M42" s="219" t="n"/>
      <c r="N42" s="179" t="n"/>
    </row>
    <row r="43" ht="15" customHeight="1">
      <c r="A43" s="179" t="n"/>
      <c r="B43" s="179" t="n"/>
      <c r="C43" s="179" t="n"/>
      <c r="D43" s="179" t="n"/>
      <c r="E43" s="179" t="n"/>
      <c r="F43" s="179" t="n"/>
      <c r="G43" s="179" t="n"/>
      <c r="H43" s="179" t="n"/>
      <c r="I43" s="179" t="n"/>
      <c r="J43" s="179" t="n"/>
      <c r="K43" s="179" t="n"/>
      <c r="L43" s="179" t="n"/>
      <c r="M43" s="179" t="n"/>
      <c r="N43" s="179" t="n"/>
      <c r="O43" s="179" t="n"/>
      <c r="P43" s="179" t="n"/>
    </row>
    <row r="44" ht="15" customHeight="1">
      <c r="A44" s="179" t="n"/>
      <c r="B44" s="179" t="n"/>
      <c r="C44" s="195" t="inlineStr">
        <is>
          <t>5-Yr Avg</t>
        </is>
      </c>
      <c r="D44" s="196" t="inlineStr">
        <is>
          <t>Trend</t>
        </is>
      </c>
      <c r="E44" s="178" t="n"/>
      <c r="F44" s="178" t="n"/>
      <c r="H44" s="179" t="n"/>
      <c r="I44" s="195" t="inlineStr">
        <is>
          <t>Actual</t>
        </is>
      </c>
      <c r="J44" s="195" t="inlineStr">
        <is>
          <t>Prev Year</t>
        </is>
      </c>
      <c r="K44" s="195" t="inlineStr">
        <is>
          <t>Variance</t>
        </is>
      </c>
      <c r="L44" s="195" t="inlineStr">
        <is>
          <t>Var %</t>
        </is>
      </c>
      <c r="P44" s="179" t="n"/>
    </row>
    <row r="45" ht="15" customHeight="1">
      <c r="A45" s="179" t="n"/>
      <c r="B45" s="193" t="inlineStr">
        <is>
          <t>Revenue</t>
        </is>
      </c>
      <c r="C45" s="378">
        <f>AVERAGE(INPUT!D9:H9)</f>
        <v/>
      </c>
      <c r="D45" s="179" t="n"/>
      <c r="E45" s="179" t="n"/>
      <c r="F45" s="179" t="n"/>
      <c r="H45" s="193" t="inlineStr">
        <is>
          <t>Revenue</t>
        </is>
      </c>
      <c r="I45" s="521">
        <f>INPUT!H9</f>
        <v/>
      </c>
      <c r="J45" s="521">
        <f>INPUT!G9</f>
        <v/>
      </c>
      <c r="K45" s="521">
        <f>I45-J45</f>
        <v/>
      </c>
      <c r="L45" s="381">
        <f>IF(J45=0,NA(),K45/ABS(J45))</f>
        <v/>
      </c>
      <c r="P45" s="179" t="n"/>
    </row>
    <row r="46" ht="15" customHeight="1">
      <c r="A46" s="179" t="n"/>
      <c r="B46" s="194" t="n"/>
      <c r="C46" s="179" t="n"/>
      <c r="D46" s="179" t="n"/>
      <c r="E46" s="179" t="n"/>
      <c r="F46" s="179" t="n"/>
      <c r="H46" s="194" t="n"/>
      <c r="I46" s="522" t="n"/>
      <c r="J46" s="522" t="n"/>
      <c r="K46" s="522" t="n"/>
      <c r="L46" s="223" t="n"/>
      <c r="P46" s="179" t="n"/>
    </row>
    <row r="47" ht="15" customHeight="1">
      <c r="A47" s="179" t="n"/>
      <c r="B47" s="193" t="inlineStr">
        <is>
          <t>COGS</t>
        </is>
      </c>
      <c r="C47" s="378">
        <f>ABS(AVERAGE(INPUT!D10:H10))</f>
        <v/>
      </c>
      <c r="D47" s="179" t="n"/>
      <c r="E47" s="179" t="n"/>
      <c r="F47" s="179" t="n"/>
      <c r="H47" s="193" t="inlineStr">
        <is>
          <t>COGS</t>
        </is>
      </c>
      <c r="I47" s="521">
        <f>ABS(INPUT!H10)</f>
        <v/>
      </c>
      <c r="J47" s="521">
        <f>ABS(INPUT!G10)</f>
        <v/>
      </c>
      <c r="K47" s="521">
        <f>I47-J47</f>
        <v/>
      </c>
      <c r="L47" s="381">
        <f>IF(J47=0,NA(),K47/ABS(J47))</f>
        <v/>
      </c>
      <c r="P47" s="179" t="n"/>
    </row>
    <row r="48" ht="15" customHeight="1">
      <c r="A48" s="179" t="n"/>
      <c r="B48" s="194" t="n"/>
      <c r="C48" s="179" t="n"/>
      <c r="D48" s="179" t="n"/>
      <c r="E48" s="179" t="n"/>
      <c r="F48" s="179" t="n"/>
      <c r="H48" s="194" t="n"/>
      <c r="I48" s="522" t="n"/>
      <c r="J48" s="522" t="n"/>
      <c r="K48" s="522" t="n"/>
      <c r="L48" s="223" t="n"/>
      <c r="P48" s="179" t="n"/>
    </row>
    <row r="49" ht="15" customHeight="1">
      <c r="A49" s="179" t="n"/>
      <c r="B49" s="193" t="inlineStr">
        <is>
          <t>Expenses</t>
        </is>
      </c>
      <c r="C49" s="378">
        <f>ABS(AVERAGE(INPUT!D13:H13))</f>
        <v/>
      </c>
      <c r="D49" s="179" t="n"/>
      <c r="E49" s="179" t="n"/>
      <c r="F49" s="179" t="n"/>
      <c r="H49" s="193" t="inlineStr">
        <is>
          <t>Expenses</t>
        </is>
      </c>
      <c r="I49" s="521">
        <f>ABS(INPUT!H13)</f>
        <v/>
      </c>
      <c r="J49" s="521">
        <f>ABS(INPUT!G13)</f>
        <v/>
      </c>
      <c r="K49" s="521">
        <f>I49-J49</f>
        <v/>
      </c>
      <c r="L49" s="381">
        <f>IF(J49=0,NA(),K49/ABS(J49))</f>
        <v/>
      </c>
      <c r="P49" s="179" t="n"/>
    </row>
    <row r="50" ht="15" customHeight="1">
      <c r="A50" s="179" t="n"/>
      <c r="B50" s="194" t="n"/>
      <c r="C50" s="179" t="n"/>
      <c r="D50" s="179" t="n"/>
      <c r="E50" s="179" t="n"/>
      <c r="F50" s="179" t="n"/>
      <c r="H50" s="194" t="n"/>
      <c r="I50" s="522" t="n"/>
      <c r="J50" s="522" t="n"/>
      <c r="K50" s="522" t="n"/>
      <c r="L50" s="223" t="n"/>
      <c r="P50" s="179" t="n"/>
    </row>
    <row r="51" ht="15" customHeight="1">
      <c r="A51" s="179" t="n"/>
      <c r="B51" s="193" t="inlineStr">
        <is>
          <t>Net Income</t>
        </is>
      </c>
      <c r="C51" s="378">
        <f>AVERAGE(INPUT!D26:H26)</f>
        <v/>
      </c>
      <c r="D51" s="179" t="n"/>
      <c r="E51" s="179" t="n"/>
      <c r="F51" s="179" t="n"/>
      <c r="H51" s="193" t="inlineStr">
        <is>
          <t>Net Income</t>
        </is>
      </c>
      <c r="I51" s="521">
        <f>INPUT!H26</f>
        <v/>
      </c>
      <c r="J51" s="521">
        <f>INPUT!G26</f>
        <v/>
      </c>
      <c r="K51" s="521">
        <f>I51-J51</f>
        <v/>
      </c>
      <c r="L51" s="381">
        <f>IF(J51=0,NA(),K51/ABS(J51))</f>
        <v/>
      </c>
      <c r="P51" s="179" t="n"/>
    </row>
    <row r="52" ht="15" customHeight="1">
      <c r="A52" s="179" t="n"/>
      <c r="B52" s="194" t="n"/>
      <c r="C52" s="179" t="n"/>
      <c r="D52" s="179" t="n"/>
      <c r="E52" s="179" t="n"/>
      <c r="F52" s="179" t="n"/>
      <c r="H52" s="194" t="n"/>
      <c r="I52" s="179" t="n"/>
      <c r="J52" s="179" t="n"/>
      <c r="K52" s="179" t="n"/>
      <c r="L52" s="223" t="n"/>
      <c r="P52" s="179" t="n"/>
    </row>
    <row r="53" ht="15" customHeight="1">
      <c r="A53" s="179" t="n"/>
      <c r="B53" s="193" t="inlineStr">
        <is>
          <t>Net Margin (%)</t>
        </is>
      </c>
      <c r="C53" s="378">
        <f>AVERAGE(INPUT!D26:H26)/AVERAGE(INPUT!D9:H9)</f>
        <v/>
      </c>
      <c r="D53" s="179" t="n"/>
      <c r="E53" s="179" t="n"/>
      <c r="F53" s="179" t="n"/>
      <c r="H53" s="193" t="inlineStr">
        <is>
          <t>Net Margin (%)</t>
        </is>
      </c>
      <c r="I53" s="381">
        <f>INPUT!H26/INPUT!H9</f>
        <v/>
      </c>
      <c r="J53" s="381">
        <f>INPUT!G26/INPUT!G9</f>
        <v/>
      </c>
      <c r="K53" s="381">
        <f>I53-J53</f>
        <v/>
      </c>
      <c r="L53" s="381">
        <f>IF(J53=0,NA(),K53/ABS(J53))</f>
        <v/>
      </c>
      <c r="P53" s="179" t="n"/>
    </row>
    <row r="54" ht="15" customHeight="1">
      <c r="A54" s="179" t="n"/>
      <c r="B54" s="179" t="n"/>
      <c r="C54" s="179" t="n"/>
      <c r="D54" s="179" t="n"/>
      <c r="E54" s="179" t="n"/>
      <c r="F54" s="179" t="n"/>
      <c r="G54" s="179" t="n"/>
      <c r="H54" s="179" t="n"/>
      <c r="I54" s="179" t="n"/>
      <c r="J54" s="179" t="n"/>
      <c r="K54" s="179" t="n"/>
      <c r="L54" s="179" t="n"/>
      <c r="M54" s="179" t="n"/>
      <c r="N54" s="179" t="n"/>
      <c r="O54" s="179" t="n"/>
      <c r="P54" s="179" t="n"/>
    </row>
    <row r="55" ht="15" customHeight="1">
      <c r="A55" s="179" t="n"/>
      <c r="B55" s="179" t="n"/>
      <c r="C55" s="179" t="n"/>
      <c r="D55" s="179" t="n"/>
      <c r="E55" s="179" t="n"/>
      <c r="F55" s="179" t="n"/>
      <c r="G55" s="179" t="n"/>
      <c r="H55" s="179" t="n"/>
      <c r="I55" s="179" t="n"/>
      <c r="J55" s="179" t="n"/>
      <c r="K55" s="179" t="n"/>
      <c r="L55" s="179" t="n"/>
      <c r="M55" s="179" t="n"/>
      <c r="N55" s="179" t="n"/>
      <c r="O55" s="179" t="n"/>
      <c r="P55" s="179" t="n"/>
    </row>
    <row r="56" ht="15" customHeight="1">
      <c r="A56" s="179" t="n"/>
      <c r="B56" s="179" t="n"/>
      <c r="C56" s="179" t="n"/>
      <c r="D56" s="179" t="n"/>
      <c r="E56" s="179" t="n"/>
      <c r="F56" s="179" t="n"/>
      <c r="G56" s="179" t="n"/>
      <c r="H56" s="179" t="n"/>
      <c r="I56" s="179" t="n"/>
      <c r="J56" s="179" t="n"/>
      <c r="K56" s="179" t="n"/>
      <c r="L56" s="179" t="n"/>
      <c r="M56" s="179" t="n"/>
      <c r="N56" s="179" t="n"/>
      <c r="O56" s="179" t="n"/>
      <c r="P56" s="179" t="n"/>
    </row>
    <row r="57" ht="15" customHeight="1">
      <c r="A57" s="179" t="n"/>
      <c r="B57" s="179" t="n"/>
      <c r="C57" s="179" t="n"/>
      <c r="D57" s="179" t="n"/>
      <c r="E57" s="179" t="n"/>
      <c r="F57" s="179" t="n"/>
      <c r="G57" s="179" t="n"/>
      <c r="H57" s="179" t="n"/>
      <c r="I57" s="179" t="n"/>
      <c r="J57" s="179" t="n"/>
      <c r="K57" s="179" t="n"/>
      <c r="L57" s="179" t="n"/>
      <c r="M57" s="179" t="n"/>
      <c r="N57" s="179" t="n"/>
      <c r="O57" s="179" t="n"/>
      <c r="P57" s="179" t="n"/>
    </row>
    <row r="58" ht="15" customHeight="1">
      <c r="A58" s="179" t="n"/>
      <c r="B58" s="218" t="inlineStr">
        <is>
          <t>P&amp;L Summary (LTM)</t>
        </is>
      </c>
      <c r="C58" s="219" t="n"/>
      <c r="D58" s="219" t="n"/>
      <c r="E58" s="219" t="n"/>
      <c r="G58" s="179" t="n"/>
      <c r="H58" s="218" t="inlineStr">
        <is>
          <t>Balance Sheet Summary (LTM)</t>
        </is>
      </c>
      <c r="I58" s="219" t="n"/>
      <c r="J58" s="219" t="n"/>
      <c r="K58" s="219" t="n"/>
      <c r="L58" s="219" t="n"/>
      <c r="M58" s="219" t="n"/>
      <c r="N58" s="179" t="n"/>
    </row>
    <row r="59" ht="15" customHeight="1">
      <c r="A59" s="179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</row>
    <row r="60" ht="15" customHeight="1">
      <c r="A60" s="179" t="n"/>
      <c r="B60" s="176" t="inlineStr">
        <is>
          <t>Revenue</t>
        </is>
      </c>
      <c r="C60" s="179" t="n"/>
      <c r="D60" s="295">
        <f>INPUT!H9</f>
        <v/>
      </c>
      <c r="E60" s="113" t="n"/>
      <c r="F60" s="113" t="n"/>
      <c r="G60" s="113" t="n"/>
      <c r="H60" s="176" t="inlineStr">
        <is>
          <t>Assets</t>
        </is>
      </c>
      <c r="I60" s="179" t="n"/>
      <c r="J60" s="179" t="n"/>
      <c r="K60" s="179" t="n"/>
    </row>
    <row r="61" ht="15" customHeight="1">
      <c r="A61" s="179" t="n"/>
      <c r="B61" s="178" t="inlineStr">
        <is>
          <t>COGS</t>
        </is>
      </c>
      <c r="C61" s="179" t="n"/>
      <c r="D61" s="382">
        <f>INPUT!H10</f>
        <v/>
      </c>
      <c r="E61" s="151" t="n"/>
      <c r="F61" s="151" t="n"/>
      <c r="G61" s="151" t="n"/>
      <c r="H61" s="178" t="inlineStr">
        <is>
          <t>Current Assets</t>
        </is>
      </c>
      <c r="I61" s="179" t="n"/>
      <c r="J61" s="383">
        <f>INPUT!H38</f>
        <v/>
      </c>
      <c r="K61" s="179" t="n"/>
    </row>
    <row r="62" ht="15" customHeight="1">
      <c r="A62" s="179" t="n"/>
      <c r="B62" s="179" t="n"/>
      <c r="C62" s="179" t="n"/>
      <c r="D62" s="179" t="n"/>
      <c r="E62" s="179" t="n"/>
      <c r="F62" s="179" t="n"/>
      <c r="G62" s="179" t="n"/>
      <c r="H62" s="178" t="inlineStr">
        <is>
          <t>Non-current Assets</t>
        </is>
      </c>
      <c r="I62" s="179" t="n"/>
      <c r="J62" s="383">
        <f>SUM(INPUT!H41:H43)</f>
        <v/>
      </c>
      <c r="K62" s="179" t="n"/>
    </row>
    <row r="63" ht="15" customHeight="1">
      <c r="A63" s="179" t="n"/>
      <c r="B63" s="176" t="inlineStr">
        <is>
          <t>Expenses</t>
        </is>
      </c>
      <c r="C63" s="179" t="n"/>
      <c r="D63" s="384">
        <f>ABS(INPUT!H14)</f>
        <v/>
      </c>
      <c r="E63" s="179" t="n"/>
      <c r="F63" s="179" t="n"/>
      <c r="G63" s="179" t="n"/>
      <c r="H63" s="179" t="n"/>
      <c r="I63" s="179" t="n"/>
      <c r="J63" s="179" t="n"/>
      <c r="K63" s="179" t="n"/>
    </row>
    <row r="64" ht="15" customHeight="1" thickBot="1">
      <c r="A64" s="179" t="n"/>
      <c r="B64" s="178" t="inlineStr">
        <is>
          <t>SG&amp;A</t>
        </is>
      </c>
      <c r="C64" s="179" t="n"/>
      <c r="D64" s="383">
        <f>ABS(INPUT!H15)</f>
        <v/>
      </c>
      <c r="E64" s="151" t="n"/>
      <c r="F64" s="151" t="n"/>
      <c r="G64" s="151" t="n"/>
      <c r="H64" s="176" t="inlineStr">
        <is>
          <t>Total Assets</t>
        </is>
      </c>
      <c r="I64" s="179" t="n"/>
      <c r="J64" s="385">
        <f>INPUT!H44</f>
        <v/>
      </c>
      <c r="K64" s="179" t="n"/>
    </row>
    <row r="65" ht="15" customHeight="1">
      <c r="A65" s="179" t="n"/>
      <c r="B65" s="178" t="inlineStr">
        <is>
          <t>R&amp;D</t>
        </is>
      </c>
      <c r="C65" s="179" t="n"/>
      <c r="D65" s="383">
        <f>ABS(INPUT!H16)</f>
        <v/>
      </c>
      <c r="E65" s="151" t="n"/>
      <c r="F65" s="151" t="n"/>
      <c r="G65" s="151" t="n"/>
      <c r="H65" s="179" t="n"/>
      <c r="I65" s="179" t="n"/>
      <c r="J65" s="179" t="n"/>
      <c r="K65" s="179" t="n"/>
    </row>
    <row r="66" ht="15" customHeight="1">
      <c r="A66" s="179" t="n"/>
      <c r="B66" s="178" t="inlineStr">
        <is>
          <t>D&amp;A</t>
        </is>
      </c>
      <c r="C66" s="179" t="n"/>
      <c r="D66" s="383">
        <f>ABS(INPUT!H20)</f>
        <v/>
      </c>
      <c r="E66" s="151" t="n"/>
      <c r="F66" s="151" t="n"/>
      <c r="G66" s="151" t="n"/>
      <c r="H66" s="176" t="inlineStr">
        <is>
          <t>Liabilities</t>
        </is>
      </c>
      <c r="I66" s="179" t="n"/>
      <c r="J66" s="384">
        <f>INPUT!H51</f>
        <v/>
      </c>
      <c r="K66" s="179" t="n"/>
    </row>
    <row r="67" ht="15" customHeight="1">
      <c r="A67" s="179" t="n"/>
      <c r="B67" s="178" t="inlineStr">
        <is>
          <t>Interest</t>
        </is>
      </c>
      <c r="C67" s="179" t="n"/>
      <c r="D67" s="386">
        <f>SUM(D64:D66)</f>
        <v/>
      </c>
      <c r="E67" s="151" t="n"/>
      <c r="F67" s="151" t="n"/>
      <c r="G67" s="151" t="n"/>
      <c r="H67" s="178" t="inlineStr">
        <is>
          <t>Current Liabilities</t>
        </is>
      </c>
      <c r="I67" s="179" t="n"/>
      <c r="J67" s="383">
        <f>INPUT!H54</f>
        <v/>
      </c>
      <c r="K67" s="179" t="n"/>
    </row>
    <row r="68" ht="15" customHeight="1">
      <c r="A68" s="179" t="n"/>
      <c r="B68" s="178" t="inlineStr">
        <is>
          <t>Total Expenses</t>
        </is>
      </c>
      <c r="C68" s="179" t="n"/>
      <c r="D68" s="387">
        <f>SUM(D64:D67)</f>
        <v/>
      </c>
      <c r="E68" s="151" t="n"/>
      <c r="F68" s="151" t="n"/>
      <c r="G68" s="151" t="n"/>
      <c r="H68" s="178" t="inlineStr">
        <is>
          <t>Long-term Liabilities</t>
        </is>
      </c>
      <c r="I68" s="179" t="n"/>
      <c r="J68" s="383">
        <f>INPUT!H60</f>
        <v/>
      </c>
      <c r="K68" s="179" t="n"/>
    </row>
    <row r="69" ht="15" customHeight="1">
      <c r="A69" s="179" t="n"/>
      <c r="B69" s="179" t="n"/>
      <c r="C69" s="179" t="n"/>
      <c r="D69" s="179" t="n"/>
      <c r="E69" s="179" t="n"/>
      <c r="F69" s="179" t="n"/>
      <c r="G69" s="179" t="n"/>
      <c r="H69" s="178" t="inlineStr">
        <is>
          <t>Shareholders' Equity</t>
        </is>
      </c>
      <c r="I69" s="179" t="n"/>
      <c r="J69" s="383">
        <f>INPUT!F60</f>
        <v/>
      </c>
      <c r="K69" s="179" t="n"/>
    </row>
    <row r="70" ht="15" customHeight="1">
      <c r="A70" s="179" t="n"/>
      <c r="B70" s="179" t="n"/>
      <c r="C70" s="179" t="n"/>
      <c r="D70" s="388">
        <f>D60-D61-D68</f>
        <v/>
      </c>
      <c r="E70" s="179" t="n"/>
      <c r="F70" s="179" t="n"/>
      <c r="G70" s="179" t="n"/>
      <c r="H70" s="179" t="n"/>
      <c r="I70" s="179" t="n"/>
      <c r="J70" s="388">
        <f>INPUT!H63</f>
        <v/>
      </c>
      <c r="K70" s="179" t="n"/>
    </row>
    <row r="71" ht="15" customHeight="1" thickBot="1">
      <c r="A71" s="179" t="n"/>
      <c r="B71" s="176" t="inlineStr">
        <is>
          <t>Net Operating Profit</t>
        </is>
      </c>
      <c r="C71" s="179" t="n"/>
      <c r="D71" s="389">
        <f>D60-D61-D68</f>
        <v/>
      </c>
      <c r="E71" s="113" t="n"/>
      <c r="F71" s="113" t="n"/>
      <c r="G71" s="113" t="n"/>
      <c r="H71" s="176" t="inlineStr">
        <is>
          <t>Liabilities &amp; Shareholders' Equity</t>
        </is>
      </c>
      <c r="I71" s="179" t="n"/>
      <c r="J71" s="389">
        <f>INPUT!F63</f>
        <v/>
      </c>
      <c r="K71" s="179" t="n"/>
    </row>
    <row r="72" ht="15" customHeight="1">
      <c r="A72" s="179" t="n"/>
      <c r="B72" s="179" t="n"/>
      <c r="C72" s="179" t="n"/>
      <c r="D72" s="179" t="n"/>
      <c r="E72" s="179" t="n"/>
      <c r="F72" s="179" t="n"/>
      <c r="G72" s="179" t="n"/>
      <c r="H72" s="179" t="n"/>
      <c r="I72" s="179" t="n"/>
      <c r="J72" s="179" t="n"/>
      <c r="K72" s="179" t="n"/>
      <c r="L72" s="179" t="n"/>
    </row>
    <row r="73" ht="15" customHeight="1">
      <c r="L73" s="179" t="n"/>
    </row>
    <row r="74" ht="15" customHeight="1">
      <c r="K74" s="179" t="n"/>
      <c r="XEO74" s="179" t="n"/>
    </row>
    <row r="75" ht="15" customHeight="1">
      <c r="K75" s="179" t="n"/>
      <c r="XEO75" s="179" t="n"/>
    </row>
    <row r="76" ht="15" customHeight="1"/>
    <row r="77" ht="15" customHeight="1"/>
    <row r="78" ht="15" customHeight="1">
      <c r="A78" s="232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233" t="n"/>
      <c r="O78" s="233" t="n"/>
    </row>
    <row r="79" ht="15" customHeight="1">
      <c r="A79" s="232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233" t="n"/>
      <c r="N79" s="233" t="n"/>
      <c r="O79" s="233" t="n"/>
    </row>
    <row r="80" ht="15" customHeight="1">
      <c r="A80" s="232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233" t="n"/>
      <c r="N80" s="233" t="n"/>
      <c r="O80" s="233" t="n"/>
    </row>
    <row r="81" ht="15" customHeight="1">
      <c r="A81" s="233" t="n"/>
      <c r="B81" s="233" t="n"/>
      <c r="C81" s="409">
        <f>INPUT!D5</f>
        <v/>
      </c>
      <c r="D81" s="410">
        <f>INPUT!E5</f>
        <v/>
      </c>
      <c r="E81" s="411">
        <f>INPUT!F5</f>
        <v/>
      </c>
      <c r="F81" s="411">
        <f>INPUT!G5</f>
        <v/>
      </c>
      <c r="G81" s="411">
        <f>INPUT!H5</f>
        <v/>
      </c>
      <c r="H81" s="412" t="n"/>
      <c r="I81" s="411">
        <f>INPUT!D5</f>
        <v/>
      </c>
      <c r="J81" s="411">
        <f>INPUT!E5</f>
        <v/>
      </c>
      <c r="K81" s="411">
        <f>INPUT!F5</f>
        <v/>
      </c>
      <c r="L81" s="411">
        <f>INPUT!G5</f>
        <v/>
      </c>
      <c r="M81" s="411">
        <f>INPUT!H5</f>
        <v/>
      </c>
      <c r="N81" s="412" t="n"/>
      <c r="O81" s="233" t="n"/>
    </row>
    <row r="82" ht="15" customHeight="1">
      <c r="A82" s="233" t="n"/>
      <c r="B82" s="233" t="inlineStr">
        <is>
          <t>Revenue</t>
        </is>
      </c>
      <c r="C82" s="413">
        <f>IF(INPUT!D9="",NA(),INPUT!D9)</f>
        <v/>
      </c>
      <c r="D82" s="233">
        <f>IF(INPUT!E9="",NA(),INPUT!E9)</f>
        <v/>
      </c>
      <c r="E82" s="412">
        <f>IF(INPUT!F9="",NA(),INPUT!F9)</f>
        <v/>
      </c>
      <c r="F82" s="412">
        <f>IF(INPUT!G9="",NA(),INPUT!G9)</f>
        <v/>
      </c>
      <c r="G82" s="412">
        <f>IF(INPUT!H9="",NA(),INPUT!H9)</f>
        <v/>
      </c>
      <c r="H82" s="412" t="n"/>
      <c r="I82" s="412" t="n"/>
      <c r="J82" s="412" t="n"/>
      <c r="K82" s="412" t="n"/>
      <c r="L82" s="412" t="n"/>
      <c r="M82" s="412" t="n"/>
      <c r="N82" s="412" t="n"/>
      <c r="O82" s="233" t="n"/>
    </row>
    <row r="83" ht="15" customHeight="1">
      <c r="A83" s="233" t="n"/>
      <c r="B83" s="233" t="n"/>
      <c r="C83" s="233" t="inlineStr">
        <is>
          <t>EBITDA</t>
        </is>
      </c>
      <c r="D83" s="413">
        <f>IF(INPUT!D30="",NA(),INPUT!D30)</f>
        <v/>
      </c>
      <c r="E83" s="233">
        <f>IF(INPUT!E30="",NA(),INPUT!E30)</f>
        <v/>
      </c>
      <c r="F83" s="412">
        <f>IF(INPUT!F30="",NA(),INPUT!F30)</f>
        <v/>
      </c>
      <c r="G83" s="412">
        <f>IF(INPUT!G30="",NA(),INPUT!G30)</f>
        <v/>
      </c>
      <c r="H83" s="412">
        <f>IF(INPUT!H30="",NA(),INPUT!H30)</f>
        <v/>
      </c>
      <c r="I83" s="412" t="n"/>
      <c r="J83" s="412" t="n"/>
      <c r="K83" s="412" t="n"/>
      <c r="L83" s="412" t="n"/>
      <c r="M83" s="412" t="n"/>
      <c r="N83" s="412" t="n"/>
      <c r="O83" s="412" t="n"/>
    </row>
    <row r="84" ht="15" customHeight="1">
      <c r="A84" s="233" t="n"/>
      <c r="B84" s="233" t="n"/>
      <c r="C84" s="233" t="inlineStr">
        <is>
          <t>Net Income</t>
        </is>
      </c>
      <c r="D84" s="413">
        <f>IF(INPUT!D26="",NA(),INPUT!D26)</f>
        <v/>
      </c>
      <c r="E84" s="233">
        <f>IF(INPUT!E26="",NA(),INPUT!E26)</f>
        <v/>
      </c>
      <c r="F84" s="412">
        <f>IF(INPUT!F26="",NA(),INPUT!F26)</f>
        <v/>
      </c>
      <c r="G84" s="412">
        <f>IF(INPUT!G26="",NA(),INPUT!G26)</f>
        <v/>
      </c>
      <c r="H84" s="412">
        <f>IF(INPUT!H26="",NA(),INPUT!H26)</f>
        <v/>
      </c>
      <c r="I84" s="412" t="n"/>
      <c r="J84" s="412" t="n"/>
      <c r="K84" s="412" t="n"/>
      <c r="L84" s="412" t="n"/>
      <c r="M84" s="412" t="n"/>
      <c r="N84" s="412" t="n"/>
      <c r="O84" s="412" t="n"/>
    </row>
    <row r="85" ht="15" customHeight="1">
      <c r="A85" s="233" t="n"/>
      <c r="B85" s="233" t="n"/>
      <c r="C85" s="233" t="n"/>
      <c r="D85" s="413" t="n"/>
      <c r="E85" s="233" t="n"/>
      <c r="F85" s="412" t="n"/>
      <c r="G85" s="412" t="n"/>
      <c r="H85" s="412" t="n"/>
      <c r="I85" s="412" t="n"/>
      <c r="J85" s="411">
        <f>INPUT!D5</f>
        <v/>
      </c>
      <c r="K85" s="411">
        <f>INPUT!E5</f>
        <v/>
      </c>
      <c r="L85" s="411">
        <f>INPUT!F5</f>
        <v/>
      </c>
      <c r="M85" s="411">
        <f>INPUT!G5</f>
        <v/>
      </c>
      <c r="N85" s="411">
        <f>INPUT!H5</f>
        <v/>
      </c>
      <c r="O85" s="412" t="n"/>
    </row>
    <row r="86" ht="15" customHeight="1">
      <c r="A86" s="233" t="n"/>
      <c r="B86" s="233" t="n"/>
      <c r="C86" s="233" t="n"/>
      <c r="D86" s="413" t="n"/>
      <c r="E86" s="233" t="n"/>
      <c r="F86" s="412" t="n"/>
      <c r="G86" s="412" t="n"/>
      <c r="H86" s="412" t="n"/>
      <c r="I86" s="412" t="inlineStr">
        <is>
          <t>Gross Margin</t>
        </is>
      </c>
      <c r="J86" s="412">
        <f>IF(INPUT!D9="",NA(),INPUT!D11/INPUT!D9)</f>
        <v/>
      </c>
      <c r="K86" s="412">
        <f>IF(INPUT!E9="",NA(),INPUT!E11/INPUT!E9)</f>
        <v/>
      </c>
      <c r="L86" s="412">
        <f>IF(INPUT!F9="",NA(),INPUT!F11/INPUT!F9)</f>
        <v/>
      </c>
      <c r="M86" s="412">
        <f>IF(INPUT!G9="",NA(),INPUT!G11/INPUT!G9)</f>
        <v/>
      </c>
      <c r="N86" s="412">
        <f>IF(INPUT!H9="",NA(),INPUT!H11/INPUT!H9)</f>
        <v/>
      </c>
      <c r="O86" s="412" t="n"/>
    </row>
    <row r="87" ht="15" customHeight="1">
      <c r="A87" s="233" t="n"/>
      <c r="B87" s="233" t="n"/>
      <c r="C87" s="233" t="n"/>
      <c r="D87" s="413" t="n"/>
      <c r="E87" s="233" t="n"/>
      <c r="F87" s="412" t="n"/>
      <c r="G87" s="412" t="n"/>
      <c r="H87" s="412" t="n"/>
      <c r="I87" s="412" t="inlineStr">
        <is>
          <t>EBITDA Margin</t>
        </is>
      </c>
      <c r="J87" s="412">
        <f>IF(INPUT!D9="",NA(),INPUT!D11/INPUT!D9)</f>
        <v/>
      </c>
      <c r="K87" s="412">
        <f>IF(INPUT!E9="",NA(),INPUT!E11/INPUT!E9)</f>
        <v/>
      </c>
      <c r="L87" s="412">
        <f>IF(INPUT!F9="",NA(),INPUT!F11/INPUT!F9)</f>
        <v/>
      </c>
      <c r="M87" s="412">
        <f>IF(INPUT!G9="",NA(),INPUT!G11/INPUT!G9)</f>
        <v/>
      </c>
      <c r="N87" s="412">
        <f>IF(INPUT!H9="",NA(),INPUT!H11/INPUT!H9)</f>
        <v/>
      </c>
      <c r="O87" s="412" t="n"/>
    </row>
    <row r="88" ht="15" customHeight="1">
      <c r="A88" s="233" t="n"/>
      <c r="B88" s="233" t="n"/>
      <c r="C88" s="233" t="n"/>
      <c r="D88" s="409">
        <f>INPUT!D5</f>
        <v/>
      </c>
      <c r="E88" s="410">
        <f>INPUT!E5</f>
        <v/>
      </c>
      <c r="F88" s="411">
        <f>INPUT!F5</f>
        <v/>
      </c>
      <c r="G88" s="411">
        <f>INPUT!G5</f>
        <v/>
      </c>
      <c r="H88" s="411">
        <f>INPUT!H5</f>
        <v/>
      </c>
      <c r="I88" s="412" t="inlineStr">
        <is>
          <t>Net Margin</t>
        </is>
      </c>
      <c r="J88" s="412">
        <f>IF(INPUT!D9="",NA(),INPUT!D26/INPUT!D9)</f>
        <v/>
      </c>
      <c r="K88" s="412">
        <f>IF(INPUT!E9="",NA(),INPUT!E26/INPUT!E9)</f>
        <v/>
      </c>
      <c r="L88" s="412">
        <f>IF(INPUT!F9="",NA(),INPUT!F26/INPUT!F9)</f>
        <v/>
      </c>
      <c r="M88" s="412">
        <f>IF(INPUT!G9="",NA(),INPUT!G26/INPUT!G9)</f>
        <v/>
      </c>
      <c r="N88" s="412">
        <f>IF(INPUT!H9="",NA(),INPUT!H26/INPUT!H9)</f>
        <v/>
      </c>
      <c r="O88" s="412" t="n"/>
    </row>
    <row r="89" ht="15" customHeight="1">
      <c r="A89" s="233" t="n"/>
      <c r="B89" s="233" t="n"/>
      <c r="C89" s="233" t="inlineStr">
        <is>
          <t>Revenue</t>
        </is>
      </c>
      <c r="D89" s="413">
        <f>IF(INPUT!D9="",NA(),INPUT!D9)</f>
        <v/>
      </c>
      <c r="E89" s="233">
        <f>IF(INPUT!E9="",NA(),INPUT!E9)</f>
        <v/>
      </c>
      <c r="F89" s="412">
        <f>IF(INPUT!F9="",NA(),INPUT!F9)</f>
        <v/>
      </c>
      <c r="G89" s="412">
        <f>IF(INPUT!G9="",NA(),INPUT!G9)</f>
        <v/>
      </c>
      <c r="H89" s="412">
        <f>IF(INPUT!H9="",NA(),INPUT!H9)</f>
        <v/>
      </c>
      <c r="I89" s="412" t="n"/>
      <c r="J89" s="412" t="n"/>
      <c r="K89" s="412" t="n"/>
      <c r="L89" s="412" t="n"/>
      <c r="M89" s="412" t="n"/>
      <c r="N89" s="412" t="n"/>
      <c r="O89" s="412" t="n"/>
    </row>
    <row r="90" ht="15" customHeight="1">
      <c r="A90" s="233" t="n"/>
      <c r="B90" s="233" t="n"/>
      <c r="C90" s="233" t="n"/>
      <c r="D90" s="413" t="n"/>
      <c r="E90" s="233" t="n"/>
      <c r="F90" s="412" t="n"/>
      <c r="G90" s="412" t="n"/>
      <c r="H90" s="412" t="n"/>
      <c r="I90" s="412" t="n"/>
      <c r="J90" s="411">
        <f>INPUT!D5</f>
        <v/>
      </c>
      <c r="K90" s="411">
        <f>INPUT!E5</f>
        <v/>
      </c>
      <c r="L90" s="411">
        <f>INPUT!F5</f>
        <v/>
      </c>
      <c r="M90" s="411">
        <f>INPUT!G5</f>
        <v/>
      </c>
      <c r="N90" s="411">
        <f>INPUT!H5</f>
        <v/>
      </c>
      <c r="O90" s="412" t="n"/>
    </row>
    <row r="91" ht="15" customHeight="1">
      <c r="A91" s="233" t="n"/>
      <c r="B91" s="233" t="n"/>
      <c r="C91" s="233" t="n"/>
      <c r="D91" s="413" t="n"/>
      <c r="E91" s="233" t="n"/>
      <c r="F91" s="412" t="n"/>
      <c r="G91" s="412" t="n"/>
      <c r="H91" s="412" t="n"/>
      <c r="I91" s="412" t="inlineStr">
        <is>
          <t>SG&amp;A</t>
        </is>
      </c>
      <c r="J91" s="412">
        <f>IF(INPUT!D14="",NA(),ABS(INPUT!D14))</f>
        <v/>
      </c>
      <c r="K91" s="412">
        <f>IF(INPUT!E14="",NA(),ABS(INPUT!E14))</f>
        <v/>
      </c>
      <c r="L91" s="412">
        <f>IF(INPUT!F14="",NA(),ABS(INPUT!F14))</f>
        <v/>
      </c>
      <c r="M91" s="412">
        <f>IF(INPUT!G14="",NA(),ABS(INPUT!G14))</f>
        <v/>
      </c>
      <c r="N91" s="412">
        <f>IF(INPUT!H14="",NA(),ABS(INPUT!H14))</f>
        <v/>
      </c>
      <c r="O91" s="412" t="n"/>
      <c r="XES91" s="51" t="n"/>
      <c r="XEU91" s="21" t="n"/>
      <c r="XEV91" s="21" t="n"/>
      <c r="XEW91" s="21" t="n"/>
      <c r="XEX91" s="21" t="n"/>
      <c r="XEY91" s="21" t="n"/>
      <c r="XEZ91" s="21" t="n"/>
      <c r="XFA91" s="21" t="n"/>
      <c r="XFB91" s="21" t="n"/>
      <c r="XFC91" s="21" t="n"/>
      <c r="XFD91" s="21" t="n"/>
    </row>
    <row r="92" ht="15" customHeight="1">
      <c r="A92" s="233" t="n"/>
      <c r="B92" s="233" t="n"/>
      <c r="C92" s="233" t="n"/>
      <c r="D92" s="413" t="n"/>
      <c r="E92" s="233" t="n"/>
      <c r="F92" s="412" t="n"/>
      <c r="G92" s="412" t="n"/>
      <c r="H92" s="412" t="n"/>
      <c r="I92" s="412" t="inlineStr">
        <is>
          <t>R&amp;D</t>
        </is>
      </c>
      <c r="J92" s="412">
        <f>IF(INPUT!D15="",NA(),ABS(INPUT!D15))</f>
        <v/>
      </c>
      <c r="K92" s="412">
        <f>IF(INPUT!E15="",NA(),ABS(INPUT!E15))</f>
        <v/>
      </c>
      <c r="L92" s="412">
        <f>IF(INPUT!F15="",NA(),ABS(INPUT!F15))</f>
        <v/>
      </c>
      <c r="M92" s="412">
        <f>IF(INPUT!G15="",NA(),ABS(INPUT!G15))</f>
        <v/>
      </c>
      <c r="N92" s="412">
        <f>IF(INPUT!H15="",NA(),ABS(INPUT!H15))</f>
        <v/>
      </c>
      <c r="O92" s="412" t="n"/>
      <c r="XES92" s="51" t="n"/>
      <c r="XEU92" s="21" t="n"/>
      <c r="XEV92" s="21" t="n"/>
      <c r="XEW92" s="21" t="n"/>
      <c r="XEX92" s="21" t="n"/>
      <c r="XEY92" s="21" t="n"/>
      <c r="XEZ92" s="21" t="n"/>
      <c r="XFA92" s="21" t="n"/>
      <c r="XFB92" s="21" t="n"/>
      <c r="XFC92" s="21" t="n"/>
      <c r="XFD92" s="21" t="n"/>
    </row>
    <row r="93" ht="15" customHeight="1">
      <c r="A93" s="233" t="n"/>
      <c r="B93" s="233" t="n"/>
      <c r="C93" s="233" t="n"/>
      <c r="D93" s="413" t="n"/>
      <c r="E93" s="233" t="n"/>
      <c r="F93" s="412" t="n"/>
      <c r="G93" s="412" t="n"/>
      <c r="H93" s="412" t="n"/>
      <c r="I93" s="412" t="inlineStr">
        <is>
          <t>D&amp;A</t>
        </is>
      </c>
      <c r="J93" s="412">
        <f>IF(INPUT!D16="",NA(),ABS(INPUT!D16))</f>
        <v/>
      </c>
      <c r="K93" s="412">
        <f>IF(INPUT!E16="",NA(),ABS(INPUT!E16))</f>
        <v/>
      </c>
      <c r="L93" s="412">
        <f>IF(INPUT!F16="",NA(),ABS(INPUT!F16))</f>
        <v/>
      </c>
      <c r="M93" s="412">
        <f>IF(INPUT!G16="",NA(),ABS(INPUT!G16))</f>
        <v/>
      </c>
      <c r="N93" s="412">
        <f>IF(INPUT!H16="",NA(),ABS(INPUT!H16))</f>
        <v/>
      </c>
      <c r="O93" s="412" t="n"/>
    </row>
    <row r="94" ht="15" customHeight="1">
      <c r="A94" s="233" t="n"/>
      <c r="B94" s="233" t="n"/>
      <c r="C94" s="233" t="n"/>
      <c r="D94" s="413" t="n"/>
      <c r="E94" s="233" t="n"/>
      <c r="F94" s="412" t="n"/>
      <c r="G94" s="412" t="n"/>
      <c r="H94" s="412" t="n"/>
      <c r="I94" s="412" t="inlineStr">
        <is>
          <t>Interest</t>
        </is>
      </c>
      <c r="J94" s="412">
        <f>IF(INPUT!D20="",NA(),ABS(INPUT!D20))</f>
        <v/>
      </c>
      <c r="K94" s="412">
        <f>IF(INPUT!E20="",NA(),ABS(INPUT!E20))</f>
        <v/>
      </c>
      <c r="L94" s="412">
        <f>IF(INPUT!F20="",NA(),ABS(INPUT!F20))</f>
        <v/>
      </c>
      <c r="M94" s="412">
        <f>IF(INPUT!G20="",NA(),ABS(INPUT!G20))</f>
        <v/>
      </c>
      <c r="N94" s="412">
        <f>IF(INPUT!H20="",NA(),ABS(INPUT!H20))</f>
        <v/>
      </c>
      <c r="O94" s="412" t="n"/>
    </row>
    <row r="95" ht="15" customHeight="1">
      <c r="A95" s="233" t="n"/>
      <c r="B95" s="233" t="n"/>
      <c r="C95" s="233" t="n"/>
      <c r="D95" s="413" t="n"/>
      <c r="E95" s="233" t="n"/>
      <c r="F95" s="412" t="n"/>
      <c r="G95" s="412" t="n"/>
      <c r="H95" s="412" t="n"/>
      <c r="I95" s="412" t="n"/>
      <c r="J95" s="412" t="n"/>
      <c r="K95" s="412" t="n"/>
      <c r="L95" s="412" t="n"/>
      <c r="M95" s="412" t="n"/>
      <c r="N95" s="412" t="n"/>
      <c r="O95" s="412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conditionalFormatting sqref="C1:C200">
    <cfRule type="expression" priority="1" dxfId="0">
      <formula>INPUT!$F$128&lt;5</formula>
    </cfRule>
  </conditionalFormatting>
  <conditionalFormatting sqref="D1:D200">
    <cfRule type="expression" priority="2" dxfId="0">
      <formula>INPUT!$F$128&lt;5</formula>
    </cfRule>
  </conditionalFormatting>
  <conditionalFormatting sqref="E1:E200">
    <cfRule type="expression" priority="3" dxfId="0">
      <formula>INPUT!$F$128&lt;4</formula>
    </cfRule>
  </conditionalFormatting>
  <conditionalFormatting sqref="F1:F200">
    <cfRule type="expression" priority="4" dxfId="0">
      <formula>INPUT!$F$128&lt;3</formula>
    </cfRule>
  </conditionalFormatting>
  <conditionalFormatting sqref="G1:G200">
    <cfRule type="expression" priority="5" dxfId="0">
      <formula>INPUT!$F$128&lt;2</formula>
    </cfRule>
  </conditionalFormatting>
  <conditionalFormatting sqref="H1:H200">
    <cfRule type="expression" priority="6" dxfId="0">
      <formula>INPUT!$F$128&lt;1</formula>
    </cfRule>
  </conditionalFormatting>
  <conditionalFormatting sqref="J1:J200">
    <cfRule type="expression" priority="7" dxfId="0">
      <formula>INPUT!$F$128&lt;5</formula>
    </cfRule>
  </conditionalFormatting>
  <conditionalFormatting sqref="K1:K200">
    <cfRule type="expression" priority="8" dxfId="0">
      <formula>INPUT!$F$128&lt;4</formula>
    </cfRule>
  </conditionalFormatting>
  <conditionalFormatting sqref="L1:L200">
    <cfRule type="expression" priority="9" dxfId="0">
      <formula>INPUT!$F$128&lt;3</formula>
    </cfRule>
  </conditionalFormatting>
  <conditionalFormatting sqref="M1:M200">
    <cfRule type="expression" priority="10" dxfId="0">
      <formula>INPUT!$F$128&lt;2</formula>
    </cfRule>
  </conditionalFormatting>
  <conditionalFormatting sqref="N1:N200">
    <cfRule type="expression" priority="11" dxfId="0">
      <formula>INPUT!$F$128&lt;1</formula>
    </cfRule>
  </conditionalFormatting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showGridLines="0" topLeftCell="B1" zoomScale="63" zoomScaleNormal="85" workbookViewId="0">
      <selection activeCell="AB41" sqref="AB41"/>
    </sheetView>
  </sheetViews>
  <sheetFormatPr baseColWidth="10" defaultColWidth="9.109375" defaultRowHeight="15" customHeight="1"/>
  <cols>
    <col width="15.33203125" customWidth="1" style="167" min="1" max="1"/>
    <col width="16.6640625" customWidth="1" style="167" min="2" max="2"/>
    <col width="12.44140625" customWidth="1" style="167" min="3" max="4"/>
    <col width="13.5546875" customWidth="1" style="167" min="5" max="5"/>
    <col width="12.44140625" customWidth="1" style="167" min="6" max="10"/>
    <col width="13.88671875" customWidth="1" style="167" min="11" max="11"/>
    <col width="12.44140625" customWidth="1" style="167" min="12" max="14"/>
    <col width="13.88671875" customWidth="1" style="168" min="15" max="15"/>
    <col width="13.88671875" customWidth="1" style="167" min="16" max="16"/>
    <col width="12.44140625" customWidth="1" style="167" min="17" max="17"/>
    <col width="16.6640625" customWidth="1" style="167" min="18" max="18"/>
    <col width="12.44140625" customWidth="1" style="167" min="19" max="19"/>
    <col width="26.109375" customWidth="1" style="167" min="20" max="20"/>
    <col width="18.33203125" customWidth="1" style="167" min="21" max="21"/>
    <col width="16.109375" customWidth="1" style="167" min="22" max="22"/>
    <col width="12.44140625" customWidth="1" style="167" min="23" max="30"/>
    <col width="9.109375" customWidth="1" style="167" min="31" max="16384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376">
        <f>INPUT!D114&amp;" ("&amp;INPUT!D115&amp;")  — "&amp;INPUT!D116</f>
        <v/>
      </c>
      <c r="S1" s="182" t="n"/>
      <c r="T1" s="182" t="n"/>
      <c r="U1" s="182" t="n"/>
      <c r="V1" s="182" t="n"/>
      <c r="W1" s="182" t="n"/>
      <c r="X1" s="182" t="n"/>
      <c r="Y1" s="217" t="n"/>
      <c r="Z1" s="217" t="n"/>
      <c r="AA1" s="217" t="n"/>
      <c r="AB1" s="217" t="n"/>
      <c r="AC1" s="217" t="n"/>
      <c r="AD1" s="217" t="n"/>
    </row>
    <row r="2" ht="15" customHeight="1">
      <c r="A2" s="102" t="n"/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</row>
    <row r="3" ht="21" customFormat="1" customHeight="1" s="169">
      <c r="B3" s="155" t="inlineStr">
        <is>
          <t>Projected Business Performance</t>
        </is>
      </c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Q3" s="155" t="inlineStr">
        <is>
          <t>Company Overview</t>
        </is>
      </c>
      <c r="R3" s="164" t="n"/>
      <c r="S3" s="164" t="n"/>
      <c r="T3" s="164" t="n"/>
      <c r="U3" s="164" t="n"/>
      <c r="V3" s="164" t="n"/>
      <c r="W3" s="164" t="n"/>
      <c r="X3" s="164" t="n"/>
    </row>
    <row r="4" ht="15" customFormat="1" customHeight="1" s="169">
      <c r="A4" s="102" t="n"/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</row>
    <row r="5" ht="15" customFormat="1" customHeight="1" s="169">
      <c r="A5" s="102" t="n"/>
      <c r="B5" s="102" t="n"/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84" t="inlineStr">
        <is>
          <t>All figures in USD Thousands unless stated</t>
        </is>
      </c>
      <c r="R5" s="102" t="n"/>
      <c r="S5" s="102" t="n"/>
      <c r="T5" s="102" t="n"/>
      <c r="U5" s="102" t="n"/>
      <c r="V5" s="102" t="n"/>
      <c r="W5" s="102" t="n"/>
      <c r="X5" s="102" t="n"/>
    </row>
    <row r="6" ht="15" customHeight="1">
      <c r="A6" s="102" t="n"/>
      <c r="B6" s="390">
        <f>CONCATENATE("Company: ",INPUT!D114)</f>
        <v/>
      </c>
      <c r="C6" s="165" t="n"/>
      <c r="D6" s="165" t="n"/>
      <c r="E6" s="165" t="n"/>
      <c r="F6" s="165" t="n"/>
      <c r="G6" s="165" t="n"/>
      <c r="H6" s="165" t="n"/>
      <c r="I6" s="391">
        <f>CONCATENATE("Sector: ",INPUT!D116)</f>
        <v/>
      </c>
      <c r="J6" s="165" t="n"/>
      <c r="K6" s="165" t="n"/>
      <c r="L6" s="165" t="n"/>
      <c r="M6" s="165" t="n"/>
      <c r="N6" s="165" t="n"/>
      <c r="O6" s="165" t="n"/>
      <c r="Q6" s="174" t="inlineStr">
        <is>
          <t>Company Information</t>
        </is>
      </c>
    </row>
    <row r="7" ht="15" customHeight="1">
      <c r="A7" s="102" t="n"/>
      <c r="B7" s="102" t="n"/>
      <c r="C7" s="102" t="n"/>
      <c r="D7" s="102" t="n"/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R7" s="112" t="inlineStr">
        <is>
          <t>Company Name</t>
        </is>
      </c>
      <c r="S7" s="392">
        <f>INPUT!D114</f>
        <v/>
      </c>
    </row>
    <row r="8" ht="15" customHeight="1">
      <c r="A8" s="102" t="n"/>
      <c r="B8" s="102" t="n"/>
      <c r="C8" s="102" t="n"/>
      <c r="D8" s="102" t="n"/>
      <c r="E8" s="102" t="n"/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R8" s="112" t="inlineStr">
        <is>
          <t>Ticker Symbol</t>
        </is>
      </c>
      <c r="S8" s="392">
        <f>INPUT!D115</f>
        <v/>
      </c>
    </row>
    <row r="9" ht="15" customHeight="1">
      <c r="A9" s="102" t="n"/>
      <c r="B9" s="102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R9" s="112" t="inlineStr">
        <is>
          <t>Sector</t>
        </is>
      </c>
      <c r="S9" s="392">
        <f>INPUT!D116</f>
        <v/>
      </c>
    </row>
    <row r="10" ht="15" customHeight="1">
      <c r="A10" s="102" t="n"/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R10" s="112" t="inlineStr">
        <is>
          <t>Base Year (LTM)</t>
        </is>
      </c>
      <c r="S10" s="392">
        <f>INPUT!D117</f>
        <v/>
      </c>
    </row>
    <row r="11" ht="15" customHeight="1">
      <c r="A11" s="102" t="n"/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R11" s="112" t="inlineStr">
        <is>
          <t>Currency</t>
        </is>
      </c>
      <c r="S11" s="392">
        <f>INPUT!D118</f>
        <v/>
      </c>
    </row>
    <row r="12" ht="15" customHeight="1">
      <c r="A12" s="102" t="n"/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R12" s="112" t="inlineStr">
        <is>
          <t>Analysis Date</t>
        </is>
      </c>
      <c r="S12" s="393">
        <f>INPUT!D120</f>
        <v/>
      </c>
    </row>
    <row r="13" ht="15" customHeight="1">
      <c r="A13" s="102" t="n"/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</row>
    <row r="14" ht="21" customHeight="1">
      <c r="A14" s="102" t="n"/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55" t="inlineStr">
        <is>
          <t>Football Field Chart — Valuation Inputs</t>
        </is>
      </c>
      <c r="R14" s="164" t="n"/>
      <c r="S14" s="164" t="n"/>
      <c r="T14" s="164" t="n"/>
      <c r="U14" s="164" t="n"/>
      <c r="V14" s="164" t="n"/>
      <c r="W14" s="164" t="n"/>
      <c r="X14" s="164" t="n"/>
    </row>
    <row r="15" ht="15" customHeight="1">
      <c r="A15" s="102" t="n"/>
      <c r="B15" s="102" t="n"/>
      <c r="C15" s="102" t="n"/>
      <c r="D15" s="102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</row>
    <row r="16" ht="15" customHeight="1">
      <c r="A16" s="102" t="n"/>
      <c r="B16" s="102" t="n"/>
      <c r="C16" s="102" t="n"/>
      <c r="D16" s="102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T16" s="186" t="inlineStr">
        <is>
          <t>Low ($)</t>
        </is>
      </c>
      <c r="U16" s="186" t="inlineStr">
        <is>
          <t>Delta ($)</t>
        </is>
      </c>
      <c r="V16" s="186" t="inlineStr">
        <is>
          <t>High ($)</t>
        </is>
      </c>
    </row>
    <row r="17" ht="15" customHeight="1">
      <c r="A17" s="102" t="n"/>
      <c r="B17" s="102" t="n"/>
      <c r="C17" s="102" t="n"/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Q17" s="189" t="inlineStr">
        <is>
          <t>52-Week Trading Range</t>
        </is>
      </c>
      <c r="T17" s="523">
        <f>INPUT!D95*0.75</f>
        <v/>
      </c>
      <c r="U17" s="524">
        <f>V17-T17</f>
        <v/>
      </c>
      <c r="V17" s="525">
        <f>INPUT!D95*1.45</f>
        <v/>
      </c>
    </row>
    <row r="18" ht="15" customHeight="1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Q18" s="189" t="inlineStr">
        <is>
          <t>Consensus Research</t>
        </is>
      </c>
      <c r="T18" s="525">
        <f>INPUT!D95*1.1</f>
        <v/>
      </c>
      <c r="U18" s="526">
        <f>V18-T18</f>
        <v/>
      </c>
      <c r="V18" s="525">
        <f>INPUT!D95*1.6</f>
        <v/>
      </c>
    </row>
    <row r="19" ht="15" customFormat="1" customHeight="1" s="169">
      <c r="A19" s="102" t="n"/>
      <c r="B19" s="220" t="inlineStr">
        <is>
          <t>Stock Chart: Trailing 52-Weeks</t>
        </is>
      </c>
      <c r="C19" s="224" t="n"/>
      <c r="D19" s="224" t="n"/>
      <c r="E19" s="224" t="n"/>
      <c r="F19" s="224" t="n"/>
      <c r="G19" s="224" t="n"/>
      <c r="H19" s="102" t="n"/>
      <c r="I19" s="220" t="inlineStr">
        <is>
          <t>Valuation Summary: Football Field Chart</t>
        </is>
      </c>
      <c r="J19" s="224" t="n"/>
      <c r="K19" s="224" t="n"/>
      <c r="L19" s="224" t="n"/>
      <c r="M19" s="224" t="n"/>
      <c r="N19" s="224" t="n"/>
      <c r="O19" s="224" t="n"/>
      <c r="Q19" s="189" t="inlineStr">
        <is>
          <t>Precedent Transactions</t>
        </is>
      </c>
      <c r="T19" s="525">
        <f>INPUT!D95*1.2</f>
        <v/>
      </c>
      <c r="U19" s="526">
        <f>V19-T19</f>
        <v/>
      </c>
      <c r="V19" s="525">
        <f>INPUT!D95*1.75</f>
        <v/>
      </c>
    </row>
    <row r="20" ht="15" customFormat="1" customHeight="1" s="169">
      <c r="A20" s="102" t="n"/>
      <c r="B20" s="190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Q20" s="189" t="inlineStr">
        <is>
          <t>Sum-of-the-Parts</t>
        </is>
      </c>
      <c r="T20" s="525">
        <f>INPUT!D95*1.3</f>
        <v/>
      </c>
      <c r="U20" s="526">
        <f>V20-T20</f>
        <v/>
      </c>
      <c r="V20" s="525">
        <f>INPUT!D95*1.85</f>
        <v/>
      </c>
    </row>
    <row r="21" ht="15" customFormat="1" customHeight="1" s="169">
      <c r="A21" s="102" t="n"/>
      <c r="B21" s="102" t="n"/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Q21" s="189" t="inlineStr">
        <is>
          <t>Discounted Cash Flow</t>
        </is>
      </c>
      <c r="T21" s="525">
        <f>INPUT!D95*1.15</f>
        <v/>
      </c>
      <c r="U21" s="526">
        <f>V21-T21</f>
        <v/>
      </c>
      <c r="V21" s="525">
        <f>INPUT!D95*1.7</f>
        <v/>
      </c>
    </row>
    <row r="22" ht="15" customFormat="1" customHeight="1" s="169">
      <c r="A22" s="102" t="n"/>
      <c r="B22" s="102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Q22" s="175" t="inlineStr">
        <is>
          <t>Current Share Price</t>
        </is>
      </c>
      <c r="T22" s="527">
        <f>INPUT!D95</f>
        <v/>
      </c>
      <c r="U22" s="528" t="n"/>
      <c r="V22" s="528" t="n"/>
    </row>
    <row r="23" ht="15" customFormat="1" customHeight="1" s="169">
      <c r="A23" s="102" t="n"/>
      <c r="B23" s="102" t="n"/>
      <c r="C23" s="102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</row>
    <row r="24" ht="15" customFormat="1" customHeight="1" s="169">
      <c r="A24" s="102" t="n"/>
      <c r="B24" s="102" t="n"/>
      <c r="C24" s="102" t="n"/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</row>
    <row r="25" ht="15" customFormat="1" customHeight="1" s="169">
      <c r="A25" s="102" t="n"/>
      <c r="B25" s="102" t="n"/>
      <c r="C25" s="102" t="n"/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</row>
    <row r="26" ht="21" customFormat="1" customHeight="1" s="169">
      <c r="A26" s="102" t="n"/>
      <c r="B26" s="102" t="n"/>
      <c r="C26" s="102" t="n"/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Q26" s="155" t="inlineStr">
        <is>
          <t>Financial Data — Multi-Year</t>
        </is>
      </c>
      <c r="R26" s="164" t="n"/>
      <c r="S26" s="164" t="n"/>
      <c r="T26" s="164" t="n"/>
      <c r="U26" s="164" t="n"/>
      <c r="V26" s="164" t="n"/>
      <c r="W26" s="164" t="n"/>
      <c r="X26" s="164" t="n"/>
    </row>
    <row r="27" ht="15" customFormat="1" customHeight="1" s="169">
      <c r="A27" s="102" t="n"/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</row>
    <row r="28" ht="15" customFormat="1" customHeight="1" s="166">
      <c r="A28" s="102" t="n"/>
      <c r="B28" s="102" t="n"/>
      <c r="C28" s="102" t="n"/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Q28" s="173" t="inlineStr">
        <is>
          <t>All figures in USD Thousands unless stated</t>
        </is>
      </c>
      <c r="T28" s="399">
        <f>INPUT!D5</f>
        <v/>
      </c>
      <c r="U28" s="399">
        <f>INPUT!E5</f>
        <v/>
      </c>
      <c r="V28" s="399">
        <f>INPUT!F5</f>
        <v/>
      </c>
      <c r="W28" s="399">
        <f>INPUT!G5</f>
        <v/>
      </c>
      <c r="X28" s="399">
        <f>INPUT!H5</f>
        <v/>
      </c>
    </row>
    <row r="29" ht="15" customFormat="1" customHeight="1" s="166">
      <c r="A29" s="102" t="n"/>
      <c r="B29" s="102" t="n"/>
      <c r="C29" s="102" t="n"/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</row>
    <row r="30" ht="15" customFormat="1" customHeight="1" s="166">
      <c r="A30" s="102" t="n"/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Q30" s="180" t="inlineStr">
        <is>
          <t>Revenue Growth (%)</t>
        </is>
      </c>
      <c r="T30" s="286">
        <f>NA()</f>
        <v/>
      </c>
      <c r="U30" s="400">
        <f>IF(INPUT!D9=0,NA(),INPUT!E9/INPUT!D9-1)</f>
        <v/>
      </c>
      <c r="V30" s="400">
        <f>IF(INPUT!E9=0,NA(),INPUT!F9/INPUT!E9-1)</f>
        <v/>
      </c>
      <c r="W30" s="400">
        <f>IF(INPUT!F9=0,NA(),INPUT!G9/INPUT!F9-1)</f>
        <v/>
      </c>
      <c r="X30" s="400">
        <f>IF(INPUT!G9=0,NA(),INPUT!H9/INPUT!G9-1)</f>
        <v/>
      </c>
    </row>
    <row r="31" ht="15" customFormat="1" customHeight="1" s="166">
      <c r="A31" s="102" t="n"/>
      <c r="B31" s="102" t="n"/>
      <c r="C31" s="102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Q31" s="188" t="inlineStr">
        <is>
          <t>EBITDA Growth (%)</t>
        </is>
      </c>
      <c r="U31" s="197" t="n"/>
      <c r="V31" s="400">
        <f>IF(INPUT!D30=0,NA(),INPUT!F30/INPUT!E30-1)</f>
        <v/>
      </c>
      <c r="W31" s="400">
        <f>IF(INPUT!E30=0,NA(),INPUT!G30/INPUT!F30-1)</f>
        <v/>
      </c>
      <c r="X31" s="400">
        <f>IF(INPUT!F30=0,NA(),INPUT!H30/INPUT!G30-1)</f>
        <v/>
      </c>
    </row>
    <row r="32" ht="15" customFormat="1" customHeight="1" s="166">
      <c r="A32" s="102" t="n"/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</row>
    <row r="33" ht="15" customFormat="1" customHeight="1" s="166">
      <c r="A33" s="102" t="n"/>
      <c r="B33" s="102" t="n"/>
      <c r="C33" s="102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Q33" s="174" t="inlineStr">
        <is>
          <t>Revenue</t>
        </is>
      </c>
    </row>
    <row r="34" ht="15" customFormat="1" customHeight="1" s="166">
      <c r="A34" s="102" t="n"/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Q34" s="191" t="inlineStr">
        <is>
          <t>Revenue — Products</t>
        </is>
      </c>
      <c r="T34" s="529">
        <f>INPUT!D9</f>
        <v/>
      </c>
      <c r="U34" s="529">
        <f>INPUT!E9</f>
        <v/>
      </c>
      <c r="V34" s="529">
        <f>INPUT!F9</f>
        <v/>
      </c>
      <c r="W34" s="529">
        <f>INPUT!G9</f>
        <v/>
      </c>
      <c r="X34" s="529">
        <f>INPUT!H9</f>
        <v/>
      </c>
    </row>
    <row r="35" ht="15" customFormat="1" customHeight="1" s="166">
      <c r="A35" s="102" t="n"/>
      <c r="B35" s="102" t="n"/>
      <c r="C35" s="102" t="n"/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Q35" s="191" t="inlineStr">
        <is>
          <t>Cost of Revenue (COGS)</t>
        </is>
      </c>
      <c r="T35" s="529">
        <f>INPUT!D10</f>
        <v/>
      </c>
      <c r="U35" s="529">
        <f>INPUT!E10</f>
        <v/>
      </c>
      <c r="V35" s="529">
        <f>INPUT!F10</f>
        <v/>
      </c>
      <c r="W35" s="529">
        <f>INPUT!G10</f>
        <v/>
      </c>
      <c r="X35" s="529">
        <f>INPUT!H10</f>
        <v/>
      </c>
    </row>
    <row r="36" ht="15" customFormat="1" customHeight="1" s="166">
      <c r="A36" s="102" t="n"/>
      <c r="B36" s="102" t="n"/>
      <c r="C36" s="102" t="n"/>
      <c r="D36" s="102" t="n"/>
      <c r="E36" s="102" t="n"/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Q36" s="191" t="inlineStr">
        <is>
          <t>Gross Profit</t>
        </is>
      </c>
      <c r="T36" s="530">
        <f>INPUT!D11</f>
        <v/>
      </c>
      <c r="U36" s="530">
        <f>INPUT!E11</f>
        <v/>
      </c>
      <c r="V36" s="530">
        <f>INPUT!F11</f>
        <v/>
      </c>
      <c r="W36" s="530">
        <f>INPUT!G11</f>
        <v/>
      </c>
      <c r="X36" s="530">
        <f>INPUT!H11</f>
        <v/>
      </c>
    </row>
    <row r="37" ht="15" customFormat="1" customHeight="1" s="166">
      <c r="A37" s="102" t="n"/>
      <c r="B37" s="102" t="n"/>
      <c r="C37" s="102" t="n"/>
      <c r="D37" s="102" t="n"/>
      <c r="E37" s="102" t="n"/>
      <c r="F37" s="102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Q37" s="191" t="inlineStr">
        <is>
          <t>SG&amp;A</t>
        </is>
      </c>
      <c r="T37" s="529">
        <f>INPUT!D14</f>
        <v/>
      </c>
      <c r="U37" s="529">
        <f>INPUT!E14</f>
        <v/>
      </c>
      <c r="V37" s="529">
        <f>INPUT!F14</f>
        <v/>
      </c>
      <c r="W37" s="529">
        <f>INPUT!G14</f>
        <v/>
      </c>
      <c r="X37" s="529">
        <f>INPUT!H14</f>
        <v/>
      </c>
    </row>
    <row r="38" ht="15" customFormat="1" customHeight="1" s="166">
      <c r="A38" s="102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Q38" s="191" t="inlineStr">
        <is>
          <t>Total Revenue</t>
        </is>
      </c>
      <c r="T38" s="531">
        <f>INPUT!D9</f>
        <v/>
      </c>
      <c r="U38" s="531">
        <f>INPUT!E9</f>
        <v/>
      </c>
      <c r="V38" s="531">
        <f>INPUT!F9</f>
        <v/>
      </c>
      <c r="W38" s="531">
        <f>INPUT!G9</f>
        <v/>
      </c>
      <c r="X38" s="531">
        <f>INPUT!H9</f>
        <v/>
      </c>
    </row>
    <row r="39" ht="15" customFormat="1" customHeight="1" s="166">
      <c r="B39" s="220" t="inlineStr">
        <is>
          <t>Total Revenue ($000)</t>
        </is>
      </c>
      <c r="C39" s="224" t="n"/>
      <c r="D39" s="224" t="n"/>
      <c r="E39" s="224" t="n"/>
      <c r="F39" s="224" t="n"/>
      <c r="G39" s="224" t="n"/>
      <c r="H39" s="102" t="n"/>
      <c r="I39" s="220" t="inlineStr">
        <is>
          <t>Other Financial Metrics ($ Millier)</t>
        </is>
      </c>
      <c r="J39" s="224" t="n"/>
      <c r="K39" s="224" t="n"/>
      <c r="L39" s="224" t="n"/>
      <c r="M39" s="224" t="n"/>
      <c r="N39" s="224" t="n"/>
      <c r="O39" s="224" t="n"/>
      <c r="T39" s="528" t="n"/>
      <c r="U39" s="528" t="n"/>
      <c r="V39" s="528" t="n"/>
      <c r="W39" s="528" t="n"/>
      <c r="X39" s="528" t="n"/>
    </row>
    <row r="40" ht="15" customFormat="1" customHeight="1" s="166">
      <c r="Q40" s="191" t="inlineStr">
        <is>
          <t>EBITDA</t>
        </is>
      </c>
      <c r="T40" s="529">
        <f>INPUT!D30</f>
        <v/>
      </c>
      <c r="U40" s="529">
        <f>INPUT!E30</f>
        <v/>
      </c>
      <c r="V40" s="529">
        <f>INPUT!F30</f>
        <v/>
      </c>
      <c r="W40" s="529">
        <f>INPUT!G30</f>
        <v/>
      </c>
      <c r="X40" s="529">
        <f>INPUT!H30</f>
        <v/>
      </c>
    </row>
    <row r="41" ht="15" customFormat="1" customHeight="1" s="166">
      <c r="Q41" s="191" t="inlineStr">
        <is>
          <t>Cash from Ops (CFO)</t>
        </is>
      </c>
      <c r="T41" s="529">
        <f>INPUT!D75</f>
        <v/>
      </c>
      <c r="U41" s="529">
        <f>INPUT!E75</f>
        <v/>
      </c>
      <c r="V41" s="529">
        <f>INPUT!F75</f>
        <v/>
      </c>
      <c r="W41" s="529">
        <f>INPUT!G75</f>
        <v/>
      </c>
      <c r="X41" s="529">
        <f>INPUT!H75</f>
        <v/>
      </c>
    </row>
    <row r="42" ht="15" customFormat="1" customHeight="1" s="166">
      <c r="Q42" s="191" t="inlineStr">
        <is>
          <t>Net Income</t>
        </is>
      </c>
      <c r="T42" s="529">
        <f>INPUT!D26</f>
        <v/>
      </c>
      <c r="U42" s="529">
        <f>INPUT!E26</f>
        <v/>
      </c>
      <c r="V42" s="529">
        <f>INPUT!F26</f>
        <v/>
      </c>
      <c r="W42" s="529">
        <f>INPUT!G26</f>
        <v/>
      </c>
      <c r="X42" s="529">
        <f>INPUT!H26</f>
        <v/>
      </c>
    </row>
    <row r="43" ht="15" customFormat="1" customHeight="1" s="166"/>
    <row r="44" ht="15" customFormat="1" customHeight="1" s="166"/>
    <row r="45" ht="15" customFormat="1" customHeight="1" s="166">
      <c r="AB45" s="172" t="n"/>
    </row>
    <row r="46" ht="15" customFormat="1" customHeight="1" s="166">
      <c r="AB46" s="172" t="n"/>
    </row>
    <row r="47" ht="15" customFormat="1" customHeight="1" s="166"/>
    <row r="48" ht="15" customFormat="1" customHeight="1" s="166"/>
    <row r="49" ht="15" customFormat="1" customHeight="1" s="166"/>
    <row r="50" ht="15" customFormat="1" customHeight="1" s="166"/>
    <row r="51" ht="15" customFormat="1" customHeight="1" s="166"/>
    <row r="52" ht="15" customFormat="1" customHeight="1" s="166"/>
    <row r="53" ht="15" customFormat="1" customHeight="1" s="166"/>
    <row r="54" ht="15" customFormat="1" customHeight="1" s="166"/>
    <row r="55" ht="15" customFormat="1" customHeight="1" s="166">
      <c r="Q55" s="192" t="n"/>
    </row>
    <row r="56" ht="15" customFormat="1" customHeight="1" s="166"/>
    <row r="57" ht="15" customFormat="1" customHeight="1" s="166"/>
    <row r="58" ht="15" customFormat="1" customHeight="1" s="166"/>
    <row r="59" ht="15" customFormat="1" customHeight="1" s="166"/>
    <row r="60" ht="15" customFormat="1" customHeight="1" s="166"/>
    <row r="61" ht="15" customFormat="1" customHeight="1" s="166"/>
    <row r="62" ht="15" customHeight="1"/>
    <row r="63" ht="15" customHeight="1"/>
    <row r="64" ht="15" customHeight="1"/>
    <row r="65" ht="15" customHeight="1"/>
    <row r="66" ht="15" customHeight="1"/>
    <row r="67" ht="15" customHeight="1"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O67" s="167" t="n"/>
    </row>
    <row r="68" ht="15" customHeight="1">
      <c r="B68" s="169" t="n"/>
      <c r="C68" s="202" t="n"/>
      <c r="D68" s="203" t="n"/>
      <c r="E68" s="203" t="n"/>
      <c r="F68" s="203" t="n"/>
      <c r="G68" s="203" t="n"/>
      <c r="H68" s="203" t="n"/>
      <c r="I68" s="203" t="n"/>
      <c r="J68" s="203" t="n"/>
      <c r="K68" s="169" t="n"/>
      <c r="L68" s="204" t="n"/>
      <c r="M68" s="203" t="n"/>
      <c r="N68" s="203" t="n"/>
      <c r="O68" s="203" t="n"/>
      <c r="P68" s="203" t="n"/>
      <c r="Q68" s="203" t="n"/>
      <c r="R68" s="203" t="n"/>
      <c r="S68" s="169" t="n"/>
    </row>
    <row r="69" ht="15" customHeight="1">
      <c r="B69" s="169" t="n"/>
      <c r="C69" s="201" t="n"/>
      <c r="D69" s="201" t="n"/>
      <c r="E69" s="201" t="n"/>
      <c r="F69" s="201" t="n"/>
      <c r="G69" s="201" t="n"/>
      <c r="H69" s="205" t="n"/>
      <c r="I69" s="201" t="n"/>
      <c r="J69" s="201" t="n"/>
      <c r="K69" s="169" t="n"/>
      <c r="L69" s="204" t="n"/>
      <c r="M69" s="203" t="n"/>
      <c r="O69" s="203" t="n"/>
      <c r="P69" s="203" t="n"/>
      <c r="Q69" s="203" t="n"/>
      <c r="R69" s="203" t="n"/>
      <c r="S69" s="169" t="n"/>
    </row>
    <row r="70" ht="15" customHeight="1">
      <c r="B70" s="169" t="n"/>
      <c r="C70" s="201" t="n"/>
      <c r="D70" s="201" t="n"/>
      <c r="E70" s="201" t="n"/>
      <c r="F70" s="201" t="n"/>
      <c r="G70" s="201" t="n"/>
      <c r="H70" s="532" t="n"/>
      <c r="I70" s="201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</row>
    <row r="71" ht="15" customHeight="1">
      <c r="B71" s="169" t="n"/>
      <c r="C71" s="201" t="n"/>
      <c r="D71" s="201" t="n"/>
      <c r="E71" s="201" t="n"/>
      <c r="F71" s="201" t="n"/>
      <c r="G71" s="201" t="n"/>
      <c r="H71" s="532" t="n"/>
      <c r="I71" s="201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</row>
    <row r="72" ht="15" customHeight="1">
      <c r="B72" s="166" t="n"/>
      <c r="C72" s="201" t="n"/>
      <c r="D72" s="201" t="n"/>
      <c r="E72" s="201" t="n"/>
      <c r="F72" s="201" t="n"/>
      <c r="G72" s="201" t="n"/>
      <c r="H72" s="532" t="n"/>
      <c r="I72" s="201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</row>
    <row r="73" ht="15" customHeight="1">
      <c r="B73" s="169" t="n"/>
      <c r="C73" s="201" t="n"/>
      <c r="D73" s="201" t="n"/>
      <c r="E73" s="201" t="n"/>
      <c r="F73" s="201" t="n"/>
      <c r="G73" s="201" t="n"/>
      <c r="H73" s="206" t="n"/>
      <c r="I73" s="201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</row>
    <row r="74" ht="15" customHeight="1">
      <c r="B74" s="169" t="n"/>
      <c r="C74" s="201" t="n"/>
      <c r="D74" s="201" t="n"/>
      <c r="E74" s="201" t="n"/>
      <c r="F74" s="201" t="n"/>
      <c r="G74" s="201" t="n"/>
      <c r="H74" s="201" t="n"/>
      <c r="I74" s="201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</row>
    <row r="75" ht="15" customHeight="1">
      <c r="B75" s="169" t="n"/>
      <c r="C75" s="201" t="n"/>
      <c r="D75" s="201" t="n"/>
      <c r="E75" s="201" t="n"/>
      <c r="F75" s="201" t="n"/>
      <c r="G75" s="201" t="n"/>
      <c r="H75" s="201" t="n"/>
      <c r="I75" s="207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</row>
    <row r="76" ht="15" customHeight="1">
      <c r="B76" s="169" t="n"/>
      <c r="C76" s="201" t="n"/>
      <c r="D76" s="201" t="n"/>
      <c r="E76" s="201" t="n"/>
      <c r="F76" s="201" t="n"/>
      <c r="G76" s="201" t="n"/>
      <c r="H76" s="201" t="n"/>
      <c r="I76" s="533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</row>
    <row r="77" ht="15" customHeight="1">
      <c r="B77" s="166" t="n"/>
      <c r="C77" s="201" t="n"/>
      <c r="D77" s="201" t="n"/>
      <c r="E77" s="201" t="n"/>
      <c r="F77" s="201" t="n"/>
      <c r="G77" s="201" t="n"/>
      <c r="H77" s="201" t="n"/>
      <c r="I77" s="533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</row>
    <row r="78" ht="15" customHeight="1">
      <c r="B78" s="166" t="n"/>
      <c r="C78" s="201" t="n"/>
      <c r="D78" s="201" t="n"/>
      <c r="E78" s="201" t="n"/>
      <c r="F78" s="201" t="n"/>
      <c r="G78" s="201" t="n"/>
      <c r="H78" s="201" t="n"/>
      <c r="I78" s="533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</row>
    <row r="79" ht="15" customHeight="1">
      <c r="B79" s="166" t="n"/>
      <c r="C79" s="201" t="n"/>
      <c r="D79" s="201" t="n"/>
      <c r="E79" s="201" t="n"/>
      <c r="F79" s="201" t="n"/>
      <c r="G79" s="201" t="n"/>
      <c r="H79" s="201" t="n"/>
      <c r="I79" s="533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</row>
    <row r="80" ht="15" customHeight="1">
      <c r="B80" s="166" t="n"/>
      <c r="C80" s="201" t="n"/>
      <c r="D80" s="201" t="n"/>
      <c r="E80" s="201" t="n"/>
      <c r="F80" s="201" t="n"/>
      <c r="G80" s="201" t="n"/>
      <c r="H80" s="201" t="n"/>
      <c r="I80" s="533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</row>
    <row r="81" ht="15" customHeight="1">
      <c r="B81" s="166" t="n"/>
      <c r="C81" s="201" t="n"/>
      <c r="D81" s="201" t="n"/>
      <c r="E81" s="201" t="n"/>
      <c r="F81" s="201" t="n"/>
      <c r="G81" s="533" t="n"/>
      <c r="H81" s="201" t="n"/>
      <c r="I81" s="201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</row>
    <row r="82" ht="15" customHeight="1">
      <c r="B82" s="166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166" t="n"/>
      <c r="M82" s="166" t="n"/>
      <c r="N82" s="166" t="n"/>
      <c r="O82" s="166" t="n"/>
      <c r="P82" s="166" t="n"/>
      <c r="Q82" s="166" t="n"/>
      <c r="R82" s="166" t="n"/>
      <c r="S82" s="166" t="n"/>
    </row>
    <row r="83" ht="15" customHeight="1">
      <c r="B83" s="166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166" t="n"/>
      <c r="M83" s="166" t="n"/>
      <c r="N83" s="166" t="n"/>
      <c r="O83" s="166" t="n"/>
      <c r="P83" s="166" t="n"/>
      <c r="Q83" s="166" t="n"/>
      <c r="R83" s="166" t="n"/>
      <c r="S83" s="166" t="n"/>
    </row>
    <row r="84" ht="15" customHeight="1">
      <c r="B84" s="166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166" t="n"/>
      <c r="M84" s="166" t="n"/>
      <c r="N84" s="166" t="n"/>
      <c r="O84" s="166" t="n"/>
      <c r="P84" s="166" t="n"/>
      <c r="Q84" s="166" t="n"/>
      <c r="R84" s="166" t="n"/>
      <c r="S84" s="166" t="n"/>
    </row>
    <row r="85" ht="15" customHeight="1">
      <c r="B85" s="166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166" t="n"/>
      <c r="M85" s="166" t="n"/>
      <c r="N85" s="166" t="n"/>
      <c r="O85" s="166" t="n"/>
      <c r="P85" s="166" t="n"/>
      <c r="Q85" s="166" t="n"/>
      <c r="R85" s="166" t="n"/>
      <c r="S85" s="166" t="n"/>
    </row>
    <row r="86" ht="15" customHeight="1">
      <c r="B86" s="166" t="n"/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</row>
    <row r="87" ht="15" customHeight="1">
      <c r="B87" s="166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533" t="n"/>
      <c r="R87" s="534" t="n"/>
      <c r="S87" s="166" t="n"/>
    </row>
    <row r="88" ht="15" customHeight="1">
      <c r="B88" s="166" t="n"/>
      <c r="C88" s="210" t="n"/>
      <c r="D88" s="211" t="n"/>
      <c r="E88" s="211" t="n"/>
      <c r="F88" s="212" t="n"/>
      <c r="G88" s="212" t="n"/>
      <c r="H88" s="212" t="n"/>
      <c r="I88" s="212" t="n"/>
      <c r="J88" s="212" t="n"/>
      <c r="K88" s="201" t="n"/>
      <c r="L88" s="210" t="n"/>
      <c r="M88" s="211" t="n"/>
      <c r="N88" s="211" t="n"/>
      <c r="O88" s="212" t="n"/>
      <c r="P88" s="212" t="n"/>
      <c r="Q88" s="212" t="n"/>
      <c r="R88" s="212" t="n"/>
      <c r="S88" s="166" t="n"/>
    </row>
    <row r="89" ht="15" customHeight="1">
      <c r="A89" s="213" t="n"/>
      <c r="B89" s="213" t="n"/>
      <c r="C89" s="214" t="n"/>
      <c r="D89" s="214" t="n"/>
      <c r="E89" s="214" t="n"/>
      <c r="F89" s="214" t="n"/>
      <c r="G89" s="214" t="n"/>
      <c r="H89" s="214" t="n"/>
      <c r="I89" s="214" t="n"/>
      <c r="J89" s="214" t="n"/>
      <c r="K89" s="213" t="n"/>
      <c r="L89" s="214" t="n"/>
      <c r="M89" s="214" t="n"/>
      <c r="N89" s="214" t="n"/>
      <c r="O89" s="214" t="n"/>
      <c r="P89" s="214" t="n"/>
      <c r="Q89" s="214" t="n"/>
      <c r="R89" s="214" t="n"/>
      <c r="S89" s="213" t="n"/>
      <c r="T89" s="213" t="n"/>
      <c r="U89" s="213" t="n"/>
      <c r="V89" s="213" t="n"/>
      <c r="W89" s="213" t="n"/>
      <c r="X89" s="213" t="n"/>
      <c r="Y89" s="213" t="n"/>
      <c r="Z89" s="213" t="n"/>
      <c r="AA89" s="213" t="n"/>
      <c r="AB89" s="213" t="n"/>
      <c r="AC89" s="213" t="n"/>
    </row>
    <row r="90" ht="15" customHeight="1">
      <c r="A90" s="213" t="n"/>
      <c r="B90" s="213" t="n"/>
      <c r="C90" s="213" t="n"/>
      <c r="D90" s="213" t="n"/>
      <c r="E90" s="213" t="n"/>
      <c r="F90" s="213" t="n"/>
      <c r="G90" s="213" t="n"/>
      <c r="H90" s="213" t="n"/>
      <c r="I90" s="213" t="n"/>
      <c r="J90" s="213" t="n"/>
      <c r="K90" s="213" t="n"/>
      <c r="L90" s="214" t="n"/>
      <c r="M90" s="214" t="n"/>
      <c r="N90" s="214" t="n"/>
      <c r="O90" s="214" t="n"/>
      <c r="P90" s="214" t="n"/>
      <c r="Q90" s="535" t="n"/>
      <c r="R90" s="213" t="n"/>
      <c r="S90" s="213" t="n"/>
      <c r="T90" s="213" t="n"/>
      <c r="U90" s="213" t="n"/>
      <c r="V90" s="213" t="n"/>
      <c r="W90" s="213" t="n"/>
      <c r="X90" s="213" t="n"/>
      <c r="Y90" s="213" t="n"/>
      <c r="Z90" s="213" t="n"/>
      <c r="AA90" s="213" t="n"/>
      <c r="AB90" s="213" t="n"/>
      <c r="AC90" s="213" t="n"/>
    </row>
    <row r="91" ht="15" customHeight="1">
      <c r="A91" s="213" t="n"/>
      <c r="B91" s="213" t="n"/>
      <c r="C91" s="213" t="n"/>
      <c r="D91" s="213" t="n"/>
      <c r="E91" s="213" t="n"/>
      <c r="F91" s="213" t="n"/>
      <c r="G91" s="213" t="n"/>
      <c r="H91" s="213" t="n"/>
      <c r="I91" s="213" t="n"/>
      <c r="J91" s="213" t="n"/>
      <c r="K91" s="213" t="n"/>
      <c r="L91" s="214" t="n"/>
      <c r="M91" s="214" t="n"/>
      <c r="N91" s="214" t="n"/>
      <c r="O91" s="214" t="n"/>
      <c r="P91" s="214" t="n"/>
      <c r="Q91" s="535" t="n"/>
      <c r="R91" s="213" t="n"/>
      <c r="S91" s="213" t="n"/>
      <c r="T91" s="213" t="n"/>
      <c r="U91" s="213" t="n"/>
      <c r="V91" s="213" t="n"/>
      <c r="W91" s="213" t="n"/>
      <c r="X91" s="213" t="n"/>
      <c r="Y91" s="213" t="n"/>
      <c r="Z91" s="213" t="n"/>
      <c r="AA91" s="213" t="n"/>
      <c r="AB91" s="213" t="n"/>
      <c r="AC91" s="213" t="n"/>
    </row>
    <row r="92" ht="15" customHeight="1">
      <c r="A92" s="213" t="n"/>
      <c r="B92" s="213" t="n"/>
      <c r="C92" s="213" t="n"/>
      <c r="D92" s="213" t="n"/>
      <c r="E92" s="213" t="n"/>
      <c r="F92" s="213" t="n"/>
      <c r="G92" s="213" t="n"/>
      <c r="H92" s="213" t="n"/>
      <c r="I92" s="213" t="n"/>
      <c r="J92" s="213" t="n"/>
      <c r="K92" s="213" t="n"/>
      <c r="L92" s="214" t="n"/>
      <c r="M92" s="214" t="n"/>
      <c r="N92" s="214" t="n"/>
      <c r="O92" s="214" t="n"/>
      <c r="P92" s="214" t="n"/>
      <c r="Q92" s="535" t="n"/>
      <c r="R92" s="213" t="n"/>
      <c r="S92" s="213" t="n"/>
      <c r="T92" s="213" t="n"/>
      <c r="U92" s="213" t="n"/>
      <c r="V92" s="213" t="n"/>
      <c r="W92" s="213" t="n"/>
      <c r="X92" s="213" t="n"/>
      <c r="Y92" s="213" t="n"/>
      <c r="Z92" s="213" t="n"/>
      <c r="AA92" s="213" t="n"/>
      <c r="AB92" s="213" t="n"/>
      <c r="AC92" s="213" t="n"/>
    </row>
    <row r="93" ht="15" customHeight="1">
      <c r="A93" s="213" t="n"/>
      <c r="B93" s="213" t="n"/>
      <c r="C93" s="213" t="n"/>
      <c r="D93" s="213" t="n"/>
      <c r="E93" s="213" t="n"/>
      <c r="F93" s="213" t="n"/>
      <c r="G93" s="213" t="n"/>
      <c r="H93" s="213" t="n"/>
      <c r="I93" s="213" t="n"/>
      <c r="J93" s="213" t="n"/>
      <c r="K93" s="213" t="n"/>
      <c r="L93" s="214" t="n"/>
      <c r="M93" s="214" t="n"/>
      <c r="N93" s="214" t="n"/>
      <c r="O93" s="214" t="n"/>
      <c r="P93" s="214" t="n"/>
      <c r="Q93" s="535" t="n"/>
      <c r="R93" s="213" t="n"/>
      <c r="S93" s="213" t="n"/>
      <c r="T93" s="213" t="n"/>
      <c r="U93" s="213" t="n"/>
      <c r="V93" s="213" t="n"/>
      <c r="W93" s="213" t="n"/>
      <c r="X93" s="213" t="n"/>
      <c r="Y93" s="213" t="n"/>
      <c r="Z93" s="213" t="n"/>
      <c r="AA93" s="213" t="n"/>
      <c r="AB93" s="213" t="n"/>
      <c r="AC93" s="213" t="n"/>
    </row>
    <row r="94" ht="15" customHeight="1">
      <c r="A94" s="213" t="n"/>
      <c r="B94" s="213" t="n"/>
      <c r="C94" s="213" t="n"/>
      <c r="D94" s="213" t="n"/>
      <c r="E94" s="213" t="n"/>
      <c r="F94" s="213" t="n"/>
      <c r="G94" s="213" t="n"/>
      <c r="H94" s="213" t="n"/>
      <c r="I94" s="213" t="n"/>
      <c r="J94" s="213" t="n"/>
      <c r="K94" s="213" t="n"/>
      <c r="L94" s="213" t="n"/>
      <c r="M94" s="213" t="n"/>
      <c r="N94" s="213" t="n"/>
      <c r="O94" s="213" t="n"/>
      <c r="P94" s="213" t="n"/>
      <c r="Q94" s="213" t="n"/>
      <c r="R94" s="213" t="n"/>
      <c r="S94" s="213" t="n"/>
      <c r="T94" s="213" t="n"/>
      <c r="U94" s="213" t="n"/>
      <c r="V94" s="213" t="n"/>
      <c r="W94" s="213" t="n"/>
      <c r="X94" s="213" t="n"/>
      <c r="Y94" s="213" t="n"/>
      <c r="Z94" s="213" t="n"/>
      <c r="AA94" s="213" t="n"/>
      <c r="AB94" s="213" t="n"/>
      <c r="AC94" s="213" t="n"/>
    </row>
    <row r="95" ht="15" customHeight="1">
      <c r="A95" s="213" t="n"/>
      <c r="B95" s="213" t="n"/>
      <c r="C95" s="213" t="n"/>
      <c r="D95" s="213" t="n"/>
      <c r="E95" s="213" t="n"/>
      <c r="F95" s="213" t="n"/>
      <c r="G95" s="213" t="n"/>
      <c r="H95" s="213" t="n"/>
      <c r="I95" s="213" t="n"/>
      <c r="J95" s="213" t="n"/>
      <c r="K95" s="213" t="n"/>
      <c r="L95" s="213" t="n"/>
      <c r="M95" s="213" t="n"/>
      <c r="N95" s="213" t="n"/>
      <c r="O95" s="213" t="n"/>
      <c r="P95" s="213" t="n"/>
      <c r="Q95" s="213" t="n"/>
      <c r="R95" s="213" t="n"/>
      <c r="S95" s="213" t="n"/>
      <c r="T95" s="213" t="n"/>
      <c r="U95" s="213" t="n"/>
      <c r="V95" s="213" t="inlineStr">
        <is>
          <t>Low</t>
        </is>
      </c>
      <c r="W95" s="213" t="inlineStr">
        <is>
          <t>Delta</t>
        </is>
      </c>
      <c r="X95" s="213" t="inlineStr">
        <is>
          <t>High</t>
        </is>
      </c>
      <c r="Y95" s="213" t="n"/>
      <c r="Z95" s="213" t="n"/>
      <c r="AA95" s="213" t="n"/>
      <c r="AB95" s="213" t="n"/>
      <c r="AC95" s="213" t="n"/>
    </row>
    <row r="96" ht="15" customHeight="1">
      <c r="A96" s="213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inlineStr">
        <is>
          <t>52-Week Trading Range</t>
        </is>
      </c>
      <c r="T96" s="213" t="n"/>
      <c r="U96" s="213" t="n"/>
      <c r="V96" s="404">
        <f>T17</f>
        <v/>
      </c>
      <c r="W96" s="404">
        <f>U17</f>
        <v/>
      </c>
      <c r="X96" s="404">
        <f>V17</f>
        <v/>
      </c>
      <c r="Y96" s="213" t="n"/>
      <c r="Z96" s="213" t="n"/>
      <c r="AA96" s="213" t="n"/>
      <c r="AB96" s="213" t="n"/>
      <c r="AC96" s="213" t="n"/>
    </row>
    <row r="97" ht="15" customHeight="1">
      <c r="A97" s="213" t="n"/>
      <c r="B97" s="213" t="n"/>
      <c r="C97" s="213" t="n"/>
      <c r="D97" s="213" t="n"/>
      <c r="E97" s="213" t="n"/>
      <c r="F97" s="213" t="n"/>
      <c r="G97" s="213" t="n"/>
      <c r="H97" s="213" t="n"/>
      <c r="I97" s="213" t="n"/>
      <c r="J97" s="213" t="n"/>
      <c r="K97" s="213" t="n"/>
      <c r="L97" s="213" t="n"/>
      <c r="M97" s="213" t="n"/>
      <c r="N97" s="213" t="n"/>
      <c r="O97" s="213" t="n"/>
      <c r="P97" s="213" t="n"/>
      <c r="Q97" s="213" t="n"/>
      <c r="R97" s="213" t="n"/>
      <c r="S97" s="213" t="inlineStr">
        <is>
          <t>Consensus Research</t>
        </is>
      </c>
      <c r="T97" s="213" t="n"/>
      <c r="U97" s="213" t="n"/>
      <c r="V97" s="404">
        <f>T18</f>
        <v/>
      </c>
      <c r="W97" s="404">
        <f>U18</f>
        <v/>
      </c>
      <c r="X97" s="404">
        <f>V18</f>
        <v/>
      </c>
      <c r="Y97" s="213" t="n"/>
      <c r="Z97" s="213" t="n"/>
      <c r="AA97" s="213" t="n"/>
      <c r="AB97" s="213" t="n"/>
      <c r="AC97" s="213" t="n"/>
    </row>
    <row r="98" ht="15" customHeight="1">
      <c r="A98" s="213" t="n"/>
      <c r="B98" s="213" t="n"/>
      <c r="C98" s="213" t="n"/>
      <c r="D98" s="213" t="n"/>
      <c r="E98" s="213" t="n"/>
      <c r="F98" s="213" t="n"/>
      <c r="G98" s="213" t="n"/>
      <c r="H98" s="213" t="n"/>
      <c r="I98" s="213" t="n"/>
      <c r="J98" s="213" t="n"/>
      <c r="K98" s="213" t="n"/>
      <c r="L98" s="213" t="n"/>
      <c r="M98" s="213" t="n"/>
      <c r="N98" s="213" t="n"/>
      <c r="O98" s="213" t="n"/>
      <c r="P98" s="213" t="n"/>
      <c r="Q98" s="213" t="n"/>
      <c r="R98" s="213" t="n"/>
      <c r="S98" s="213" t="inlineStr">
        <is>
          <t>Precedent Trans.</t>
        </is>
      </c>
      <c r="T98" s="213" t="n"/>
      <c r="U98" s="213" t="n"/>
      <c r="V98" s="404">
        <f>T19</f>
        <v/>
      </c>
      <c r="W98" s="404">
        <f>U19</f>
        <v/>
      </c>
      <c r="X98" s="404">
        <f>V19</f>
        <v/>
      </c>
      <c r="Y98" s="213" t="n"/>
      <c r="Z98" s="213" t="n"/>
      <c r="AA98" s="213" t="n"/>
      <c r="AB98" s="213" t="n"/>
      <c r="AC98" s="213" t="n"/>
    </row>
    <row r="99" ht="15" customHeight="1">
      <c r="A99" s="213" t="n"/>
      <c r="B99" s="213" t="n"/>
      <c r="C99" s="213" t="n"/>
      <c r="D99" s="213" t="n"/>
      <c r="E99" s="213" t="n"/>
      <c r="F99" s="213" t="n"/>
      <c r="G99" s="213" t="n"/>
      <c r="H99" s="213" t="n"/>
      <c r="I99" s="213" t="n"/>
      <c r="J99" s="213" t="n"/>
      <c r="K99" s="213" t="n"/>
      <c r="L99" s="213" t="n"/>
      <c r="M99" s="213" t="n"/>
      <c r="N99" s="213" t="n"/>
      <c r="O99" s="213" t="n"/>
      <c r="P99" s="213" t="n"/>
      <c r="Q99" s="213" t="n"/>
      <c r="R99" s="213" t="n"/>
      <c r="S99" s="213" t="inlineStr">
        <is>
          <t>Sum-of-the-Parts</t>
        </is>
      </c>
      <c r="T99" s="213" t="n"/>
      <c r="U99" s="213" t="n"/>
      <c r="V99" s="404">
        <f>T20</f>
        <v/>
      </c>
      <c r="W99" s="404">
        <f>U20</f>
        <v/>
      </c>
      <c r="X99" s="404">
        <f>V20</f>
        <v/>
      </c>
      <c r="Y99" s="213" t="n"/>
      <c r="Z99" s="213" t="n"/>
      <c r="AA99" s="213" t="n"/>
      <c r="AB99" s="213" t="n"/>
      <c r="AC99" s="213" t="n"/>
    </row>
    <row r="100" ht="15" customHeight="1">
      <c r="A100" s="213" t="n"/>
      <c r="B100" s="213" t="n"/>
      <c r="C100" s="213" t="n"/>
      <c r="D100" s="213" t="n"/>
      <c r="E100" s="213" t="n"/>
      <c r="F100" s="213" t="n"/>
      <c r="G100" s="213" t="n"/>
      <c r="H100" s="213" t="n"/>
      <c r="I100" s="213" t="n"/>
      <c r="J100" s="213" t="n"/>
      <c r="K100" s="213" t="n"/>
      <c r="L100" s="213" t="n"/>
      <c r="M100" s="213" t="n"/>
      <c r="N100" s="213" t="n"/>
      <c r="O100" s="213" t="n"/>
      <c r="P100" s="213" t="n"/>
      <c r="Q100" s="213" t="n"/>
      <c r="R100" s="213" t="n"/>
      <c r="S100" s="213" t="inlineStr">
        <is>
          <t>Discounted Cash Flow</t>
        </is>
      </c>
      <c r="T100" s="213" t="n"/>
      <c r="U100" s="213" t="n"/>
      <c r="V100" s="404">
        <f>T21</f>
        <v/>
      </c>
      <c r="W100" s="404">
        <f>U21</f>
        <v/>
      </c>
      <c r="X100" s="404">
        <f>V21</f>
        <v/>
      </c>
      <c r="Y100" s="213" t="n"/>
      <c r="Z100" s="213" t="n"/>
      <c r="AA100" s="213" t="n"/>
      <c r="AB100" s="213" t="n"/>
      <c r="AC100" s="213" t="n"/>
    </row>
    <row r="101" ht="15" customHeight="1">
      <c r="A101" s="213" t="n"/>
      <c r="B101" s="213" t="n"/>
      <c r="C101" s="213" t="n"/>
      <c r="D101" s="213" t="n"/>
      <c r="E101" s="213" t="n"/>
      <c r="F101" s="213" t="n"/>
      <c r="G101" s="213" t="n"/>
      <c r="H101" s="213" t="n"/>
      <c r="I101" s="213" t="n"/>
      <c r="J101" s="213" t="n"/>
      <c r="K101" s="213" t="n"/>
      <c r="L101" s="213" t="n"/>
      <c r="M101" s="213" t="n"/>
      <c r="N101" s="213" t="n"/>
      <c r="O101" s="213" t="n"/>
      <c r="P101" s="213" t="n"/>
      <c r="Q101" s="213" t="n"/>
      <c r="R101" s="213" t="n"/>
      <c r="S101" s="213" t="n"/>
      <c r="T101" s="213" t="n"/>
      <c r="U101" s="213" t="n"/>
      <c r="V101" s="213" t="n"/>
      <c r="W101" s="213" t="n"/>
      <c r="X101" s="213" t="n"/>
      <c r="Y101" s="213" t="n"/>
      <c r="Z101" s="213" t="n"/>
      <c r="AA101" s="213" t="n"/>
      <c r="AB101" s="213" t="n"/>
      <c r="AC101" s="213" t="n"/>
    </row>
    <row r="102" ht="15" customHeight="1">
      <c r="A102" s="213" t="n"/>
      <c r="B102" s="213" t="n"/>
      <c r="C102" s="213" t="n"/>
      <c r="D102" s="213" t="n"/>
      <c r="E102" s="213" t="n"/>
      <c r="F102" s="213" t="n"/>
      <c r="G102" s="213" t="n"/>
      <c r="H102" s="213" t="n"/>
      <c r="I102" s="213" t="n"/>
      <c r="J102" s="213" t="n"/>
      <c r="K102" s="213" t="n"/>
      <c r="L102" s="213" t="n"/>
      <c r="M102" s="213" t="n"/>
      <c r="N102" s="213" t="n"/>
      <c r="O102" s="213" t="n"/>
      <c r="P102" s="213" t="n"/>
      <c r="Q102" s="213" t="n"/>
      <c r="R102" s="213" t="n"/>
      <c r="S102" s="213" t="n"/>
      <c r="T102" s="213" t="n"/>
      <c r="U102" s="213" t="n"/>
      <c r="V102" s="213" t="n"/>
      <c r="W102" s="213" t="n"/>
      <c r="X102" s="213" t="n"/>
      <c r="Y102" s="213" t="n"/>
      <c r="Z102" s="213" t="n"/>
      <c r="AA102" s="213" t="n"/>
      <c r="AB102" s="213" t="n"/>
      <c r="AC102" s="213" t="n"/>
    </row>
    <row r="103" ht="15" customHeight="1">
      <c r="A103" s="213" t="n"/>
      <c r="B103" s="213" t="inlineStr">
        <is>
          <t>Year</t>
        </is>
      </c>
      <c r="C103" s="404">
        <f>IF(INPUT!D9="",NA(),'DASHBOARD 2'!T28)</f>
        <v/>
      </c>
      <c r="D103" s="404">
        <f>IF(INPUT!E9="",NA(),'DASHBOARD 2'!U28)</f>
        <v/>
      </c>
      <c r="E103" s="404">
        <f>IF(INPUT!F9="",NA(),'DASHBOARD 2'!V28)</f>
        <v/>
      </c>
      <c r="F103" s="404">
        <f>IF(INPUT!G9="",NA(),'DASHBOARD 2'!W28)</f>
        <v/>
      </c>
      <c r="G103" s="404">
        <f>IF(INPUT!H9="",NA(),'DASHBOARD 2'!X28)</f>
        <v/>
      </c>
      <c r="H103" s="213" t="n"/>
      <c r="I103" s="213" t="inlineStr">
        <is>
          <t>Year</t>
        </is>
      </c>
      <c r="J103" s="404">
        <f>IF(INPUT!D9="",NA(),'DASHBOARD 2'!T28)</f>
        <v/>
      </c>
      <c r="K103" s="404">
        <f>IF(INPUT!E9="",NA(),'DASHBOARD 2'!U28)</f>
        <v/>
      </c>
      <c r="L103" s="404">
        <f>IF(INPUT!F9="",NA(),'DASHBOARD 2'!V28)</f>
        <v/>
      </c>
      <c r="M103" s="404">
        <f>IF(INPUT!G9="",NA(),'DASHBOARD 2'!W28)</f>
        <v/>
      </c>
      <c r="N103" s="404">
        <f>IF(INPUT!H9="",NA(),'DASHBOARD 2'!X28)</f>
        <v/>
      </c>
      <c r="O103" s="213" t="n"/>
      <c r="P103" s="404">
        <f>J103</f>
        <v/>
      </c>
      <c r="Q103" s="404">
        <f>K103</f>
        <v/>
      </c>
      <c r="R103" s="404">
        <f>L103</f>
        <v/>
      </c>
      <c r="S103" s="404">
        <f>M103</f>
        <v/>
      </c>
      <c r="T103" s="404">
        <f>N103</f>
        <v/>
      </c>
      <c r="U103" s="213" t="n"/>
      <c r="V103" s="213" t="n"/>
      <c r="W103" s="213" t="n"/>
      <c r="X103" s="213" t="n"/>
      <c r="Y103" s="213" t="n"/>
      <c r="Z103" s="213" t="n"/>
      <c r="AA103" s="213" t="n"/>
      <c r="AB103" s="213" t="n"/>
      <c r="AC103" s="213" t="n"/>
    </row>
    <row r="104" ht="15" customHeight="1">
      <c r="A104" s="213" t="n"/>
      <c r="B104" s="213" t="inlineStr">
        <is>
          <t>Revenue Growth (%)</t>
        </is>
      </c>
      <c r="C104" s="404">
        <f>NA()</f>
        <v/>
      </c>
      <c r="D104" s="404">
        <f>IF(INPUT!E9="",NA(),'DASHBOARD 2'!U30)</f>
        <v/>
      </c>
      <c r="E104" s="404">
        <f>IF(INPUT!F9="",NA(),'DASHBOARD 2'!V30)</f>
        <v/>
      </c>
      <c r="F104" s="404">
        <f>IF(INPUT!G9="",NA(),'DASHBOARD 2'!W30)</f>
        <v/>
      </c>
      <c r="G104" s="404">
        <f>IF(INPUT!H9="",NA(),'DASHBOARD 2'!X30)</f>
        <v/>
      </c>
      <c r="H104" s="213" t="n"/>
      <c r="I104" s="213" t="inlineStr">
        <is>
          <t>EBITDA ($000)</t>
        </is>
      </c>
      <c r="J104" s="404">
        <f>IF(INPUT!D9="",NA(),INPUT!D30)</f>
        <v/>
      </c>
      <c r="K104" s="404">
        <f>IF(INPUT!E9="",NA(),INPUT!E30)</f>
        <v/>
      </c>
      <c r="L104" s="404">
        <f>IF(INPUT!F9="",NA(),INPUT!F30)</f>
        <v/>
      </c>
      <c r="M104" s="404">
        <f>IF(INPUT!G9="",NA(),INPUT!G30)</f>
        <v/>
      </c>
      <c r="N104" s="404">
        <f>IF(INPUT!H9="",NA(),INPUT!H30)</f>
        <v/>
      </c>
      <c r="O104" s="213" t="n"/>
      <c r="P104" s="404">
        <f>IF(INPUT!D9="",NA(),INPUT!D30/1000)</f>
        <v/>
      </c>
      <c r="Q104" s="404">
        <f>IF(INPUT!E9="",NA(),INPUT!E30/1000)</f>
        <v/>
      </c>
      <c r="R104" s="404">
        <f>IF(INPUT!F9="",NA(),INPUT!F30/1000)</f>
        <v/>
      </c>
      <c r="S104" s="404">
        <f>IF(INPUT!G9="",NA(),INPUT!G30/1000)</f>
        <v/>
      </c>
      <c r="T104" s="404">
        <f>IF(INPUT!H9="",NA(),INPUT!H30/1000)</f>
        <v/>
      </c>
      <c r="U104" s="213" t="n"/>
      <c r="V104" s="213" t="n"/>
      <c r="W104" s="213" t="n"/>
      <c r="X104" s="213" t="n"/>
      <c r="Y104" s="213" t="n"/>
      <c r="Z104" s="213" t="n"/>
      <c r="AA104" s="213" t="n"/>
      <c r="AB104" s="213" t="n"/>
      <c r="AC104" s="213" t="n"/>
    </row>
    <row r="105" ht="15" customHeight="1">
      <c r="A105" s="213" t="n"/>
      <c r="B105" s="213" t="inlineStr">
        <is>
          <t>Total Revenue ($000)</t>
        </is>
      </c>
      <c r="C105" s="405">
        <f>IF(INPUT!D9="",NA(),INPUT!D9)</f>
        <v/>
      </c>
      <c r="D105" s="405">
        <f>IF(INPUT!E9="",NA(),INPUT!E9)</f>
        <v/>
      </c>
      <c r="E105" s="405">
        <f>IF(INPUT!F9="",NA(),INPUT!F9)</f>
        <v/>
      </c>
      <c r="F105" s="405">
        <f>IF(INPUT!G9="",NA(),INPUT!G9)</f>
        <v/>
      </c>
      <c r="G105" s="405">
        <f>IF(INPUT!H9="",NA(),INPUT!H9)</f>
        <v/>
      </c>
      <c r="H105" s="214" t="n"/>
      <c r="I105" s="213" t="inlineStr">
        <is>
          <t>CFO ($000)</t>
        </is>
      </c>
      <c r="J105" s="404">
        <f>IF(INPUT!D9="",NA(),INPUT!D75)</f>
        <v/>
      </c>
      <c r="K105" s="404">
        <f>IF(INPUT!E9="",NA(),INPUT!E75)</f>
        <v/>
      </c>
      <c r="L105" s="404">
        <f>IF(INPUT!F9="",NA(),INPUT!F75)</f>
        <v/>
      </c>
      <c r="M105" s="404">
        <f>IF(INPUT!G9="",NA(),INPUT!G75)</f>
        <v/>
      </c>
      <c r="N105" s="404">
        <f>IF(INPUT!H9="",NA(),INPUT!H75)</f>
        <v/>
      </c>
      <c r="O105" s="213" t="n"/>
      <c r="P105" s="404">
        <f>IF(INPUT!D9="",NA(),INPUT!D75/1000)</f>
        <v/>
      </c>
      <c r="Q105" s="404">
        <f>IF(INPUT!E9="",NA(),INPUT!E75/1000)</f>
        <v/>
      </c>
      <c r="R105" s="404">
        <f>IF(INPUT!F9="",NA(),INPUT!F75/1000)</f>
        <v/>
      </c>
      <c r="S105" s="404">
        <f>IF(INPUT!G9="",NA(),INPUT!G75/1000)</f>
        <v/>
      </c>
      <c r="T105" s="404">
        <f>IF(INPUT!H9="",NA(),INPUT!H75/1000)</f>
        <v/>
      </c>
      <c r="U105" s="213" t="n"/>
      <c r="V105" s="213" t="n"/>
      <c r="W105" s="213" t="n"/>
      <c r="X105" s="213" t="n"/>
      <c r="Y105" s="213" t="n"/>
      <c r="Z105" s="213" t="n"/>
      <c r="AA105" s="213" t="n"/>
      <c r="AB105" s="213" t="n"/>
      <c r="AC105" s="213" t="n"/>
    </row>
    <row r="106" ht="15" customHeight="1">
      <c r="A106" s="213" t="inlineStr">
        <is>
          <t>Revenue</t>
        </is>
      </c>
      <c r="B106" s="213" t="n"/>
      <c r="C106" s="213" t="n"/>
      <c r="D106" s="213" t="n"/>
      <c r="E106" s="213" t="n"/>
      <c r="F106" s="213" t="n"/>
      <c r="G106" s="213" t="n"/>
      <c r="H106" s="213" t="n"/>
      <c r="I106" s="213" t="inlineStr">
        <is>
          <t>Net Income ($000)</t>
        </is>
      </c>
      <c r="J106" s="404">
        <f>IF(INPUT!D9="",NA(),INPUT!D26)</f>
        <v/>
      </c>
      <c r="K106" s="404">
        <f>IF(INPUT!E9="",NA(),INPUT!E26)</f>
        <v/>
      </c>
      <c r="L106" s="404">
        <f>IF(INPUT!F9="",NA(),INPUT!F26)</f>
        <v/>
      </c>
      <c r="M106" s="404">
        <f>IF(INPUT!G9="",NA(),INPUT!G26)</f>
        <v/>
      </c>
      <c r="N106" s="404">
        <f>IF(INPUT!H9="",NA(),INPUT!H26)</f>
        <v/>
      </c>
      <c r="O106" s="213" t="n"/>
      <c r="P106" s="404">
        <f>IF(INPUT!D9="",NA(),INPUT!D26/1000)</f>
        <v/>
      </c>
      <c r="Q106" s="404">
        <f>IF(INPUT!E9="",NA(),INPUT!E26/1000)</f>
        <v/>
      </c>
      <c r="R106" s="404">
        <f>IF(INPUT!F9="",NA(),INPUT!F26/1000)</f>
        <v/>
      </c>
      <c r="S106" s="404">
        <f>IF(INPUT!G9="",NA(),INPUT!G26/1000)</f>
        <v/>
      </c>
      <c r="T106" s="404">
        <f>IF(INPUT!H9="",NA(),INPUT!H26/1000)</f>
        <v/>
      </c>
      <c r="U106" s="213" t="n"/>
      <c r="V106" s="213" t="n"/>
      <c r="W106" s="213" t="n"/>
      <c r="X106" s="213" t="n"/>
      <c r="Y106" s="213" t="n"/>
      <c r="Z106" s="213" t="n"/>
      <c r="AA106" s="213" t="n"/>
      <c r="AB106" s="213" t="n"/>
      <c r="AC106" s="213" t="n"/>
    </row>
    <row r="107" ht="15" customHeight="1">
      <c r="B107" s="166" t="n"/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</row>
  </sheetData>
  <conditionalFormatting sqref="T1:T200">
    <cfRule type="expression" priority="1" dxfId="0">
      <formula>INPUT!$F$128&lt;5</formula>
    </cfRule>
  </conditionalFormatting>
  <conditionalFormatting sqref="U1:U200">
    <cfRule type="expression" priority="2" dxfId="0">
      <formula>INPUT!$F$128&lt;4</formula>
    </cfRule>
  </conditionalFormatting>
  <conditionalFormatting sqref="V1:V200">
    <cfRule type="expression" priority="3" dxfId="0">
      <formula>INPUT!$F$128&lt;3</formula>
    </cfRule>
  </conditionalFormatting>
  <conditionalFormatting sqref="W1:W200">
    <cfRule type="expression" priority="4" dxfId="0">
      <formula>INPUT!$F$128&lt;2</formula>
    </cfRule>
  </conditionalFormatting>
  <conditionalFormatting sqref="X1:X200">
    <cfRule type="expression" priority="5" dxfId="0">
      <formula>INPUT!$F$128&lt;1</formula>
    </cfRule>
  </conditionalFormatting>
  <pageMargins left="0.005555555555555556" right="0.005555555555555556" top="0.005555555555555556" bottom="0.005555555555555556" header="0.3" footer="0.3"/>
  <pageSetup orientation="landscape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min="1" max="1"/>
    <col width="6.6640625" bestFit="1" customWidth="1" min="2" max="2"/>
    <col width="14.109375" bestFit="1" customWidth="1" min="3" max="3"/>
    <col width="12.6640625" bestFit="1" customWidth="1" min="4" max="4"/>
  </cols>
  <sheetData>
    <row r="1">
      <c r="A1" s="198" t="inlineStr">
        <is>
          <t>STOCK_DATA — ACME Technologies Inc. (Trailing 52 Weeks)</t>
        </is>
      </c>
      <c r="B1" s="198" t="n"/>
      <c r="C1" s="198" t="n"/>
    </row>
    <row r="2">
      <c r="A2" s="199" t="inlineStr">
        <is>
          <t>#</t>
        </is>
      </c>
      <c r="B2" s="199" t="inlineStr">
        <is>
          <t>Month</t>
        </is>
      </c>
      <c r="C2" s="199" t="inlineStr">
        <is>
          <t>Close Price ($)</t>
        </is>
      </c>
    </row>
    <row r="3">
      <c r="A3" s="286" t="n">
        <v>1</v>
      </c>
      <c r="B3" t="inlineStr">
        <is>
          <t>Apr-25</t>
        </is>
      </c>
      <c r="C3" s="536" t="n">
        <v>253.01</v>
      </c>
    </row>
    <row r="4">
      <c r="A4" s="286" t="n">
        <v>2</v>
      </c>
      <c r="B4" t="inlineStr">
        <is>
          <t>May-25</t>
        </is>
      </c>
      <c r="C4" s="536" t="n">
        <v>263.52</v>
      </c>
    </row>
    <row r="5">
      <c r="A5" s="286" t="n">
        <v>3</v>
      </c>
      <c r="B5" t="inlineStr">
        <is>
          <t>Jun-25</t>
        </is>
      </c>
      <c r="C5" s="536" t="n">
        <v>258.15</v>
      </c>
    </row>
    <row r="6">
      <c r="A6" s="286" t="n">
        <v>4</v>
      </c>
      <c r="B6" t="inlineStr">
        <is>
          <t>Jul-25</t>
        </is>
      </c>
      <c r="C6" s="536" t="n">
        <v>250.8</v>
      </c>
    </row>
    <row r="7">
      <c r="A7" s="286" t="n">
        <v>5</v>
      </c>
      <c r="B7" t="inlineStr">
        <is>
          <t>Aug-25</t>
        </is>
      </c>
      <c r="C7" s="536" t="n">
        <v>231.7</v>
      </c>
    </row>
    <row r="8">
      <c r="A8" s="286" t="n">
        <v>6</v>
      </c>
      <c r="B8" t="inlineStr">
        <is>
          <t>Sep-25</t>
        </is>
      </c>
      <c r="C8" s="536" t="n">
        <v>225.55</v>
      </c>
    </row>
    <row r="9">
      <c r="A9" s="286" t="n">
        <v>7</v>
      </c>
      <c r="B9" t="inlineStr">
        <is>
          <t>Oct-25</t>
        </is>
      </c>
      <c r="C9" s="536" t="n">
        <v>224.45</v>
      </c>
    </row>
    <row r="10">
      <c r="A10" s="286" t="n">
        <v>8</v>
      </c>
      <c r="B10" t="inlineStr">
        <is>
          <t>Nov-25</t>
        </is>
      </c>
      <c r="C10" s="536" t="n">
        <v>208.55</v>
      </c>
    </row>
    <row r="11">
      <c r="A11" s="286" t="n">
        <v>9</v>
      </c>
      <c r="B11" t="inlineStr">
        <is>
          <t>Dec-25</t>
        </is>
      </c>
      <c r="C11" s="536" t="n">
        <v>208.35</v>
      </c>
    </row>
    <row r="12">
      <c r="A12" s="286" t="n">
        <v>10</v>
      </c>
      <c r="B12" t="inlineStr">
        <is>
          <t>Jan-26</t>
        </is>
      </c>
      <c r="C12" s="536" t="n">
        <v>170.56</v>
      </c>
    </row>
    <row r="13">
      <c r="A13" s="286" t="n">
        <v>11</v>
      </c>
      <c r="B13" t="inlineStr">
        <is>
          <t>Feb-26</t>
        </is>
      </c>
      <c r="C13" s="536" t="n">
        <v>170.96</v>
      </c>
    </row>
    <row r="14">
      <c r="A14" s="286" t="n">
        <v>12</v>
      </c>
      <c r="B14" t="inlineStr">
        <is>
          <t>Mar-26</t>
        </is>
      </c>
      <c r="C14" s="536" t="n">
        <v>144.64</v>
      </c>
    </row>
    <row r="15">
      <c r="A15" s="286" t="n">
        <v>13</v>
      </c>
      <c r="C15" s="536" t="n"/>
    </row>
    <row r="17">
      <c r="A17" s="200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4.4"/>
  <cols>
    <col width="23.109375" bestFit="1" customWidth="1" min="1" max="1"/>
    <col width="28.109375" bestFit="1" customWidth="1" min="2" max="2"/>
    <col width="11" bestFit="1" customWidth="1" min="3" max="3"/>
    <col width="8.44140625" bestFit="1" customWidth="1" min="4" max="4"/>
    <col width="10" bestFit="1" customWidth="1" min="5" max="5"/>
  </cols>
  <sheetData>
    <row r="1">
      <c r="A1" s="198" t="inlineStr">
        <is>
          <t>Secteur</t>
        </is>
      </c>
      <c r="B1" s="198" t="inlineStr">
        <is>
          <t>Driver</t>
        </is>
      </c>
      <c r="C1" s="198" t="inlineStr">
        <is>
          <t>Pessimiste</t>
        </is>
      </c>
      <c r="D1" s="198" t="inlineStr">
        <is>
          <t>Realiste</t>
        </is>
      </c>
      <c r="E1" s="198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407" t="n">
        <v>0.05</v>
      </c>
      <c r="D2" s="407" t="n">
        <v>0.12</v>
      </c>
      <c r="E2" s="407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407" t="n">
        <v>0.55</v>
      </c>
      <c r="D3" s="407" t="n">
        <v>0.68</v>
      </c>
      <c r="E3" s="407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407" t="n">
        <v>0.08</v>
      </c>
      <c r="D4" s="407" t="n">
        <v>0.18</v>
      </c>
      <c r="E4" s="407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407" t="n">
        <v>0.3</v>
      </c>
      <c r="D5" s="407" t="n">
        <v>0.22</v>
      </c>
      <c r="E5" s="407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407" t="n">
        <v>0.18</v>
      </c>
      <c r="D6" s="407" t="n">
        <v>0.12</v>
      </c>
      <c r="E6" s="407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407" t="n">
        <v>0.08</v>
      </c>
      <c r="D7" s="407" t="n">
        <v>0.05</v>
      </c>
      <c r="E7" s="407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407" t="n">
        <v>0.05</v>
      </c>
      <c r="D8" s="407" t="n">
        <v>0.03</v>
      </c>
      <c r="E8" s="407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407" t="n">
        <v>0.02</v>
      </c>
      <c r="D9" s="407" t="n">
        <v>0.03</v>
      </c>
      <c r="E9" s="407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407" t="n">
        <v>0.11</v>
      </c>
      <c r="D10" s="407" t="n">
        <v>0.09</v>
      </c>
      <c r="E10" s="407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407" t="n">
        <v>12</v>
      </c>
      <c r="D11" s="407" t="n">
        <v>16</v>
      </c>
      <c r="E11" s="407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407" t="n">
        <v>0.01</v>
      </c>
      <c r="D12" s="407" t="n">
        <v>0.04</v>
      </c>
      <c r="E12" s="407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407" t="n">
        <v>0.18</v>
      </c>
      <c r="D13" s="407" t="n">
        <v>0.25</v>
      </c>
      <c r="E13" s="407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407" t="n">
        <v>0.06</v>
      </c>
      <c r="D14" s="407" t="n">
        <v>0.12</v>
      </c>
      <c r="E14" s="407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407" t="n">
        <v>0.1</v>
      </c>
      <c r="D15" s="407" t="n">
        <v>0.08</v>
      </c>
      <c r="E15" s="407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407" t="n">
        <v>0.03</v>
      </c>
      <c r="D16" s="407" t="n">
        <v>0.02</v>
      </c>
      <c r="E16" s="407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407" t="n">
        <v>0.1</v>
      </c>
      <c r="D17" s="407" t="n">
        <v>0.07000000000000001</v>
      </c>
      <c r="E17" s="407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407" t="n">
        <v>0.12</v>
      </c>
      <c r="D18" s="407" t="n">
        <v>0.08</v>
      </c>
      <c r="E18" s="407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407" t="n">
        <v>0</v>
      </c>
      <c r="D19" s="407" t="n">
        <v>0.01</v>
      </c>
      <c r="E19" s="407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407" t="n">
        <v>0.09</v>
      </c>
      <c r="D20" s="407" t="n">
        <v>0.08</v>
      </c>
      <c r="E20" s="407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407" t="n">
        <v>5</v>
      </c>
      <c r="D21" s="407" t="n">
        <v>7</v>
      </c>
      <c r="E21" s="407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407" t="n">
        <v>0.01</v>
      </c>
      <c r="D22" s="407" t="n">
        <v>0.04</v>
      </c>
      <c r="E22" s="407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407" t="n">
        <v>0.25</v>
      </c>
      <c r="D23" s="407" t="n">
        <v>0.35</v>
      </c>
      <c r="E23" s="407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407" t="n">
        <v>0.04</v>
      </c>
      <c r="D24" s="407" t="n">
        <v>0.09</v>
      </c>
      <c r="E24" s="407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407" t="n">
        <v>0.18</v>
      </c>
      <c r="D25" s="407" t="n">
        <v>0.14</v>
      </c>
      <c r="E25" s="407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407" t="n">
        <v>0.01</v>
      </c>
      <c r="D26" s="407" t="n">
        <v>0.01</v>
      </c>
      <c r="E26" s="407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407" t="n">
        <v>0.05</v>
      </c>
      <c r="D27" s="407" t="n">
        <v>0.03</v>
      </c>
      <c r="E27" s="407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407" t="n">
        <v>0.1</v>
      </c>
      <c r="D28" s="407" t="n">
        <v>0.07000000000000001</v>
      </c>
      <c r="E28" s="407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407" t="n">
        <v>0</v>
      </c>
      <c r="D29" s="407" t="n">
        <v>0.01</v>
      </c>
      <c r="E29" s="407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407" t="n">
        <v>0.09</v>
      </c>
      <c r="D30" s="407" t="n">
        <v>0.08</v>
      </c>
      <c r="E30" s="407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407" t="n">
        <v>5</v>
      </c>
      <c r="D31" s="407" t="n">
        <v>8</v>
      </c>
      <c r="E31" s="407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407" t="n">
        <v>0.03</v>
      </c>
      <c r="D32" s="407" t="n">
        <v>0.08</v>
      </c>
      <c r="E32" s="407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407" t="n">
        <v>0.55</v>
      </c>
      <c r="D33" s="407" t="n">
        <v>0.65</v>
      </c>
      <c r="E33" s="407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407" t="n">
        <v>0.18</v>
      </c>
      <c r="D34" s="407" t="n">
        <v>0.28</v>
      </c>
      <c r="E34" s="407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407" t="n">
        <v>0.25</v>
      </c>
      <c r="D35" s="407" t="n">
        <v>0.18</v>
      </c>
      <c r="E35" s="407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407" t="n">
        <v>0.02</v>
      </c>
      <c r="D36" s="407" t="n">
        <v>0.01</v>
      </c>
      <c r="E36" s="407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407" t="n">
        <v>0.06</v>
      </c>
      <c r="D37" s="407" t="n">
        <v>0.04</v>
      </c>
      <c r="E37" s="407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407" t="n">
        <v>0.08</v>
      </c>
      <c r="D38" s="407" t="n">
        <v>0.05</v>
      </c>
      <c r="E38" s="407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407" t="n">
        <v>0.01</v>
      </c>
      <c r="D39" s="407" t="n">
        <v>0.02</v>
      </c>
      <c r="E39" s="407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407" t="n">
        <v>0.08</v>
      </c>
      <c r="D40" s="407" t="n">
        <v>0.07000000000000001</v>
      </c>
      <c r="E40" s="407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407" t="n">
        <v>12</v>
      </c>
      <c r="D41" s="407" t="n">
        <v>18</v>
      </c>
      <c r="E41" s="407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407" t="n">
        <v>-0.02</v>
      </c>
      <c r="D42" s="407" t="n">
        <v>0.02</v>
      </c>
      <c r="E42" s="407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407" t="n">
        <v>0.2</v>
      </c>
      <c r="D43" s="407" t="n">
        <v>0.3</v>
      </c>
      <c r="E43" s="407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407" t="n">
        <v>0.15</v>
      </c>
      <c r="D44" s="407" t="n">
        <v>0.25</v>
      </c>
      <c r="E44" s="407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407" t="n">
        <v>0.08</v>
      </c>
      <c r="D45" s="407" t="n">
        <v>0.06</v>
      </c>
      <c r="E45" s="407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407" t="n">
        <v>0.02</v>
      </c>
      <c r="D46" s="407" t="n">
        <v>0.01</v>
      </c>
      <c r="E46" s="407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407" t="n">
        <v>0.15</v>
      </c>
      <c r="D47" s="407" t="n">
        <v>0.1</v>
      </c>
      <c r="E47" s="407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407" t="n">
        <v>0.05</v>
      </c>
      <c r="D48" s="407" t="n">
        <v>0.04</v>
      </c>
      <c r="E48" s="407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407" t="n">
        <v>0</v>
      </c>
      <c r="D49" s="407" t="n">
        <v>0.01</v>
      </c>
      <c r="E49" s="407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407" t="n">
        <v>0.07000000000000001</v>
      </c>
      <c r="D50" s="407" t="n">
        <v>0.06</v>
      </c>
      <c r="E50" s="407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407" t="n">
        <v>6</v>
      </c>
      <c r="D51" s="407" t="n">
        <v>8</v>
      </c>
      <c r="E51" s="407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407" t="n">
        <v>0.02</v>
      </c>
      <c r="D52" s="407" t="n">
        <v>0.06</v>
      </c>
      <c r="E52" s="407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407" t="n">
        <v>0.45</v>
      </c>
      <c r="D53" s="407" t="n">
        <v>0.6</v>
      </c>
      <c r="E53" s="407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407" t="n">
        <v>0.1</v>
      </c>
      <c r="D54" s="407" t="n">
        <v>0.2</v>
      </c>
      <c r="E54" s="407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407" t="n">
        <v>0.25</v>
      </c>
      <c r="D55" s="407" t="n">
        <v>0.18</v>
      </c>
      <c r="E55" s="407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407" t="n">
        <v>0.2</v>
      </c>
      <c r="D56" s="407" t="n">
        <v>0.15</v>
      </c>
      <c r="E56" s="407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407" t="n">
        <v>0.06</v>
      </c>
      <c r="D57" s="407" t="n">
        <v>0.04</v>
      </c>
      <c r="E57" s="407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407" t="n">
        <v>0.08</v>
      </c>
      <c r="D58" s="407" t="n">
        <v>0.05</v>
      </c>
      <c r="E58" s="407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407" t="n">
        <v>0.01</v>
      </c>
      <c r="D59" s="407" t="n">
        <v>0.02</v>
      </c>
      <c r="E59" s="407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407" t="n">
        <v>0.08</v>
      </c>
      <c r="D60" s="407" t="n">
        <v>0.07000000000000001</v>
      </c>
      <c r="E60" s="407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407" t="n">
        <v>8</v>
      </c>
      <c r="D61" s="407" t="n">
        <v>12</v>
      </c>
      <c r="E61" s="407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2026-03-27T05:01:23Z</dcterms:modified>
  <cp:lastModifiedBy>Baptiste jeh</cp:lastModifiedBy>
  <cp:lastPrinted>2026-03-07T11:51:18Z</cp:lastPrinted>
</cp:coreProperties>
</file>