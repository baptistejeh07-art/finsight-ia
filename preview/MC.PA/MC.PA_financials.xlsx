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  <max val="15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  <max val="7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  <max val="800000"/>
          <min val="3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  <max val="3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  <max val="130"/>
          <min val="0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ACME Share Price</v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topLeftCell="A82" zoomScale="9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 t="n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>
        <v>79183</v>
      </c>
      <c r="F9" s="266" t="n">
        <v>86153</v>
      </c>
      <c r="G9" s="266" t="n">
        <v>84682</v>
      </c>
      <c r="H9" s="266" t="n">
        <v>80807</v>
      </c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>
        <v>-24988</v>
      </c>
      <c r="F10" s="267" t="n">
        <v>-26876</v>
      </c>
      <c r="G10" s="267" t="n">
        <v>-27918</v>
      </c>
      <c r="H10" s="267" t="n">
        <v>-27279</v>
      </c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>
        <v>-33178</v>
      </c>
      <c r="F14" s="266" t="n">
        <v>-36482</v>
      </c>
      <c r="G14" s="266" t="n">
        <v>-37222</v>
      </c>
      <c r="H14" s="266" t="n">
        <v>-35848</v>
      </c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/>
      <c r="F15" s="266" t="n"/>
      <c r="G15" s="266" t="n"/>
      <c r="H15" s="266" t="n"/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>
        <v>-6226</v>
      </c>
      <c r="F16" s="268" t="n">
        <v>-7177</v>
      </c>
      <c r="G16" s="268" t="n">
        <v>-7796</v>
      </c>
      <c r="H16" s="268" t="n">
        <v>-8001</v>
      </c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/>
      <c r="E20" s="266" t="n">
        <v>-382</v>
      </c>
      <c r="F20" s="266" t="n">
        <v>-973</v>
      </c>
      <c r="G20" s="266" t="n">
        <v>-1186</v>
      </c>
      <c r="H20" s="266" t="n">
        <v>-1151</v>
      </c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/>
      <c r="E21" s="268" t="n">
        <v>113</v>
      </c>
      <c r="F21" s="268" t="n">
        <v>212</v>
      </c>
      <c r="G21" s="268" t="n">
        <v>151</v>
      </c>
      <c r="H21" s="268" t="n">
        <v>164</v>
      </c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>
        <v>-5362</v>
      </c>
      <c r="F25" s="266" t="n">
        <v>-5673</v>
      </c>
      <c r="G25" s="266" t="n">
        <v>-5157</v>
      </c>
      <c r="H25" s="266" t="n">
        <v>-5476</v>
      </c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/>
      <c r="F29" s="266" t="n"/>
      <c r="G29" s="266" t="n"/>
      <c r="H29" s="266" t="n"/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>
        <v>7300</v>
      </c>
      <c r="F34" s="269" t="n">
        <v>7774</v>
      </c>
      <c r="G34" s="269" t="n">
        <v>9631</v>
      </c>
      <c r="H34" s="269" t="n">
        <v>8794</v>
      </c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>
        <v>4258</v>
      </c>
      <c r="F35" s="266" t="n">
        <v>4728</v>
      </c>
      <c r="G35" s="266" t="n">
        <v>4731</v>
      </c>
      <c r="H35" s="266" t="n">
        <v>4332</v>
      </c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>
        <v>20319</v>
      </c>
      <c r="F36" s="266" t="n">
        <v>22952</v>
      </c>
      <c r="G36" s="266" t="n">
        <v>23669</v>
      </c>
      <c r="H36" s="266" t="n">
        <v>22659</v>
      </c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>
        <v>7488</v>
      </c>
      <c r="F37" s="268" t="n"/>
      <c r="G37" s="268" t="n">
        <v>-1</v>
      </c>
      <c r="H37" s="268" t="n">
        <v>-1</v>
      </c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>
        <v>37670</v>
      </c>
      <c r="F41" s="266" t="n">
        <v>42695</v>
      </c>
      <c r="G41" s="266" t="n">
        <v>45895</v>
      </c>
      <c r="H41" s="266" t="n">
        <v>44018</v>
      </c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>
        <v>50214</v>
      </c>
      <c r="F42" s="266" t="n">
        <v>49610</v>
      </c>
      <c r="G42" s="266" t="n">
        <v>46880</v>
      </c>
      <c r="H42" s="266" t="n">
        <v>41702</v>
      </c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>
        <v>1186</v>
      </c>
      <c r="F43" s="266" t="n">
        <v>99</v>
      </c>
      <c r="G43" s="266" t="n">
        <v>127</v>
      </c>
      <c r="H43" s="266" t="n">
        <v>128</v>
      </c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>
        <v>8788</v>
      </c>
      <c r="F47" s="266" t="n">
        <v>9049</v>
      </c>
      <c r="G47" s="266" t="n">
        <v>8630</v>
      </c>
      <c r="H47" s="266" t="n">
        <v>8223</v>
      </c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>
        <v>9359</v>
      </c>
      <c r="F48" s="266" t="n">
        <v>10680</v>
      </c>
      <c r="G48" s="266" t="n">
        <v>10850</v>
      </c>
      <c r="H48" s="266" t="n">
        <v>7925</v>
      </c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>
        <v>1211</v>
      </c>
      <c r="F49" s="266" t="n">
        <v>2541</v>
      </c>
      <c r="G49" s="266" t="n">
        <v>2766</v>
      </c>
      <c r="H49" s="266" t="n">
        <v>2123</v>
      </c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>
        <v>9553</v>
      </c>
      <c r="F50" s="268" t="n">
        <v>1880</v>
      </c>
      <c r="G50" s="268" t="n">
        <v>1978</v>
      </c>
      <c r="H50" s="268" t="n">
        <v>1910</v>
      </c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>
        <v>10380</v>
      </c>
      <c r="F54" s="268" t="n">
        <v>11227</v>
      </c>
      <c r="G54" s="268" t="n">
        <v>12091</v>
      </c>
      <c r="H54" s="268" t="n">
        <v>12419</v>
      </c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>
        <v>1440</v>
      </c>
      <c r="F58" s="266" t="n">
        <v>681</v>
      </c>
      <c r="G58" s="266" t="n">
        <v>203</v>
      </c>
      <c r="H58" s="266" t="n">
        <v>149</v>
      </c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/>
      <c r="F59" s="276" t="n"/>
      <c r="G59" s="276" t="n"/>
      <c r="H59" s="276" t="n"/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>
        <v>-394</v>
      </c>
      <c r="F71" s="266" t="n">
        <v>-695</v>
      </c>
      <c r="G71" s="266" t="n">
        <v>137</v>
      </c>
      <c r="H71" s="266" t="n">
        <v>213</v>
      </c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>
        <v>-4169</v>
      </c>
      <c r="F72" s="266" t="n">
        <v>-4230</v>
      </c>
      <c r="G72" s="266" t="n">
        <v>-1114</v>
      </c>
      <c r="H72" s="266" t="n">
        <v>-1315</v>
      </c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>
        <v>1532</v>
      </c>
      <c r="F73" s="266" t="n">
        <v>434</v>
      </c>
      <c r="G73" s="266" t="n">
        <v>-664</v>
      </c>
      <c r="H73" s="266" t="n">
        <v>215</v>
      </c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>
        <v>-483</v>
      </c>
      <c r="F74" s="266" t="n">
        <v>-259</v>
      </c>
      <c r="G74" s="266" t="n">
        <v>488</v>
      </c>
      <c r="H74" s="266" t="n">
        <v>-172</v>
      </c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>
        <v>-5082</v>
      </c>
      <c r="F78" s="266" t="n">
        <v>-7807</v>
      </c>
      <c r="G78" s="266" t="n">
        <v>-5552</v>
      </c>
      <c r="H78" s="266" t="n">
        <v>-4670</v>
      </c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/>
      <c r="F79" s="266" t="n"/>
      <c r="G79" s="266" t="n"/>
      <c r="H79" s="266" t="n"/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>
        <v>3774</v>
      </c>
      <c r="F83" s="266" t="n">
        <v>5990</v>
      </c>
      <c r="G83" s="266" t="n">
        <v>3595</v>
      </c>
      <c r="H83" s="266" t="n">
        <v>2095</v>
      </c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/>
      <c r="E84" s="266" t="n">
        <v>0</v>
      </c>
      <c r="F84" s="266" t="n">
        <v>0</v>
      </c>
      <c r="G84" s="266" t="n">
        <v>53</v>
      </c>
      <c r="H84" s="266" t="n">
        <v>0</v>
      </c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>
        <v>-1616</v>
      </c>
      <c r="F85" s="266" t="n">
        <v>-1584</v>
      </c>
      <c r="G85" s="266" t="n">
        <v>-312</v>
      </c>
      <c r="H85" s="266" t="n">
        <v>-1640</v>
      </c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>
        <v>7817</v>
      </c>
      <c r="F90" s="266" t="n">
        <v>7100</v>
      </c>
      <c r="G90" s="266" t="n">
        <v>7520</v>
      </c>
      <c r="H90" s="266" t="n">
        <v>9269</v>
      </c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460.95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495.87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0.842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0.0437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0.0566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0.3248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0.9183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0.08169999999999999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0.025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LVMH Moët Hennessy - Louis Vuitton, Société Européenne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MC.PA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Consumer Cyclical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EUR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2026-03-26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inlineStr">
        <is>
          <t>--- SYNTHESE IA ---</t>
        </is>
      </c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inlineStr">
        <is>
          <t>Recommandation : BUY</t>
        </is>
      </c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inlineStr">
        <is>
          <t>Conviction : 78%</t>
        </is>
      </c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inlineStr">
        <is>
          <t>Confiance IA : 82%</t>
        </is>
      </c>
      <c r="E126" s="25" t="n"/>
      <c r="F126" s="25" t="n"/>
      <c r="G126" s="25" t="n"/>
      <c r="H126" s="25" t="n"/>
    </row>
    <row r="127" ht="15" customHeight="1">
      <c r="B127" s="51" t="n"/>
      <c r="D127" t="inlineStr">
        <is>
          <t>Cible Base : 520.0</t>
        </is>
      </c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IF(D9&lt;&gt;"",1,0)+IF(E9&lt;&gt;"",1,0)+IF(F9&lt;&gt;"",1,0)+IF(G9&lt;&gt;"",1,0)+IF(H9&lt;&gt;"",1,0)</f>
        <v/>
      </c>
      <c r="G128" s="419">
        <f>IF(COUNTA(H9,H10,H14,H15,H16,H20,H21,H25)=8,$F$128,IF(COUNTA(G9,G10,G14,G15,G16,G20,G21,G25)=8,$F$128,IF(COUNTA(F9,F10,F14,F15,F16,F20,F21,F25)=8,$F$128,IF(COUNTA(E9,E10,E14,E15,E16,E20,E21,E25)=8,$F$128,IF(COUNTA(D9,D10,D14,D15,D16,D20,D21,D25)=8,$F$128,0)))))</f>
        <v/>
      </c>
      <c r="H128" s="419" t="n"/>
      <c r="I128" s="417" t="n"/>
      <c r="J128" s="417" t="n"/>
      <c r="K128" s="417" t="n"/>
    </row>
    <row r="129" ht="15" customHeight="1">
      <c r="B129" s="51" t="n"/>
      <c r="D129" t="inlineStr">
        <is>
          <t>Cible Bear : 450.0</t>
        </is>
      </c>
    </row>
    <row r="130" ht="15" customHeight="1">
      <c r="B130" s="51" t="n"/>
      <c r="D130" t="inlineStr">
        <is>
          <t>LVMH affiche une résilience exceptionnelle malgré un environnement macroéconomique difficile, avec des marges maintenues à des niveaux records. La marque reste un leader incontesté du luxe, avec une c</t>
        </is>
      </c>
    </row>
    <row r="131" ht="15" customHeight="1">
      <c r="B131" s="51" t="n"/>
      <c r="D131" t="inlineStr">
        <is>
          <t>Invalidation : Ralentissement Chine &gt; -5% PIB ou perte de parts de marché &gt;5% en Chine</t>
        </is>
      </c>
    </row>
    <row r="132" ht="15" customHeight="1">
      <c r="B132" s="51" t="n"/>
      <c r="E132" t="n">
        <v>2022</v>
      </c>
      <c r="F132" t="n">
        <v>2023</v>
      </c>
      <c r="G132" t="n">
        <v>2024</v>
      </c>
      <c r="H132" t="n">
        <v>2025</v>
      </c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$F$128&lt;5</formula>
    </cfRule>
  </conditionalFormatting>
  <conditionalFormatting sqref="E1:E122">
    <cfRule type="expression" priority="7" dxfId="0">
      <formula>$F$128&lt;4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$F$128&lt;2</formula>
    </cfRule>
  </conditionalFormatting>
  <conditionalFormatting sqref="H1:H122">
    <cfRule type="expression" priority="10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12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INPUT!D5</f>
        <v/>
      </c>
      <c r="E5" s="1">
        <f>INPUT!E5</f>
        <v/>
      </c>
      <c r="F5" s="1">
        <f>INPUT!F5</f>
        <v/>
      </c>
      <c r="G5" s="1">
        <f>INPUT!G5</f>
        <v/>
      </c>
      <c r="H5" s="1">
        <f>INPUT!H5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/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G85/1000</f>
        <v/>
      </c>
      <c r="H92" s="433">
        <f>H85/1000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G86/1000</f>
        <v/>
      </c>
      <c r="H93" s="433">
        <f>H86/1000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G87/1000</f>
        <v/>
      </c>
      <c r="H94" s="433">
        <f>H87/1000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INPUT!D5</f>
        <v/>
      </c>
      <c r="E5" s="138">
        <f>INPUT!E5</f>
        <v/>
      </c>
      <c r="F5" s="138">
        <f>INPUT!F5</f>
        <v/>
      </c>
      <c r="G5" s="138">
        <f>INPUT!G5</f>
        <v/>
      </c>
      <c r="H5" s="138">
        <f>INPUT!H5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INPUT!H5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Q120" sqref="Q120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INPUT!D5</f>
        <v/>
      </c>
      <c r="E5" s="24">
        <f>INPUT!E5</f>
        <v/>
      </c>
      <c r="F5" s="24">
        <f>INPUT!F5</f>
        <v/>
      </c>
      <c r="G5" s="24">
        <f>INPUT!G5</f>
        <v/>
      </c>
      <c r="H5" s="24">
        <f>INPUT!H5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INPUT!H9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INPUT!H10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INPUT!H14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INPUT!H15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INPUT!H30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INPUT!H16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INPUT!H20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INPUT!H24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IFERROR(INPUT!H9/INPUT!G9-1,0.05)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IFERROR(INPUT!H9/INPUT!G9-1,0.05)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INPUT!H78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INPUT!H70+INPUT!H71+INPUT!H72+INPUT!H73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zoomScaleNormal="100" workbookViewId="0">
      <selection activeCell="E22" sqref="E22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Kering SA</t>
        </is>
      </c>
      <c r="C9" s="9" t="inlineStr">
        <is>
          <t>KER.PA</t>
        </is>
      </c>
      <c r="D9" s="477" t="n">
        <v>258.85</v>
      </c>
      <c r="E9" s="36" t="n">
        <v>45966.46</v>
      </c>
      <c r="F9" s="36" t="n">
        <v>14675</v>
      </c>
      <c r="G9" s="36" t="n">
        <v>2543</v>
      </c>
      <c r="H9" s="478">
        <f>IFERROR(E9/G9,"–")</f>
        <v/>
      </c>
      <c r="I9" s="478">
        <f>IFERROR(E9/F9,"–")</f>
        <v/>
      </c>
      <c r="J9" s="479" t="n"/>
      <c r="K9" s="477" t="n">
        <v>-0.23</v>
      </c>
      <c r="L9" s="478">
        <f>IFERROR(D9/K9,"–")</f>
        <v/>
      </c>
    </row>
    <row r="10" ht="15" customHeight="1">
      <c r="A10" s="3" t="n"/>
      <c r="B10" s="41" t="inlineStr">
        <is>
          <t>L'Oréal S.A.</t>
        </is>
      </c>
      <c r="C10" s="9" t="inlineStr">
        <is>
          <t>OR.PA</t>
        </is>
      </c>
      <c r="D10" s="477" t="n">
        <v>353.15</v>
      </c>
      <c r="E10" s="36" t="n">
        <v>189993.22</v>
      </c>
      <c r="F10" s="36" t="n">
        <v>44052</v>
      </c>
      <c r="G10" s="36" t="n">
        <v>9894.5</v>
      </c>
      <c r="H10" s="478">
        <f>IFERROR(E10/G10,"–")</f>
        <v/>
      </c>
      <c r="I10" s="478">
        <f>IFERROR(E10/F10,"–")</f>
        <v/>
      </c>
      <c r="J10" s="479" t="n"/>
      <c r="K10" s="477" t="n">
        <v>11.44</v>
      </c>
      <c r="L10" s="478">
        <f>IFERROR(D10/K10,"–")</f>
        <v/>
      </c>
    </row>
    <row r="11" ht="15" customHeight="1">
      <c r="A11" s="3" t="n"/>
      <c r="B11" s="41" t="inlineStr">
        <is>
          <t>Pernod Ricard SA</t>
        </is>
      </c>
      <c r="C11" s="9" t="inlineStr">
        <is>
          <t>RI.PA</t>
        </is>
      </c>
      <c r="D11" s="477" t="n">
        <v>63.84</v>
      </c>
      <c r="E11" s="36" t="n">
        <v>28259.39</v>
      </c>
      <c r="F11" s="36" t="n">
        <v>10036</v>
      </c>
      <c r="G11" s="36" t="n">
        <v>2880</v>
      </c>
      <c r="H11" s="478">
        <f>IFERROR(E11/G11,"–")</f>
        <v/>
      </c>
      <c r="I11" s="478">
        <f>IFERROR(E11/F11,"–")</f>
        <v/>
      </c>
      <c r="J11" s="479" t="n"/>
      <c r="K11" s="477" t="n">
        <v>5.6</v>
      </c>
      <c r="L11" s="478">
        <f>IFERROR(D11/K11,"–")</f>
        <v/>
      </c>
    </row>
    <row r="12" ht="15" customHeight="1">
      <c r="A12" s="3" t="n"/>
      <c r="B12" s="41" t="inlineStr">
        <is>
          <t>Compagnie Financière Richemont SA</t>
        </is>
      </c>
      <c r="C12" s="9" t="inlineStr">
        <is>
          <t>CFR.SW</t>
        </is>
      </c>
      <c r="D12" s="477" t="n">
        <v>139.75</v>
      </c>
      <c r="E12" s="36" t="n">
        <v>80357.48</v>
      </c>
      <c r="F12" s="36" t="n">
        <v>21941</v>
      </c>
      <c r="G12" s="36" t="n">
        <v>5348</v>
      </c>
      <c r="H12" s="478">
        <f>IFERROR(E12/G12,"–")</f>
        <v/>
      </c>
      <c r="I12" s="478">
        <f>IFERROR(E12/F12,"–")</f>
        <v/>
      </c>
      <c r="J12" s="479" t="n"/>
      <c r="K12" s="477" t="n">
        <v>5.93</v>
      </c>
      <c r="L12" s="478">
        <f>IFERROR(D12/K12,"–")</f>
        <v/>
      </c>
    </row>
    <row r="13" ht="15" customHeight="1">
      <c r="A13" s="3" t="n"/>
      <c r="B13" s="41" t="inlineStr">
        <is>
          <t>Burberry Group plc</t>
        </is>
      </c>
      <c r="C13" s="9" t="inlineStr">
        <is>
          <t>BURBY</t>
        </is>
      </c>
      <c r="D13" s="480" t="n">
        <v>14.06</v>
      </c>
      <c r="E13" s="71" t="n">
        <v>6149.07</v>
      </c>
      <c r="F13" s="71" t="n">
        <v>2407</v>
      </c>
      <c r="G13" s="71" t="n">
        <v>202</v>
      </c>
      <c r="H13" s="481">
        <f>IFERROR(E13/G13,"–")</f>
        <v/>
      </c>
      <c r="I13" s="481">
        <f>IFERROR(E13/F13,"–")</f>
        <v/>
      </c>
      <c r="J13" s="482" t="n"/>
      <c r="K13" s="480" t="n">
        <v>-0.1</v>
      </c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INPUT!H95</f>
        <v/>
      </c>
      <c r="E37" s="485">
        <f>INPUT!H95</f>
        <v/>
      </c>
      <c r="F37" s="485">
        <f>INPUT!H95</f>
        <v/>
      </c>
      <c r="G37" s="485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INPUT!D117</f>
        <v/>
      </c>
      <c r="E5" s="16">
        <f>INPUT!D117-3</f>
        <v/>
      </c>
      <c r="F5" s="16">
        <f>INPUT!D117-2</f>
        <v/>
      </c>
      <c r="G5" s="16">
        <f>INPUT!D117-1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topLeftCell="B22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pageMargins left="0.005555555555555556" right="0.005555555555555556" top="0.005555555555555556" bottom="0.005555555555555556" header="0.3" footer="0.3"/>
  <pageSetup orientation="landscape" paperSize="9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476.47</v>
      </c>
    </row>
    <row r="4">
      <c r="A4" s="286" t="n">
        <v>2</v>
      </c>
      <c r="B4" t="inlineStr">
        <is>
          <t>May-25</t>
        </is>
      </c>
      <c r="C4" s="536" t="n">
        <v>474.16</v>
      </c>
    </row>
    <row r="5">
      <c r="A5" s="286" t="n">
        <v>3</v>
      </c>
      <c r="B5" t="inlineStr">
        <is>
          <t>Jun-25</t>
        </is>
      </c>
      <c r="C5" s="536" t="n">
        <v>440.8</v>
      </c>
    </row>
    <row r="6">
      <c r="A6" s="286" t="n">
        <v>4</v>
      </c>
      <c r="B6" t="inlineStr">
        <is>
          <t>Jul-25</t>
        </is>
      </c>
      <c r="C6" s="536" t="n">
        <v>468.31</v>
      </c>
    </row>
    <row r="7">
      <c r="A7" s="286" t="n">
        <v>5</v>
      </c>
      <c r="B7" t="inlineStr">
        <is>
          <t>Aug-25</t>
        </is>
      </c>
      <c r="C7" s="536" t="n">
        <v>499.79</v>
      </c>
    </row>
    <row r="8">
      <c r="A8" s="286" t="n">
        <v>6</v>
      </c>
      <c r="B8" t="inlineStr">
        <is>
          <t>Sep-25</t>
        </is>
      </c>
      <c r="C8" s="536" t="n">
        <v>516.05</v>
      </c>
    </row>
    <row r="9">
      <c r="A9" s="286" t="n">
        <v>7</v>
      </c>
      <c r="B9" t="inlineStr">
        <is>
          <t>Oct-25</t>
        </is>
      </c>
      <c r="C9" s="536" t="n">
        <v>606.86</v>
      </c>
    </row>
    <row r="10">
      <c r="A10" s="286" t="n">
        <v>8</v>
      </c>
      <c r="B10" t="inlineStr">
        <is>
          <t>Nov-25</t>
        </is>
      </c>
      <c r="C10" s="536" t="n">
        <v>630.0599999999999</v>
      </c>
    </row>
    <row r="11">
      <c r="A11" s="286" t="n">
        <v>9</v>
      </c>
      <c r="B11" t="inlineStr">
        <is>
          <t>Dec-25</t>
        </is>
      </c>
      <c r="C11" s="536" t="n">
        <v>639.48</v>
      </c>
    </row>
    <row r="12">
      <c r="A12" s="286" t="n">
        <v>10</v>
      </c>
      <c r="B12" t="inlineStr">
        <is>
          <t>Jan-26</t>
        </is>
      </c>
      <c r="C12" s="536" t="n">
        <v>546.9</v>
      </c>
    </row>
    <row r="13">
      <c r="A13" s="286" t="n">
        <v>11</v>
      </c>
      <c r="B13" t="inlineStr">
        <is>
          <t>Feb-26</t>
        </is>
      </c>
      <c r="C13" s="536" t="n">
        <v>544.1</v>
      </c>
    </row>
    <row r="14">
      <c r="A14" s="286" t="n">
        <v>12</v>
      </c>
      <c r="B14" t="inlineStr">
        <is>
          <t>Mar-26</t>
        </is>
      </c>
      <c r="C14" s="536" t="n">
        <v>460.95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2026-03-26T13:20:09Z</dcterms:modified>
  <cp:lastModifiedBy>Baptiste jeh</cp:lastModifiedBy>
  <cp:lastPrinted>2026-03-07T11:51:18Z</cp:lastPrinted>
</cp:coreProperties>
</file>