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79183</v>
      </c>
      <c r="F9" s="266" t="n">
        <v>86153</v>
      </c>
      <c r="G9" s="266" t="n">
        <v>84682</v>
      </c>
      <c r="H9" s="266" t="n">
        <v>80807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-24988</v>
      </c>
      <c r="F10" s="267" t="n">
        <v>-26876</v>
      </c>
      <c r="G10" s="267" t="n">
        <v>-27918</v>
      </c>
      <c r="H10" s="267" t="n">
        <v>-27279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-33178</v>
      </c>
      <c r="F14" s="266" t="n">
        <v>-36482</v>
      </c>
      <c r="G14" s="266" t="n">
        <v>-37222</v>
      </c>
      <c r="H14" s="266" t="n">
        <v>-35848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/>
      <c r="F15" s="266" t="n"/>
      <c r="G15" s="266" t="n"/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-6226</v>
      </c>
      <c r="F16" s="268" t="n">
        <v>-7177</v>
      </c>
      <c r="G16" s="268" t="n">
        <v>-7796</v>
      </c>
      <c r="H16" s="268" t="n">
        <v>-8001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-382</v>
      </c>
      <c r="F20" s="266" t="n">
        <v>-973</v>
      </c>
      <c r="G20" s="266" t="n">
        <v>-1186</v>
      </c>
      <c r="H20" s="266" t="n">
        <v>-1151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113</v>
      </c>
      <c r="F21" s="268" t="n">
        <v>212</v>
      </c>
      <c r="G21" s="268" t="n">
        <v>151</v>
      </c>
      <c r="H21" s="268" t="n">
        <v>164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-5362</v>
      </c>
      <c r="F25" s="266" t="n">
        <v>-5673</v>
      </c>
      <c r="G25" s="266" t="n">
        <v>-5157</v>
      </c>
      <c r="H25" s="266" t="n">
        <v>-5476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7300</v>
      </c>
      <c r="F34" s="269" t="n">
        <v>7774</v>
      </c>
      <c r="G34" s="269" t="n">
        <v>9631</v>
      </c>
      <c r="H34" s="269" t="n">
        <v>8794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4258</v>
      </c>
      <c r="F35" s="266" t="n">
        <v>4728</v>
      </c>
      <c r="G35" s="266" t="n">
        <v>4731</v>
      </c>
      <c r="H35" s="266" t="n">
        <v>4332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20319</v>
      </c>
      <c r="F36" s="266" t="n">
        <v>22952</v>
      </c>
      <c r="G36" s="266" t="n">
        <v>23669</v>
      </c>
      <c r="H36" s="266" t="n">
        <v>22659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7488</v>
      </c>
      <c r="F37" s="268" t="n"/>
      <c r="G37" s="268" t="n">
        <v>-1</v>
      </c>
      <c r="H37" s="268" t="n">
        <v>-1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37670</v>
      </c>
      <c r="F41" s="266" t="n">
        <v>42695</v>
      </c>
      <c r="G41" s="266" t="n">
        <v>45895</v>
      </c>
      <c r="H41" s="266" t="n">
        <v>44018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50214</v>
      </c>
      <c r="F42" s="266" t="n">
        <v>49610</v>
      </c>
      <c r="G42" s="266" t="n">
        <v>46880</v>
      </c>
      <c r="H42" s="266" t="n">
        <v>41702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1186</v>
      </c>
      <c r="F43" s="266" t="n">
        <v>99</v>
      </c>
      <c r="G43" s="266" t="n">
        <v>127</v>
      </c>
      <c r="H43" s="266" t="n">
        <v>128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8788</v>
      </c>
      <c r="F47" s="266" t="n">
        <v>9049</v>
      </c>
      <c r="G47" s="266" t="n">
        <v>8630</v>
      </c>
      <c r="H47" s="266" t="n">
        <v>8223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9359</v>
      </c>
      <c r="F48" s="266" t="n">
        <v>10680</v>
      </c>
      <c r="G48" s="266" t="n">
        <v>10850</v>
      </c>
      <c r="H48" s="266" t="n">
        <v>7925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1211</v>
      </c>
      <c r="F49" s="266" t="n">
        <v>2541</v>
      </c>
      <c r="G49" s="266" t="n">
        <v>2766</v>
      </c>
      <c r="H49" s="266" t="n">
        <v>2123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9553</v>
      </c>
      <c r="F50" s="268" t="n">
        <v>1880</v>
      </c>
      <c r="G50" s="268" t="n">
        <v>1978</v>
      </c>
      <c r="H50" s="268" t="n">
        <v>1910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10380</v>
      </c>
      <c r="F54" s="268" t="n">
        <v>11227</v>
      </c>
      <c r="G54" s="268" t="n">
        <v>12091</v>
      </c>
      <c r="H54" s="268" t="n">
        <v>12419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1440</v>
      </c>
      <c r="F58" s="266" t="n">
        <v>681</v>
      </c>
      <c r="G58" s="266" t="n">
        <v>203</v>
      </c>
      <c r="H58" s="266" t="n">
        <v>149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-394</v>
      </c>
      <c r="F71" s="266" t="n">
        <v>-695</v>
      </c>
      <c r="G71" s="266" t="n">
        <v>137</v>
      </c>
      <c r="H71" s="266" t="n">
        <v>213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-4169</v>
      </c>
      <c r="F72" s="266" t="n">
        <v>-4230</v>
      </c>
      <c r="G72" s="266" t="n">
        <v>-1114</v>
      </c>
      <c r="H72" s="266" t="n">
        <v>-1315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1532</v>
      </c>
      <c r="F73" s="266" t="n">
        <v>434</v>
      </c>
      <c r="G73" s="266" t="n">
        <v>-664</v>
      </c>
      <c r="H73" s="266" t="n">
        <v>215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-483</v>
      </c>
      <c r="F74" s="266" t="n">
        <v>-259</v>
      </c>
      <c r="G74" s="266" t="n">
        <v>488</v>
      </c>
      <c r="H74" s="266" t="n">
        <v>-172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-5082</v>
      </c>
      <c r="F78" s="266" t="n">
        <v>-7807</v>
      </c>
      <c r="G78" s="266" t="n">
        <v>-5552</v>
      </c>
      <c r="H78" s="266" t="n">
        <v>-4670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3774</v>
      </c>
      <c r="F83" s="266" t="n">
        <v>5990</v>
      </c>
      <c r="G83" s="266" t="n">
        <v>3595</v>
      </c>
      <c r="H83" s="266" t="n">
        <v>2095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0</v>
      </c>
      <c r="F84" s="266" t="n">
        <v>0</v>
      </c>
      <c r="G84" s="266" t="n">
        <v>53</v>
      </c>
      <c r="H84" s="266" t="n">
        <v>0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-1616</v>
      </c>
      <c r="F85" s="266" t="n">
        <v>-1584</v>
      </c>
      <c r="G85" s="266" t="n">
        <v>-312</v>
      </c>
      <c r="H85" s="266" t="n">
        <v>-1640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7817</v>
      </c>
      <c r="F90" s="266" t="n">
        <v>7100</v>
      </c>
      <c r="G90" s="266" t="n">
        <v>7520</v>
      </c>
      <c r="H90" s="266" t="n">
        <v>9269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458.3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495.87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0.842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0.0441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0.0566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0.3248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0.9177999999999999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0.0822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0.025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LVMH Moët Hennessy - Louis Vuitton, Société Européenne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MC.PA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Consumer Cyclical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EUR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2026-03-26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Kering SA</t>
        </is>
      </c>
      <c r="C9" s="9" t="inlineStr">
        <is>
          <t>KER.PA</t>
        </is>
      </c>
      <c r="D9" s="477" t="n">
        <v>252.2</v>
      </c>
      <c r="E9" s="36" t="n">
        <v>45966.46</v>
      </c>
      <c r="F9" s="36" t="n">
        <v>14675</v>
      </c>
      <c r="G9" s="36" t="n">
        <v>2543</v>
      </c>
      <c r="H9" s="478">
        <f>IFERROR(E9/G9,"–")</f>
        <v/>
      </c>
      <c r="I9" s="478">
        <f>IFERROR(E9/F9,"–")</f>
        <v/>
      </c>
      <c r="J9" s="479" t="n"/>
      <c r="K9" s="477" t="n">
        <v>-0.23</v>
      </c>
      <c r="L9" s="478">
        <f>IFERROR(D9/K9,"–")</f>
        <v/>
      </c>
    </row>
    <row r="10" ht="15" customHeight="1">
      <c r="A10" s="3" t="n"/>
      <c r="B10" s="41" t="inlineStr">
        <is>
          <t>L'Oréal S.A.</t>
        </is>
      </c>
      <c r="C10" s="9" t="inlineStr">
        <is>
          <t>OR.PA</t>
        </is>
      </c>
      <c r="D10" s="477" t="n">
        <v>350.85</v>
      </c>
      <c r="E10" s="36" t="n">
        <v>189993.22</v>
      </c>
      <c r="F10" s="36" t="n">
        <v>44052</v>
      </c>
      <c r="G10" s="36" t="n">
        <v>9894.5</v>
      </c>
      <c r="H10" s="478">
        <f>IFERROR(E10/G10,"–")</f>
        <v/>
      </c>
      <c r="I10" s="478">
        <f>IFERROR(E10/F10,"–")</f>
        <v/>
      </c>
      <c r="J10" s="479" t="n"/>
      <c r="K10" s="477" t="n">
        <v>11.44</v>
      </c>
      <c r="L10" s="478">
        <f>IFERROR(D10/K10,"–")</f>
        <v/>
      </c>
    </row>
    <row r="11" ht="15" customHeight="1">
      <c r="A11" s="3" t="n"/>
      <c r="B11" s="41" t="inlineStr">
        <is>
          <t>Pernod Ricard SA</t>
        </is>
      </c>
      <c r="C11" s="9" t="inlineStr">
        <is>
          <t>RI.PA</t>
        </is>
      </c>
      <c r="D11" s="477" t="n">
        <v>59.94</v>
      </c>
      <c r="E11" s="36" t="n">
        <v>28259.39</v>
      </c>
      <c r="F11" s="36" t="n">
        <v>10036</v>
      </c>
      <c r="G11" s="36" t="n">
        <v>2880</v>
      </c>
      <c r="H11" s="478">
        <f>IFERROR(E11/G11,"–")</f>
        <v/>
      </c>
      <c r="I11" s="478">
        <f>IFERROR(E11/F11,"–")</f>
        <v/>
      </c>
      <c r="J11" s="479" t="n"/>
      <c r="K11" s="477" t="n">
        <v>5.6</v>
      </c>
      <c r="L11" s="478">
        <f>IFERROR(D11/K11,"–")</f>
        <v/>
      </c>
    </row>
    <row r="12" ht="15" customHeight="1">
      <c r="A12" s="3" t="n"/>
      <c r="B12" s="41" t="inlineStr">
        <is>
          <t>Compagnie Financière Richemont SA</t>
        </is>
      </c>
      <c r="C12" s="9" t="inlineStr">
        <is>
          <t>CFR.SW</t>
        </is>
      </c>
      <c r="D12" s="477" t="n">
        <v>139.5</v>
      </c>
      <c r="E12" s="36" t="n">
        <v>80357.48</v>
      </c>
      <c r="F12" s="36" t="n">
        <v>21941</v>
      </c>
      <c r="G12" s="36" t="n">
        <v>5348</v>
      </c>
      <c r="H12" s="478">
        <f>IFERROR(E12/G12,"–")</f>
        <v/>
      </c>
      <c r="I12" s="478">
        <f>IFERROR(E12/F12,"–")</f>
        <v/>
      </c>
      <c r="J12" s="479" t="n"/>
      <c r="K12" s="477" t="n">
        <v>5.93</v>
      </c>
      <c r="L12" s="478">
        <f>IFERROR(D12/K12,"–")</f>
        <v/>
      </c>
    </row>
    <row r="13" ht="15" customHeight="1">
      <c r="A13" s="3" t="n"/>
      <c r="B13" s="41" t="inlineStr">
        <is>
          <t>Burberry Group plc</t>
        </is>
      </c>
      <c r="C13" s="9" t="inlineStr">
        <is>
          <t>BURBY</t>
        </is>
      </c>
      <c r="D13" s="480" t="n">
        <v>13.89</v>
      </c>
      <c r="E13" s="71" t="n">
        <v>6149.07</v>
      </c>
      <c r="F13" s="71" t="n">
        <v>2407</v>
      </c>
      <c r="G13" s="71" t="n">
        <v>202</v>
      </c>
      <c r="H13" s="481">
        <f>IFERROR(E13/G13,"–")</f>
        <v/>
      </c>
      <c r="I13" s="481">
        <f>IFERROR(E13/F13,"–")</f>
        <v/>
      </c>
      <c r="J13" s="482" t="n"/>
      <c r="K13" s="480" t="n">
        <v>-0.1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476.47</v>
      </c>
    </row>
    <row r="4">
      <c r="A4" s="286" t="n">
        <v>2</v>
      </c>
      <c r="B4" t="inlineStr">
        <is>
          <t>May-25</t>
        </is>
      </c>
      <c r="C4" s="536" t="n">
        <v>474.16</v>
      </c>
    </row>
    <row r="5">
      <c r="A5" s="286" t="n">
        <v>3</v>
      </c>
      <c r="B5" t="inlineStr">
        <is>
          <t>Jun-25</t>
        </is>
      </c>
      <c r="C5" s="536" t="n">
        <v>440.8</v>
      </c>
    </row>
    <row r="6">
      <c r="A6" s="286" t="n">
        <v>4</v>
      </c>
      <c r="B6" t="inlineStr">
        <is>
          <t>Jul-25</t>
        </is>
      </c>
      <c r="C6" s="536" t="n">
        <v>468.31</v>
      </c>
    </row>
    <row r="7">
      <c r="A7" s="286" t="n">
        <v>5</v>
      </c>
      <c r="B7" t="inlineStr">
        <is>
          <t>Aug-25</t>
        </is>
      </c>
      <c r="C7" s="536" t="n">
        <v>499.79</v>
      </c>
    </row>
    <row r="8">
      <c r="A8" s="286" t="n">
        <v>6</v>
      </c>
      <c r="B8" t="inlineStr">
        <is>
          <t>Sep-25</t>
        </is>
      </c>
      <c r="C8" s="536" t="n">
        <v>516.05</v>
      </c>
    </row>
    <row r="9">
      <c r="A9" s="286" t="n">
        <v>7</v>
      </c>
      <c r="B9" t="inlineStr">
        <is>
          <t>Oct-25</t>
        </is>
      </c>
      <c r="C9" s="536" t="n">
        <v>606.86</v>
      </c>
    </row>
    <row r="10">
      <c r="A10" s="286" t="n">
        <v>8</v>
      </c>
      <c r="B10" t="inlineStr">
        <is>
          <t>Nov-25</t>
        </is>
      </c>
      <c r="C10" s="536" t="n">
        <v>630.0599999999999</v>
      </c>
    </row>
    <row r="11">
      <c r="A11" s="286" t="n">
        <v>9</v>
      </c>
      <c r="B11" t="inlineStr">
        <is>
          <t>Dec-25</t>
        </is>
      </c>
      <c r="C11" s="536" t="n">
        <v>639.48</v>
      </c>
    </row>
    <row r="12">
      <c r="A12" s="286" t="n">
        <v>10</v>
      </c>
      <c r="B12" t="inlineStr">
        <is>
          <t>Jan-26</t>
        </is>
      </c>
      <c r="C12" s="536" t="n">
        <v>546.9</v>
      </c>
    </row>
    <row r="13">
      <c r="A13" s="286" t="n">
        <v>11</v>
      </c>
      <c r="B13" t="inlineStr">
        <is>
          <t>Feb-26</t>
        </is>
      </c>
      <c r="C13" s="536" t="n">
        <v>544.1</v>
      </c>
    </row>
    <row r="14">
      <c r="A14" s="286" t="n">
        <v>12</v>
      </c>
      <c r="B14" t="inlineStr">
        <is>
          <t>Mar-26</t>
        </is>
      </c>
      <c r="C14" s="536" t="n">
        <v>458.3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2026-03-26T17:13:19Z</dcterms:modified>
  <cp:lastModifiedBy>Baptiste jeh</cp:lastModifiedBy>
  <cp:lastPrinted>2026-03-07T11:51:18Z</cp:lastPrinted>
</cp:coreProperties>
</file>