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5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Share Price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="5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/>
      <c r="E9" s="266" t="n">
        <v>127727</v>
      </c>
      <c r="F9" s="266" t="n">
        <v>154952</v>
      </c>
      <c r="G9" s="266" t="n">
        <v>169439</v>
      </c>
      <c r="H9" s="266" t="n">
        <v>181847</v>
      </c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/>
      <c r="E10" s="267" t="n"/>
      <c r="F10" s="267" t="n"/>
      <c r="G10" s="267" t="n"/>
      <c r="H10" s="267" t="n"/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/>
      <c r="E14" s="266" t="n">
        <v>-45547</v>
      </c>
      <c r="F14" s="266" t="n">
        <v>-51056</v>
      </c>
      <c r="G14" s="266" t="n">
        <v>-56331</v>
      </c>
      <c r="H14" s="266" t="n">
        <v>-60018</v>
      </c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/>
      <c r="F15" s="266" t="n"/>
      <c r="G15" s="266" t="n"/>
      <c r="H15" s="266" t="n"/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/>
      <c r="E16" s="268" t="n">
        <v>-7051</v>
      </c>
      <c r="F16" s="268" t="n">
        <v>-7512</v>
      </c>
      <c r="G16" s="268" t="n">
        <v>-7938</v>
      </c>
      <c r="H16" s="268" t="n">
        <v>-8821</v>
      </c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/>
      <c r="E20" s="266" t="n">
        <v>-26097</v>
      </c>
      <c r="F20" s="266" t="n">
        <v>-81321</v>
      </c>
      <c r="G20" s="266" t="n">
        <v>-101350</v>
      </c>
      <c r="H20" s="266" t="n">
        <v>-97898</v>
      </c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/>
      <c r="E21" s="268" t="n">
        <v>92807</v>
      </c>
      <c r="F21" s="268" t="n">
        <v>170588</v>
      </c>
      <c r="G21" s="268" t="n">
        <v>193933</v>
      </c>
      <c r="H21" s="268" t="n">
        <v>193341</v>
      </c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/>
      <c r="E25" s="266" t="n">
        <v>-8490</v>
      </c>
      <c r="F25" s="266" t="n">
        <v>-12060</v>
      </c>
      <c r="G25" s="266" t="n">
        <v>-16610</v>
      </c>
      <c r="H25" s="266" t="n">
        <v>-15547</v>
      </c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/>
      <c r="F29" s="266" t="n"/>
      <c r="G29" s="266" t="n"/>
      <c r="H29" s="266" t="n"/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/>
      <c r="E34" s="269" t="n">
        <v>567234</v>
      </c>
      <c r="F34" s="269" t="n">
        <v>624151</v>
      </c>
      <c r="G34" s="269" t="n">
        <v>469317</v>
      </c>
      <c r="H34" s="269" t="n">
        <v>343338</v>
      </c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/>
      <c r="E35" s="266" t="n">
        <v>125189</v>
      </c>
      <c r="F35" s="266" t="n">
        <v>107363</v>
      </c>
      <c r="G35" s="266" t="n">
        <v>101223</v>
      </c>
      <c r="H35" s="266" t="n">
        <v>111599</v>
      </c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/>
      <c r="E36" s="266" t="n"/>
      <c r="F36" s="266" t="n"/>
      <c r="G36" s="266" t="n"/>
      <c r="H36" s="266" t="n"/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/>
      <c r="E37" s="268" t="n"/>
      <c r="F37" s="268" t="n"/>
      <c r="G37" s="268" t="n"/>
      <c r="H37" s="268" t="n"/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/>
      <c r="E41" s="266" t="n">
        <v>27734</v>
      </c>
      <c r="F41" s="266" t="n">
        <v>30157</v>
      </c>
      <c r="G41" s="266" t="n">
        <v>32223</v>
      </c>
      <c r="H41" s="266" t="n">
        <v>36244</v>
      </c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/>
      <c r="E42" s="266" t="n">
        <v>60859</v>
      </c>
      <c r="F42" s="266" t="n">
        <v>64381</v>
      </c>
      <c r="G42" s="266" t="n">
        <v>64560</v>
      </c>
      <c r="H42" s="266" t="n">
        <v>64458</v>
      </c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/>
      <c r="E43" s="266" t="n"/>
      <c r="F43" s="266" t="n"/>
      <c r="G43" s="266" t="n"/>
      <c r="H43" s="266" t="n"/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/>
      <c r="E47" s="266" t="n">
        <v>188692</v>
      </c>
      <c r="F47" s="266" t="n">
        <v>161960</v>
      </c>
      <c r="G47" s="266" t="n">
        <v>153153</v>
      </c>
      <c r="H47" s="266" t="n">
        <v>186658</v>
      </c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/>
      <c r="E48" s="266" t="n">
        <v>44027</v>
      </c>
      <c r="F48" s="266" t="n">
        <v>44712</v>
      </c>
      <c r="G48" s="266" t="n">
        <v>52893</v>
      </c>
      <c r="H48" s="266" t="n">
        <v>66012</v>
      </c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/>
      <c r="E49" s="266" t="n"/>
      <c r="F49" s="266" t="n"/>
      <c r="G49" s="266" t="n"/>
      <c r="H49" s="266" t="n"/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/>
      <c r="E50" s="268" t="n"/>
      <c r="F50" s="268" t="n"/>
      <c r="G50" s="268" t="n"/>
      <c r="H50" s="268" t="n"/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/>
      <c r="E54" s="268" t="n">
        <v>295865</v>
      </c>
      <c r="F54" s="268" t="n">
        <v>391825</v>
      </c>
      <c r="G54" s="268" t="n">
        <v>401418</v>
      </c>
      <c r="H54" s="268" t="n">
        <v>433970</v>
      </c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/>
      <c r="E58" s="266" t="n">
        <v>120553</v>
      </c>
      <c r="F58" s="266" t="n">
        <v>121637</v>
      </c>
      <c r="G58" s="266" t="n">
        <v>115066</v>
      </c>
      <c r="H58" s="266" t="n">
        <v>115264</v>
      </c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/>
      <c r="E71" s="266" t="n">
        <v>-22970</v>
      </c>
      <c r="F71" s="266" t="n">
        <v>19928</v>
      </c>
      <c r="G71" s="266" t="n">
        <v>5735</v>
      </c>
      <c r="H71" s="266" t="n">
        <v>-11514</v>
      </c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/>
      <c r="E72" s="266" t="n"/>
      <c r="F72" s="266" t="n"/>
      <c r="G72" s="266" t="n"/>
      <c r="H72" s="266" t="n"/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/>
      <c r="E73" s="266" t="n">
        <v>58614</v>
      </c>
      <c r="F73" s="266" t="n">
        <v>-25388</v>
      </c>
      <c r="G73" s="266" t="n">
        <v>-90</v>
      </c>
      <c r="H73" s="266" t="n">
        <v>5270</v>
      </c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/>
      <c r="E74" s="266" t="n">
        <v>26055</v>
      </c>
      <c r="F74" s="266" t="n">
        <v>7292</v>
      </c>
      <c r="G74" s="266" t="n">
        <v>1107</v>
      </c>
      <c r="H74" s="266" t="n">
        <v>-14673</v>
      </c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/>
      <c r="E78" s="266" t="n"/>
      <c r="F78" s="266" t="n"/>
      <c r="G78" s="266" t="n"/>
      <c r="H78" s="266" t="n"/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/>
      <c r="F79" s="266" t="n"/>
      <c r="G79" s="266" t="n"/>
      <c r="H79" s="266" t="n"/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/>
      <c r="E83" s="266" t="n">
        <v>78442</v>
      </c>
      <c r="F83" s="266" t="n">
        <v>75417</v>
      </c>
      <c r="G83" s="266" t="n">
        <v>109915</v>
      </c>
      <c r="H83" s="266" t="n">
        <v>120761</v>
      </c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/>
      <c r="E84" s="266" t="n">
        <v>-3162</v>
      </c>
      <c r="F84" s="266" t="n">
        <v>-9824</v>
      </c>
      <c r="G84" s="266" t="n">
        <v>-18830</v>
      </c>
      <c r="H84" s="266" t="n">
        <v>-31591</v>
      </c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/>
      <c r="E85" s="266" t="n">
        <v>-3162</v>
      </c>
      <c r="F85" s="266" t="n">
        <v>-9824</v>
      </c>
      <c r="G85" s="266" t="n">
        <v>-18830</v>
      </c>
      <c r="H85" s="266" t="n">
        <v>-31591</v>
      </c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/>
      <c r="E90" s="266" t="n">
        <v>740834</v>
      </c>
      <c r="F90" s="266" t="n">
        <v>567234</v>
      </c>
      <c r="G90" s="266" t="n">
        <v>624151</v>
      </c>
      <c r="H90" s="266" t="n">
        <v>469317</v>
      </c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>
        <v>291.66</v>
      </c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>
        <v>2697.03</v>
      </c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>
        <v>1.059</v>
      </c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>
        <v>0.0442</v>
      </c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>
        <v>0.055</v>
      </c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>
        <v>0.15</v>
      </c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>
        <v>0.1629</v>
      </c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>
        <v>0.6114000000000001</v>
      </c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>
        <v>0.3886</v>
      </c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>
        <v>0.025</v>
      </c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>
        <v>365</v>
      </c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inlineStr">
        <is>
          <t>JPMorgan Chase &amp; Co.</t>
        </is>
      </c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inlineStr">
        <is>
          <t>JPM</t>
        </is>
      </c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inlineStr">
        <is>
          <t>Financial Services</t>
        </is>
      </c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>
        <v>2025</v>
      </c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inlineStr">
        <is>
          <t>USD</t>
        </is>
      </c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inlineStr">
        <is>
          <t>M</t>
        </is>
      </c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inlineStr">
        <is>
          <t>2026-03-27</t>
        </is>
      </c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51" t="n"/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</row>
    <row r="130" ht="15" customHeight="1">
      <c r="B130" s="51" t="n"/>
    </row>
    <row r="131" ht="15" customHeight="1">
      <c r="B131" s="51" t="n"/>
    </row>
    <row r="132" ht="15" customHeight="1">
      <c r="B132" s="51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$F$128&lt;5</formula>
    </cfRule>
  </conditionalFormatting>
  <conditionalFormatting sqref="E1:E122">
    <cfRule type="expression" priority="7" dxfId="0">
      <formula>$F$128&lt;4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$F$128&lt;2</formula>
    </cfRule>
  </conditionalFormatting>
  <conditionalFormatting sqref="H1:H122">
    <cfRule type="expression" priority="10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50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IF(INPUT!D5="","",INPUT!D5)</f>
        <v/>
      </c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>
      <c r="D90" s="22">
        <f>IF(INPUT!D9="",NA(),D5)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G86/1000</f>
        <v/>
      </c>
      <c r="H92" s="433">
        <f>H86/1000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G87/1000</f>
        <v/>
      </c>
      <c r="H93" s="433">
        <f>H87/1000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G88/1000</f>
        <v/>
      </c>
      <c r="H94" s="433">
        <f>H88/1000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IF(INPUT!D5="","",INPUT!D5)</f>
        <v/>
      </c>
      <c r="E5" s="138">
        <f>IF(INPUT!E5="","",INPUT!E5)</f>
        <v/>
      </c>
      <c r="F5" s="138">
        <f>IF(INPUT!F5="","",INPUT!F5)</f>
        <v/>
      </c>
      <c r="G5" s="138">
        <f>IF(INPUT!G5="","",INPUT!G5)</f>
        <v/>
      </c>
      <c r="H5" s="138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IF(INPUT!H5="","",INPUT!H5)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E26" sqref="E26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tabSelected="1" zoomScale="79" zoomScaleNormal="100" workbookViewId="0">
      <selection activeCell="N9" sqref="N9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Bank of America Corporation</t>
        </is>
      </c>
      <c r="C9" s="9" t="inlineStr">
        <is>
          <t>BAC</t>
        </is>
      </c>
      <c r="D9" s="477" t="n">
        <v>48.24</v>
      </c>
      <c r="E9" s="36" t="n">
        <v>369104.16</v>
      </c>
      <c r="F9" s="36" t="n">
        <v>107422</v>
      </c>
      <c r="G9" s="36" t="n"/>
      <c r="H9" s="478">
        <f>IFERROR(E9/G9,"–")</f>
        <v/>
      </c>
      <c r="I9" s="478">
        <f>IFERROR(E9/F9,"–")</f>
        <v/>
      </c>
      <c r="J9" s="479" t="n"/>
      <c r="K9" s="477" t="n">
        <v>3.81</v>
      </c>
      <c r="L9" s="478">
        <f>IFERROR(D9/K9,"–")</f>
        <v/>
      </c>
    </row>
    <row r="10" ht="15" customHeight="1">
      <c r="A10" s="3" t="n"/>
      <c r="B10" s="41" t="inlineStr">
        <is>
          <t>Wells Fargo &amp; Company</t>
        </is>
      </c>
      <c r="C10" s="9" t="inlineStr">
        <is>
          <t>WFC</t>
        </is>
      </c>
      <c r="D10" s="477" t="n">
        <v>79.02</v>
      </c>
      <c r="E10" s="36" t="n">
        <v>256652.94</v>
      </c>
      <c r="F10" s="36" t="n">
        <v>80041</v>
      </c>
      <c r="G10" s="36" t="n"/>
      <c r="H10" s="478">
        <f>IFERROR(E10/G10,"–")</f>
        <v/>
      </c>
      <c r="I10" s="478">
        <f>IFERROR(E10/F10,"–")</f>
        <v/>
      </c>
      <c r="J10" s="479" t="n"/>
      <c r="K10" s="477" t="n">
        <v>6.26</v>
      </c>
      <c r="L10" s="478">
        <f>IFERROR(D10/K10,"–")</f>
        <v/>
      </c>
    </row>
    <row r="11" ht="15" customHeight="1">
      <c r="A11" s="3" t="n"/>
      <c r="B11" s="41" t="inlineStr">
        <is>
          <t>The Goldman Sachs Group, Inc.</t>
        </is>
      </c>
      <c r="C11" s="9" t="inlineStr">
        <is>
          <t>GS</t>
        </is>
      </c>
      <c r="D11" s="477" t="n">
        <v>822.64</v>
      </c>
      <c r="E11" s="36" t="n">
        <v>20211.43</v>
      </c>
      <c r="F11" s="36" t="n">
        <v>59396</v>
      </c>
      <c r="G11" s="36" t="n"/>
      <c r="H11" s="478">
        <f>IFERROR(E11/G11,"–")</f>
        <v/>
      </c>
      <c r="I11" s="478">
        <f>IFERROR(E11/F11,"–")</f>
        <v/>
      </c>
      <c r="J11" s="479" t="n"/>
      <c r="K11" s="477" t="n">
        <v>51.33</v>
      </c>
      <c r="L11" s="478">
        <f>IFERROR(D11/K11,"–")</f>
        <v/>
      </c>
    </row>
    <row r="12" ht="15" customHeight="1">
      <c r="A12" s="3" t="n"/>
      <c r="B12" s="41" t="inlineStr">
        <is>
          <t>Morgan Stanley</t>
        </is>
      </c>
      <c r="C12" s="9" t="inlineStr">
        <is>
          <t>MS</t>
        </is>
      </c>
      <c r="D12" s="477" t="n">
        <v>163.23</v>
      </c>
      <c r="E12" s="36" t="n">
        <v>182973.42</v>
      </c>
      <c r="F12" s="36" t="n">
        <v>70296</v>
      </c>
      <c r="G12" s="36" t="n"/>
      <c r="H12" s="478">
        <f>IFERROR(E12/G12,"–")</f>
        <v/>
      </c>
      <c r="I12" s="478">
        <f>IFERROR(E12/F12,"–")</f>
        <v/>
      </c>
      <c r="J12" s="479" t="n"/>
      <c r="K12" s="477" t="n">
        <v>10.2</v>
      </c>
      <c r="L12" s="478">
        <f>IFERROR(D12/K12,"–")</f>
        <v/>
      </c>
    </row>
    <row r="13" ht="15" customHeight="1">
      <c r="A13" s="3" t="n"/>
      <c r="B13" s="41" t="inlineStr">
        <is>
          <t>Citigroup Inc.</t>
        </is>
      </c>
      <c r="C13" s="9" t="inlineStr">
        <is>
          <t>C</t>
        </is>
      </c>
      <c r="D13" s="480" t="n">
        <v>112.41</v>
      </c>
      <c r="E13" s="71" t="n">
        <v>5722.95</v>
      </c>
      <c r="F13" s="71" t="n">
        <v>75716</v>
      </c>
      <c r="G13" s="71" t="n"/>
      <c r="H13" s="481">
        <f>IFERROR(E13/G13,"–")</f>
        <v/>
      </c>
      <c r="I13" s="481">
        <f>IFERROR(E13/F13,"–")</f>
        <v/>
      </c>
      <c r="J13" s="482" t="n"/>
      <c r="K13" s="480" t="n">
        <v>6.99</v>
      </c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TEXT(INPUT!D117,"0")</f>
        <v/>
      </c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C1:C200">
    <cfRule type="expression" priority="1" dxfId="0">
      <formula>INPUT!$F$128&lt;5</formula>
    </cfRule>
  </conditionalFormatting>
  <conditionalFormatting sqref="D1:D200">
    <cfRule type="expression" priority="2" dxfId="0">
      <formula>INPUT!$F$128&lt;5</formula>
    </cfRule>
  </conditionalFormatting>
  <conditionalFormatting sqref="E1:E200">
    <cfRule type="expression" priority="3" dxfId="0">
      <formula>INPUT!$F$128&lt;4</formula>
    </cfRule>
  </conditionalFormatting>
  <conditionalFormatting sqref="F1:F200">
    <cfRule type="expression" priority="4" dxfId="0">
      <formula>INPUT!$F$128&lt;3</formula>
    </cfRule>
  </conditionalFormatting>
  <conditionalFormatting sqref="G1:G200">
    <cfRule type="expression" priority="5" dxfId="0">
      <formula>INPUT!$F$128&lt;2</formula>
    </cfRule>
  </conditionalFormatting>
  <conditionalFormatting sqref="H1:H200">
    <cfRule type="expression" priority="6" dxfId="0">
      <formula>INPUT!$F$128&lt;1</formula>
    </cfRule>
  </conditionalFormatting>
  <conditionalFormatting sqref="J1:J200">
    <cfRule type="expression" priority="7" dxfId="0">
      <formula>INPUT!$F$128&lt;5</formula>
    </cfRule>
  </conditionalFormatting>
  <conditionalFormatting sqref="K1:K200">
    <cfRule type="expression" priority="8" dxfId="0">
      <formula>INPUT!$F$128&lt;4</formula>
    </cfRule>
  </conditionalFormatting>
  <conditionalFormatting sqref="L1:L200">
    <cfRule type="expression" priority="9" dxfId="0">
      <formula>INPUT!$F$128&lt;3</formula>
    </cfRule>
  </conditionalFormatting>
  <conditionalFormatting sqref="M1:M200">
    <cfRule type="expression" priority="10" dxfId="0">
      <formula>INPUT!$F$128&lt;2</formula>
    </cfRule>
  </conditionalFormatting>
  <conditionalFormatting sqref="N1:N200">
    <cfRule type="expression" priority="11" dxfId="0">
      <formula>INPUT!$F$128&lt;1</formula>
    </cfRule>
  </conditionalFormatting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1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conditionalFormatting sqref="T1:T200">
    <cfRule type="expression" priority="1" dxfId="0">
      <formula>INPUT!$F$128&lt;5</formula>
    </cfRule>
  </conditionalFormatting>
  <conditionalFormatting sqref="U1:U200">
    <cfRule type="expression" priority="2" dxfId="0">
      <formula>INPUT!$F$128&lt;4</formula>
    </cfRule>
  </conditionalFormatting>
  <conditionalFormatting sqref="V1:V200">
    <cfRule type="expression" priority="3" dxfId="0">
      <formula>INPUT!$F$128&lt;3</formula>
    </cfRule>
  </conditionalFormatting>
  <conditionalFormatting sqref="W1:W200">
    <cfRule type="expression" priority="4" dxfId="0">
      <formula>INPUT!$F$128&lt;2</formula>
    </cfRule>
  </conditionalFormatting>
  <conditionalFormatting sqref="X1:X200">
    <cfRule type="expression" priority="5" dxfId="0">
      <formula>INPUT!$F$128&lt;1</formula>
    </cfRule>
  </conditionalFormatting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Apr-25</t>
        </is>
      </c>
      <c r="C3" s="536" t="n">
        <v>239.7</v>
      </c>
    </row>
    <row r="4">
      <c r="A4" s="286" t="n">
        <v>2</v>
      </c>
      <c r="B4" t="inlineStr">
        <is>
          <t>May-25</t>
        </is>
      </c>
      <c r="C4" s="536" t="n">
        <v>260.29</v>
      </c>
    </row>
    <row r="5">
      <c r="A5" s="286" t="n">
        <v>3</v>
      </c>
      <c r="B5" t="inlineStr">
        <is>
          <t>Jun-25</t>
        </is>
      </c>
      <c r="C5" s="536" t="n">
        <v>285.83</v>
      </c>
    </row>
    <row r="6">
      <c r="A6" s="286" t="n">
        <v>4</v>
      </c>
      <c r="B6" t="inlineStr">
        <is>
          <t>Jul-25</t>
        </is>
      </c>
      <c r="C6" s="536" t="n">
        <v>292.08</v>
      </c>
    </row>
    <row r="7">
      <c r="A7" s="286" t="n">
        <v>5</v>
      </c>
      <c r="B7" t="inlineStr">
        <is>
          <t>Aug-25</t>
        </is>
      </c>
      <c r="C7" s="536" t="n">
        <v>298.61</v>
      </c>
    </row>
    <row r="8">
      <c r="A8" s="286" t="n">
        <v>6</v>
      </c>
      <c r="B8" t="inlineStr">
        <is>
          <t>Sep-25</t>
        </is>
      </c>
      <c r="C8" s="536" t="n">
        <v>312.49</v>
      </c>
    </row>
    <row r="9">
      <c r="A9" s="286" t="n">
        <v>7</v>
      </c>
      <c r="B9" t="inlineStr">
        <is>
          <t>Oct-25</t>
        </is>
      </c>
      <c r="C9" s="536" t="n">
        <v>308.22</v>
      </c>
    </row>
    <row r="10">
      <c r="A10" s="286" t="n">
        <v>8</v>
      </c>
      <c r="B10" t="inlineStr">
        <is>
          <t>Nov-25</t>
        </is>
      </c>
      <c r="C10" s="536" t="n">
        <v>311.67</v>
      </c>
    </row>
    <row r="11">
      <c r="A11" s="286" t="n">
        <v>9</v>
      </c>
      <c r="B11" t="inlineStr">
        <is>
          <t>Dec-25</t>
        </is>
      </c>
      <c r="C11" s="536" t="n">
        <v>320.77</v>
      </c>
    </row>
    <row r="12">
      <c r="A12" s="286" t="n">
        <v>10</v>
      </c>
      <c r="B12" t="inlineStr">
        <is>
          <t>Jan-26</t>
        </is>
      </c>
      <c r="C12" s="536" t="n">
        <v>304.52</v>
      </c>
    </row>
    <row r="13">
      <c r="A13" s="286" t="n">
        <v>11</v>
      </c>
      <c r="B13" t="inlineStr">
        <is>
          <t>Feb-26</t>
        </is>
      </c>
      <c r="C13" s="536" t="n">
        <v>300.3</v>
      </c>
    </row>
    <row r="14">
      <c r="A14" s="286" t="n">
        <v>12</v>
      </c>
      <c r="B14" t="inlineStr">
        <is>
          <t>Mar-26</t>
        </is>
      </c>
      <c r="C14" s="536" t="n">
        <v>291.66</v>
      </c>
    </row>
    <row r="15">
      <c r="A15" s="286" t="n">
        <v>13</v>
      </c>
      <c r="C15" s="536" t="n"/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2026-03-27T05:35:47Z</dcterms:modified>
  <cp:lastModifiedBy>Baptiste jeh</cp:lastModifiedBy>
  <cp:lastPrinted>2026-03-07T11:51:18Z</cp:lastPrinted>
</cp:coreProperties>
</file>