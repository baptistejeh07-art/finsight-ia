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0" windowWidth="29040" windowHeight="15720" tabRatio="701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RATIOS" sheetId="2" state="visible" r:id="rId2"/>
    <sheet xmlns:r="http://schemas.openxmlformats.org/officeDocument/2006/relationships" name="ALTMAN Z-SCORE" sheetId="3" state="visible" r:id="rId3"/>
    <sheet xmlns:r="http://schemas.openxmlformats.org/officeDocument/2006/relationships" name="BENEISH M-SCORE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COMPARABLES" sheetId="6" state="visible" r:id="rId6"/>
    <sheet xmlns:r="http://schemas.openxmlformats.org/officeDocument/2006/relationships" name="SCENARIO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DASHBOARD 2" sheetId="9" state="visible" r:id="rId9"/>
    <sheet xmlns:r="http://schemas.openxmlformats.org/officeDocument/2006/relationships" name="STOCK_DATA" sheetId="10" state="hidden" r:id="rId10"/>
    <sheet xmlns:r="http://schemas.openxmlformats.org/officeDocument/2006/relationships" name="SECTOR_REF" sheetId="11" state="hidden" r:id="rId11"/>
  </sheets>
  <definedNames>
    <definedName name="_xlnm.Print_Area" localSheetId="0">'INPUT'!$A$1:$H$126</definedName>
    <definedName name="_xlnm.Print_Area" localSheetId="1">'RATIOS'!$A$1:$H$70</definedName>
    <definedName name="_xlnm.Print_Area" localSheetId="2">'ALTMAN Z-SCORE'!$A$1:$H$44</definedName>
    <definedName name="_xlnm.Print_Area" localSheetId="3">'BENEISH M-SCORE'!$A$1:$F$57</definedName>
    <definedName name="_xlnm.Print_Area" localSheetId="4">'DCF'!$A$1:$L$115</definedName>
    <definedName name="_xlnm.Print_Area" localSheetId="5">'COMPARABLES'!$A$1:$L$45</definedName>
    <definedName name="_xlnm.Print_Area" localSheetId="6">'SCENARIOS'!$A$1:$I$55</definedName>
    <definedName name="_xlnm.Print_Area" localSheetId="7">'DASHBOARD'!$A$1:$N$94</definedName>
    <definedName name="_xlnm.Print_Area" localSheetId="8">'DASHBOARD 2'!$A$1:$P$107</definedName>
  </definedNames>
  <calcPr calcId="191029" fullCalcOnLoad="1"/>
</workbook>
</file>

<file path=xl/styles.xml><?xml version="1.0" encoding="utf-8"?>
<styleSheet xmlns="http://schemas.openxmlformats.org/spreadsheetml/2006/main">
  <numFmts count="24">
    <numFmt numFmtId="164" formatCode="#,##0\ &quot;€&quot;;[Red]\-#,##0\ &quot;€&quot;"/>
    <numFmt numFmtId="165" formatCode="_(#,##0_);\(#,##0\);_(&quot;–&quot;_);_(@_)"/>
    <numFmt numFmtId="166" formatCode="_(0_);\(0\);_(&quot;–&quot;_);_(@_)"/>
    <numFmt numFmtId="167" formatCode="_(0.000_);\(0.000\);_(&quot;–&quot;_);_(@_)"/>
    <numFmt numFmtId="168" formatCode="_(#,##0.0%_);\(#,##0.0%\);_(&quot;–&quot;_);_(@_)"/>
    <numFmt numFmtId="169" formatCode="_(#,##0.00_);\(#,##0.00\);_(&quot;–&quot;_);_(@_)"/>
    <numFmt numFmtId="170" formatCode="0.0%"/>
    <numFmt numFmtId="171" formatCode="_(* #,##0_);_(* \(#,##0\);_(* &quot;-&quot;??_);_(@_)"/>
    <numFmt numFmtId="172" formatCode="_(#,##0%_);\(#,##0%\);_(&quot;–&quot;_);_(@_)"/>
    <numFmt numFmtId="173" formatCode="_-* #,##0.00_-;\-* #,##0.00_-;_-* &quot;-&quot;??_-;_-@_-"/>
    <numFmt numFmtId="174" formatCode="&quot;€&quot;#,##0;\(&quot;€&quot;#,##0\);\-"/>
    <numFmt numFmtId="175" formatCode="0.0\x"/>
    <numFmt numFmtId="176" formatCode="&quot;€&quot;#,##0.00"/>
    <numFmt numFmtId="177" formatCode="0.0"/>
    <numFmt numFmtId="178" formatCode="_(0.00_);\(0.00\);_(&quot;–&quot;_);_(@_)"/>
    <numFmt numFmtId="179" formatCode="&quot;€&quot;#,##0.00;\(&quot;€&quot;#,##0.00\);\-"/>
    <numFmt numFmtId="180" formatCode="_(0.0\x_);\(0.0\x\);_(&quot;–&quot;_);_(@_)"/>
    <numFmt numFmtId="181" formatCode="_(#,##0.0_);\(#,##0.0\);_(&quot;–&quot;_);_(@_)"/>
    <numFmt numFmtId="182" formatCode="0.000"/>
    <numFmt numFmtId="183" formatCode="&quot;€&quot;#,##0"/>
    <numFmt numFmtId="184" formatCode="&quot;€&quot;#,##0_);\(&quot;€&quot;#,##0\)"/>
    <numFmt numFmtId="185" formatCode="0.00\x"/>
    <numFmt numFmtId="186" formatCode=";;;"/>
    <numFmt numFmtId="187" formatCode="_(&quot;$&quot;* #,##0.00_);_(&quot;$&quot;* \(#,##0.00\);_(&quot;$&quot;* &quot;-&quot;??_);_(@_)"/>
  </numFmts>
  <fonts count="118">
    <font>
      <name val="Aptos Narrow"/>
      <family val="2"/>
      <color theme="1"/>
      <sz val="11"/>
      <scheme val="minor"/>
    </font>
    <font>
      <name val="Aptos Narrow"/>
      <family val="2"/>
      <color rgb="FFFFFFFF"/>
      <sz val="11"/>
      <scheme val="minor"/>
    </font>
    <font>
      <name val="Aptos Narrow"/>
      <family val="2"/>
      <color theme="1"/>
      <sz val="10"/>
      <scheme val="minor"/>
    </font>
    <font>
      <name val="Open Sans"/>
      <family val="2"/>
      <color rgb="FF000000"/>
      <sz val="10"/>
    </font>
    <font>
      <name val="Open Sans"/>
      <family val="2"/>
      <b val="1"/>
      <color rgb="FF132E57"/>
      <sz val="10"/>
    </font>
    <font>
      <name val="Open Sans"/>
      <family val="2"/>
      <color rgb="FFFFFFFF"/>
      <sz val="9"/>
    </font>
    <font>
      <name val="Open Sans"/>
      <family val="2"/>
      <color theme="1"/>
      <sz val="10"/>
    </font>
    <font>
      <name val="Open Sans"/>
      <family val="2"/>
      <b val="1"/>
      <color rgb="FFFFFFFF"/>
      <sz val="10"/>
    </font>
    <font>
      <name val="Open Sans"/>
      <family val="2"/>
      <b val="1"/>
      <color rgb="FF3271D2"/>
      <sz val="10"/>
    </font>
    <font>
      <name val="Open Sans"/>
      <family val="2"/>
      <color rgb="FF3271D2"/>
      <sz val="10"/>
    </font>
    <font>
      <name val="Open Sans"/>
      <family val="2"/>
      <b val="1"/>
      <color theme="1"/>
      <sz val="10"/>
    </font>
    <font>
      <name val="Open Sans"/>
      <family val="2"/>
      <i val="1"/>
      <color rgb="FF595959"/>
      <sz val="10"/>
    </font>
    <font>
      <name val="Open Sans"/>
      <family val="2"/>
      <color rgb="FFFFFFFF"/>
      <sz val="10"/>
    </font>
    <font>
      <name val="Open Sans"/>
      <family val="2"/>
      <b val="1"/>
      <color rgb="FF000000"/>
      <sz val="10"/>
    </font>
    <font>
      <name val="Open Sans"/>
      <family val="2"/>
      <color rgb="FF000000"/>
      <sz val="9"/>
    </font>
    <font>
      <name val="Open Sans"/>
      <family val="2"/>
      <i val="1"/>
      <color rgb="FF3271D2"/>
      <sz val="10"/>
    </font>
    <font>
      <name val="Open Sans"/>
      <family val="2"/>
      <b val="1"/>
      <color rgb="FF1B3E70"/>
      <sz val="10"/>
    </font>
    <font>
      <name val="Open Sans"/>
      <family val="2"/>
      <color rgb="FF276221"/>
      <sz val="10"/>
    </font>
    <font>
      <name val="Open Sans"/>
      <family val="2"/>
      <color rgb="FF9C0006"/>
      <sz val="10"/>
    </font>
    <font>
      <name val="Open Sans"/>
      <family val="2"/>
      <b val="1"/>
      <color rgb="FF3271D2"/>
      <sz val="14"/>
    </font>
    <font>
      <name val="Open Sans"/>
      <family val="2"/>
      <color rgb="FF595959"/>
      <sz val="8"/>
    </font>
    <font>
      <name val="Open Sans"/>
      <family val="2"/>
      <b val="1"/>
      <color rgb="FF595959"/>
      <sz val="8"/>
    </font>
    <font>
      <name val="Open Sans"/>
      <family val="2"/>
      <i val="1"/>
      <color rgb="FF000000"/>
      <sz val="9"/>
    </font>
    <font>
      <name val="Aptos Narrow"/>
      <family val="2"/>
      <b val="1"/>
      <color rgb="FF3271D2"/>
      <sz val="14"/>
      <scheme val="minor"/>
    </font>
    <font>
      <name val="Open Sans"/>
      <family val="2"/>
      <color rgb="FF132E57"/>
      <sz val="10"/>
    </font>
    <font>
      <name val="Open Sans"/>
      <family val="2"/>
      <i val="1"/>
      <color rgb="FF595959"/>
      <sz val="9"/>
    </font>
    <font>
      <name val="Open Sans"/>
      <family val="2"/>
      <b val="1"/>
      <color rgb="FF3271D2"/>
      <sz val="12"/>
    </font>
    <font>
      <name val="Aptos Narrow"/>
      <family val="2"/>
      <color rgb="FF595959"/>
      <sz val="9"/>
      <scheme val="minor"/>
    </font>
    <font>
      <name val="Open Sans"/>
      <family val="2"/>
      <color rgb="FF132E57"/>
      <sz val="9"/>
    </font>
    <font>
      <name val="Open Sans"/>
      <family val="2"/>
      <b val="1"/>
      <color rgb="FF132E57"/>
      <sz val="8"/>
    </font>
    <font>
      <name val="Aptos Narrow"/>
      <family val="2"/>
      <b val="1"/>
      <color rgb="FF132E57"/>
      <sz val="11"/>
      <scheme val="minor"/>
    </font>
    <font>
      <name val="Aptos Narrow"/>
      <family val="2"/>
      <b val="1"/>
      <color rgb="FF132E57"/>
      <sz val="10"/>
      <scheme val="minor"/>
    </font>
    <font>
      <name val="Aptos Narrow"/>
      <family val="2"/>
      <b val="1"/>
      <color rgb="FF132E57"/>
      <sz val="9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FFFF"/>
      <sz val="11"/>
      <scheme val="minor"/>
    </font>
    <font>
      <name val="Open Sans"/>
      <family val="2"/>
      <color rgb="FF000000"/>
      <sz val="10"/>
    </font>
    <font>
      <name val="Open Sans"/>
      <family val="2"/>
      <b val="1"/>
      <color rgb="FF000000"/>
      <sz val="10"/>
    </font>
    <font>
      <name val="Open Sans"/>
      <family val="2"/>
      <color rgb="FF595959"/>
      <sz val="8"/>
    </font>
    <font>
      <name val="Open Sans"/>
      <family val="2"/>
      <b val="1"/>
      <color rgb="FFFFFFFF"/>
      <sz val="10"/>
    </font>
    <font>
      <name val="Open Sans"/>
      <family val="2"/>
      <b val="1"/>
      <color rgb="FFFFFFFF"/>
      <sz val="18"/>
    </font>
    <font>
      <name val="Open Sans"/>
      <family val="2"/>
      <color rgb="FF3271D2"/>
      <sz val="10"/>
    </font>
    <font>
      <name val="Aptos Narrow"/>
      <family val="2"/>
      <b val="1"/>
      <color rgb="FFFFFFFF"/>
      <sz val="10"/>
      <scheme val="minor"/>
    </font>
    <font>
      <name val="Open Sans"/>
      <family val="2"/>
      <b val="1"/>
      <color rgb="FF000000"/>
      <sz val="12"/>
    </font>
    <font>
      <name val="Open Sans"/>
      <family val="2"/>
      <color rgb="FF000000"/>
      <sz val="8"/>
    </font>
    <font>
      <name val="Open Sans"/>
      <family val="2"/>
      <i val="1"/>
      <color rgb="FF000000"/>
      <sz val="10"/>
    </font>
    <font>
      <name val="Open Sans"/>
      <family val="2"/>
      <b val="1"/>
      <color rgb="FF3271D2"/>
      <sz val="10"/>
    </font>
    <font>
      <name val="Open Sans"/>
      <family val="2"/>
      <b val="1"/>
      <color rgb="FF132E57"/>
      <sz val="10"/>
    </font>
    <font>
      <name val="Open Sans"/>
      <family val="2"/>
      <color rgb="FF000000"/>
      <sz val="14"/>
    </font>
    <font>
      <name val="Open Sans"/>
      <family val="2"/>
      <color rgb="FFFFFFFF"/>
      <sz val="10"/>
    </font>
    <font>
      <name val="Open Sans"/>
      <family val="2"/>
      <b val="1"/>
      <color rgb="FF3271D2"/>
      <sz val="14"/>
    </font>
    <font>
      <name val="Open Sans"/>
      <family val="2"/>
      <color theme="1"/>
      <sz val="10"/>
    </font>
    <font>
      <name val="Open Sans"/>
      <family val="2"/>
      <color rgb="FF0000FF"/>
      <sz val="10"/>
    </font>
    <font>
      <name val="Aptos Narrow"/>
      <family val="2"/>
      <color rgb="FF000000"/>
      <sz val="10"/>
      <scheme val="minor"/>
    </font>
    <font>
      <name val="Open Sans"/>
      <family val="2"/>
      <sz val="11"/>
    </font>
    <font>
      <name val="Arial"/>
      <family val="2"/>
      <color theme="10"/>
      <sz val="10"/>
      <u val="single"/>
    </font>
    <font>
      <name val="Open Sans"/>
      <family val="2"/>
      <color theme="1"/>
      <sz val="11"/>
    </font>
    <font>
      <name val="Arial"/>
      <family val="2"/>
      <sz val="10"/>
    </font>
    <font>
      <name val="Open Sans"/>
      <family val="2"/>
      <color theme="1"/>
      <sz val="14"/>
    </font>
    <font>
      <name val="Open Sans"/>
      <family val="2"/>
      <b val="1"/>
      <color theme="1"/>
      <sz val="10"/>
    </font>
    <font>
      <name val="Aptos Narrow"/>
      <family val="2"/>
      <i val="1"/>
      <color theme="1"/>
      <sz val="9"/>
      <scheme val="minor"/>
    </font>
    <font>
      <name val="Open Sans"/>
      <family val="2"/>
      <i val="1"/>
      <color theme="1"/>
      <sz val="9"/>
    </font>
    <font>
      <name val="Open Sans"/>
      <family val="2"/>
      <color rgb="FFFFFFFF"/>
      <sz val="11"/>
    </font>
    <font>
      <name val="Aptos Narrow"/>
      <family val="2"/>
      <b val="1"/>
      <color rgb="FF000000"/>
      <sz val="10"/>
      <scheme val="minor"/>
    </font>
    <font>
      <name val="Aptos Narrow"/>
      <family val="2"/>
      <color rgb="FF3271D2"/>
      <sz val="10"/>
      <scheme val="minor"/>
    </font>
    <font>
      <name val="Open Sans"/>
      <family val="2"/>
      <color theme="1"/>
      <sz val="12"/>
    </font>
    <font>
      <name val="Open Sans"/>
      <family val="2"/>
      <b val="1"/>
      <color theme="1"/>
      <sz val="12"/>
    </font>
    <font>
      <name val="Open Sans"/>
      <family val="2"/>
      <color rgb="FF000000"/>
      <sz val="12"/>
    </font>
    <font>
      <name val="Open Sans"/>
      <family val="2"/>
      <color theme="0" tint="-0.499984740745262"/>
      <sz val="12"/>
    </font>
    <font>
      <name val="Open Sans"/>
      <family val="2"/>
      <color theme="1" tint="0.499984740745262"/>
      <sz val="12"/>
    </font>
    <font>
      <name val="Aptos Narrow"/>
      <family val="2"/>
      <i val="1"/>
      <color rgb="FFA3A3A3"/>
      <sz val="9"/>
      <scheme val="minor"/>
    </font>
    <font>
      <name val="Segoe UI"/>
      <family val="2"/>
      <color rgb="FF141413"/>
      <sz val="11"/>
    </font>
    <font>
      <name val="Aptos Narrow"/>
      <family val="2"/>
      <i val="1"/>
      <color theme="1"/>
      <sz val="11"/>
      <scheme val="minor"/>
    </font>
    <font>
      <name val="Aptos Narrow"/>
      <family val="2"/>
      <i val="1"/>
      <color rgb="FF595959"/>
      <sz val="11"/>
      <scheme val="minor"/>
    </font>
    <font>
      <name val="Open Sans"/>
      <family val="2"/>
      <color theme="0"/>
      <sz val="11"/>
    </font>
    <font>
      <name val="Open Sans"/>
      <family val="2"/>
      <color theme="0"/>
      <sz val="12"/>
    </font>
    <font>
      <name val="Open Sans"/>
      <family val="2"/>
      <b val="1"/>
      <color theme="1"/>
      <sz val="11"/>
    </font>
    <font>
      <name val="Open Sans"/>
      <family val="2"/>
      <i val="1"/>
      <color rgb="FFFFFFFF"/>
      <sz val="10"/>
    </font>
    <font>
      <name val="Open Sans"/>
      <family val="2"/>
      <i val="1"/>
      <color theme="1"/>
      <sz val="10"/>
    </font>
    <font>
      <name val="Open Sans"/>
      <family val="2"/>
      <b val="1"/>
      <i val="1"/>
      <color rgb="FF3271D2"/>
      <sz val="14"/>
    </font>
    <font>
      <name val="Open Sans"/>
      <family val="2"/>
      <b val="1"/>
      <i val="1"/>
      <color rgb="FF132E57"/>
      <sz val="10"/>
    </font>
    <font>
      <name val="Open Sans"/>
      <family val="2"/>
      <b val="1"/>
      <color rgb="FFCCCCCC"/>
      <sz val="10"/>
    </font>
    <font>
      <name val="Open Sans"/>
      <family val="2"/>
      <color rgb="FFAAAAAA"/>
      <sz val="10"/>
    </font>
    <font>
      <name val="Open Sans"/>
      <family val="2"/>
      <b val="1"/>
      <color rgb="FF132E57"/>
      <sz val="9"/>
    </font>
    <font>
      <name val="Aptos Narrow"/>
      <family val="2"/>
      <color theme="0"/>
      <sz val="11"/>
      <scheme val="minor"/>
    </font>
    <font>
      <name val="Aptos Narrow"/>
      <family val="2"/>
      <color theme="0"/>
      <sz val="10"/>
      <scheme val="minor"/>
    </font>
    <font>
      <name val="Aptos Narrow"/>
      <family val="2"/>
      <color rgb="FFFFFFFF"/>
      <sz val="1"/>
      <scheme val="minor"/>
    </font>
    <font>
      <name val="Open Sans"/>
      <family val="2"/>
      <b val="1"/>
      <color rgb="FFFFFFFF"/>
      <sz val="14"/>
    </font>
    <font>
      <name val="Open Sans"/>
      <family val="2"/>
      <b val="1"/>
      <color rgb="FFFFFFFF"/>
      <sz val="8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rgb="FF3271D2"/>
      <sz val="10"/>
      <scheme val="minor"/>
    </font>
    <font>
      <name val="Open Sans"/>
      <family val="2"/>
      <b val="1"/>
      <color rgb="FFE7F2FF"/>
      <sz val="14"/>
    </font>
    <font>
      <name val="Open Sans"/>
      <family val="2"/>
      <color rgb="FFFFFFFF"/>
      <sz val="8"/>
    </font>
    <font>
      <name val="Open Sans"/>
      <family val="2"/>
      <color theme="0"/>
      <sz val="14"/>
    </font>
    <font>
      <name val="Open Sans"/>
      <family val="2"/>
      <color theme="0"/>
      <sz val="8"/>
    </font>
    <font>
      <name val="Open Sans"/>
      <family val="2"/>
      <b val="1"/>
      <color theme="0"/>
      <sz val="8"/>
    </font>
    <font>
      <name val="Open Sans"/>
      <family val="2"/>
      <b val="1"/>
      <color theme="0"/>
      <sz val="14"/>
    </font>
    <font>
      <name val="Open Sans"/>
      <family val="2"/>
      <b val="1"/>
      <color theme="0"/>
      <sz val="10"/>
    </font>
    <font>
      <name val="Open Sans"/>
      <family val="2"/>
      <color theme="0"/>
      <sz val="10"/>
    </font>
    <font>
      <name val="Open Sans"/>
      <family val="2"/>
      <b val="1"/>
      <color rgb="FFD9E5F7"/>
      <sz val="8"/>
    </font>
    <font>
      <name val="Aptos Narrow"/>
      <family val="2"/>
      <color rgb="FF000000"/>
      <sz val="11"/>
      <scheme val="minor"/>
    </font>
    <font>
      <name val="Open Sans"/>
      <family val="2"/>
      <sz val="10"/>
    </font>
    <font>
      <name val="Aptos Narrow"/>
      <family val="2"/>
      <b val="1"/>
      <color rgb="FF000000"/>
      <sz val="11"/>
      <scheme val="minor"/>
    </font>
    <font>
      <name val="Open Sans"/>
      <family val="2"/>
      <b val="1"/>
      <color rgb="FFD9E5F7"/>
      <sz val="10"/>
    </font>
    <font>
      <name val="Open Sans"/>
      <family val="2"/>
      <color rgb="FF000000"/>
      <sz val="11"/>
    </font>
    <font>
      <name val="Open Sans"/>
      <family val="2"/>
      <color rgb="FF1F2D3D"/>
      <sz val="11"/>
    </font>
    <font>
      <name val="Open Sans"/>
      <family val="2"/>
      <b val="1"/>
      <color rgb="FF1A1A2E"/>
      <sz val="10"/>
    </font>
    <font>
      <name val="Open Sans"/>
      <family val="2"/>
      <color rgb="FF1A1A2E"/>
      <sz val="10"/>
    </font>
    <font>
      <name val="Open Sans"/>
      <family val="2"/>
      <color rgb="FF1A1A2E"/>
      <sz val="11"/>
    </font>
    <font>
      <name val="Open Sans"/>
      <family val="2"/>
      <b val="1"/>
      <color rgb="FF1A1A2E"/>
      <sz val="11"/>
    </font>
    <font>
      <name val="Open Sans"/>
      <family val="2"/>
      <color rgb="FF555555"/>
      <sz val="10"/>
    </font>
    <font>
      <name val="Aptos Narrow"/>
      <family val="2"/>
      <color rgb="FF1A1A2E"/>
      <sz val="10"/>
      <scheme val="minor"/>
    </font>
    <font>
      <name val="Aptos Narrow"/>
      <family val="2"/>
      <sz val="10"/>
      <scheme val="minor"/>
    </font>
    <font>
      <name val="Open Sans"/>
      <family val="2"/>
      <b val="1"/>
      <color rgb="FF3271D2"/>
      <sz val="13"/>
    </font>
    <font>
      <name val="Aptos Narrow"/>
      <family val="2"/>
      <b val="1"/>
      <color rgb="FF1A1A2E"/>
      <sz val="10"/>
      <scheme val="minor"/>
    </font>
    <font>
      <name val="Aptos Narrow"/>
      <family val="2"/>
      <color rgb="FFFFFFFF"/>
      <sz val="10"/>
      <scheme val="minor"/>
    </font>
  </fonts>
  <fills count="11">
    <fill>
      <patternFill/>
    </fill>
    <fill>
      <patternFill patternType="gray125"/>
    </fill>
    <fill>
      <patternFill patternType="solid">
        <fgColor rgb="FFE7F2FF"/>
        <bgColor indexed="64"/>
      </patternFill>
    </fill>
    <fill>
      <patternFill patternType="solid">
        <fgColor rgb="FFD9E5F7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C3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3271D2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rgb="FFDDDDDD"/>
      </left>
      <right/>
      <top/>
      <bottom/>
      <diagonal/>
    </border>
  </borders>
  <cellStyleXfs count="8">
    <xf numFmtId="0" fontId="33" fillId="0" borderId="0"/>
    <xf numFmtId="43" fontId="33" fillId="0" borderId="0"/>
    <xf numFmtId="0" fontId="33" fillId="0" borderId="0"/>
    <xf numFmtId="0" fontId="55" fillId="0" borderId="0"/>
    <xf numFmtId="0" fontId="57" fillId="0" borderId="0"/>
    <xf numFmtId="187" fontId="33" fillId="0" borderId="0"/>
    <xf numFmtId="9" fontId="33" fillId="0" borderId="0"/>
    <xf numFmtId="0" fontId="33" fillId="0" borderId="0"/>
  </cellStyleXfs>
  <cellXfs count="643">
    <xf numFmtId="0" fontId="0" fillId="0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0" borderId="0" pivotButton="0" quotePrefix="0" xfId="0"/>
    <xf numFmtId="0" fontId="12" fillId="4" borderId="0" pivotButton="0" quotePrefix="0" xfId="0"/>
    <xf numFmtId="0" fontId="7" fillId="6" borderId="0" pivotButton="0" quotePrefix="0" xfId="0"/>
    <xf numFmtId="0" fontId="12" fillId="6" borderId="0" pivotButton="0" quotePrefix="0" xfId="0"/>
    <xf numFmtId="0" fontId="19" fillId="2" borderId="0" pivotButton="0" quotePrefix="0" xfId="0"/>
    <xf numFmtId="164" fontId="2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0" fontId="21" fillId="3" borderId="0" applyAlignment="1" pivotButton="0" quotePrefix="0" xfId="0">
      <alignment horizontal="center"/>
    </xf>
    <xf numFmtId="0" fontId="21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left"/>
    </xf>
    <xf numFmtId="0" fontId="22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19" fillId="2" borderId="0" applyAlignment="1" pivotButton="0" quotePrefix="0" xfId="0">
      <alignment horizontal="left"/>
    </xf>
    <xf numFmtId="0" fontId="4" fillId="3" borderId="0" applyAlignment="1" pivotButton="0" quotePrefix="0" xfId="0">
      <alignment horizontal="left"/>
    </xf>
    <xf numFmtId="0" fontId="6" fillId="0" borderId="0" applyAlignment="1" pivotButton="0" quotePrefix="0" xfId="0">
      <alignment horizontal="left" indent="1"/>
    </xf>
    <xf numFmtId="0" fontId="1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6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right"/>
    </xf>
    <xf numFmtId="0" fontId="19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right"/>
    </xf>
    <xf numFmtId="0" fontId="5" fillId="4" borderId="0" applyAlignment="1" pivotButton="0" quotePrefix="0" xfId="0">
      <alignment horizontal="right"/>
    </xf>
    <xf numFmtId="0" fontId="7" fillId="6" borderId="0" applyAlignment="1" pivotButton="0" quotePrefix="0" xfId="0">
      <alignment horizontal="left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7" fillId="6" borderId="0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12" fillId="4" borderId="0" applyAlignment="1" pivotButton="0" quotePrefix="0" xfId="0">
      <alignment horizontal="left"/>
    </xf>
    <xf numFmtId="0" fontId="12" fillId="4" borderId="0" applyAlignment="1" pivotButton="0" quotePrefix="0" xfId="0">
      <alignment horizontal="right"/>
    </xf>
    <xf numFmtId="0" fontId="4" fillId="3" borderId="0" applyAlignment="1" pivotButton="0" quotePrefix="0" xfId="0">
      <alignment horizontal="right" wrapText="1"/>
    </xf>
    <xf numFmtId="165" fontId="6" fillId="0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left" indent="1"/>
    </xf>
    <xf numFmtId="0" fontId="15" fillId="0" borderId="0" applyAlignment="1" pivotButton="0" quotePrefix="0" xfId="0">
      <alignment horizontal="left"/>
    </xf>
    <xf numFmtId="49" fontId="20" fillId="0" borderId="0" applyAlignment="1" pivotButton="0" quotePrefix="0" xfId="0">
      <alignment horizontal="center"/>
    </xf>
    <xf numFmtId="3" fontId="6" fillId="0" borderId="0" applyAlignment="1" pivotButton="0" quotePrefix="0" xfId="0">
      <alignment horizontal="right"/>
    </xf>
    <xf numFmtId="0" fontId="23" fillId="2" borderId="0" applyAlignment="1" pivotButton="0" quotePrefix="0" xfId="0">
      <alignment horizontal="right"/>
    </xf>
    <xf numFmtId="0" fontId="19" fillId="2" borderId="0" applyAlignment="1" pivotButton="0" quotePrefix="0" xfId="0">
      <alignment horizontal="center"/>
    </xf>
    <xf numFmtId="3" fontId="19" fillId="2" borderId="0" applyAlignment="1" pivotButton="0" quotePrefix="0" xfId="0">
      <alignment horizontal="right"/>
    </xf>
    <xf numFmtId="0" fontId="19" fillId="2" borderId="0" applyAlignment="1" pivotButton="0" quotePrefix="0" xfId="0">
      <alignment horizontal="right" wrapText="1"/>
    </xf>
    <xf numFmtId="0" fontId="2" fillId="0" borderId="0" applyAlignment="1" pivotButton="0" quotePrefix="0" xfId="0">
      <alignment horizontal="left"/>
    </xf>
    <xf numFmtId="0" fontId="24" fillId="3" borderId="0" applyAlignment="1" pivotButton="0" quotePrefix="0" xfId="0">
      <alignment horizontal="left"/>
    </xf>
    <xf numFmtId="0" fontId="8" fillId="2" borderId="0" applyAlignment="1" pivotButton="0" quotePrefix="0" xfId="0">
      <alignment horizontal="left"/>
    </xf>
    <xf numFmtId="0" fontId="25" fillId="7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49" fontId="21" fillId="0" borderId="0" applyAlignment="1" pivotButton="0" quotePrefix="0" xfId="0">
      <alignment horizontal="center"/>
    </xf>
    <xf numFmtId="3" fontId="8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left" indent="1"/>
    </xf>
    <xf numFmtId="0" fontId="3" fillId="7" borderId="0" applyAlignment="1" pivotButton="0" quotePrefix="0" xfId="0">
      <alignment horizontal="right"/>
    </xf>
    <xf numFmtId="168" fontId="3" fillId="7" borderId="0" applyAlignment="1" pivotButton="0" quotePrefix="0" xfId="0">
      <alignment horizontal="right"/>
    </xf>
    <xf numFmtId="0" fontId="6" fillId="7" borderId="0" applyAlignment="1" pivotButton="0" quotePrefix="0" xfId="0">
      <alignment horizontal="right"/>
    </xf>
    <xf numFmtId="0" fontId="17" fillId="7" borderId="0" applyAlignment="1" pivotButton="0" quotePrefix="0" xfId="0">
      <alignment horizontal="left"/>
    </xf>
    <xf numFmtId="0" fontId="18" fillId="7" borderId="0" applyAlignment="1" pivotButton="0" quotePrefix="0" xfId="0">
      <alignment horizontal="left"/>
    </xf>
    <xf numFmtId="0" fontId="13" fillId="7" borderId="0" applyAlignment="1" pivotButton="0" quotePrefix="0" xfId="0">
      <alignment horizontal="right"/>
    </xf>
    <xf numFmtId="168" fontId="6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right"/>
    </xf>
    <xf numFmtId="0" fontId="13" fillId="0" borderId="0" applyAlignment="1" pivotButton="0" quotePrefix="0" xfId="0">
      <alignment horizontal="left" indent="1"/>
    </xf>
    <xf numFmtId="165" fontId="13" fillId="7" borderId="0" applyAlignment="1" pivotButton="0" quotePrefix="0" xfId="0">
      <alignment horizontal="right"/>
    </xf>
    <xf numFmtId="0" fontId="26" fillId="2" borderId="0" applyAlignment="1" pivotButton="0" quotePrefix="0" xfId="0">
      <alignment horizontal="left"/>
    </xf>
    <xf numFmtId="0" fontId="10" fillId="0" borderId="3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0" fontId="13" fillId="7" borderId="0" applyAlignment="1" pivotButton="0" quotePrefix="0" xfId="0">
      <alignment horizontal="left" indent="1"/>
    </xf>
    <xf numFmtId="0" fontId="13" fillId="7" borderId="0" pivotButton="0" quotePrefix="0" xfId="0"/>
    <xf numFmtId="0" fontId="13" fillId="7" borderId="0" applyAlignment="1" pivotButton="0" quotePrefix="0" xfId="0">
      <alignment horizontal="left"/>
    </xf>
    <xf numFmtId="0" fontId="6" fillId="7" borderId="0" pivotButton="0" quotePrefix="0" xfId="0"/>
    <xf numFmtId="0" fontId="3" fillId="7" borderId="0" applyAlignment="1" pivotButton="0" quotePrefix="0" xfId="0">
      <alignment horizontal="left" indent="1"/>
    </xf>
    <xf numFmtId="164" fontId="3" fillId="7" borderId="0" pivotButton="0" quotePrefix="0" xfId="0"/>
    <xf numFmtId="0" fontId="3" fillId="7" borderId="0" pivotButton="0" quotePrefix="0" xfId="0"/>
    <xf numFmtId="0" fontId="3" fillId="7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6" fillId="3" borderId="0" pivotButton="0" quotePrefix="0" xfId="0"/>
    <xf numFmtId="0" fontId="6" fillId="3" borderId="0" applyAlignment="1" pivotButton="0" quotePrefix="0" xfId="0">
      <alignment horizontal="right"/>
    </xf>
    <xf numFmtId="0" fontId="28" fillId="3" borderId="0" applyAlignment="1" pivotButton="0" quotePrefix="0" xfId="0">
      <alignment horizontal="left"/>
    </xf>
    <xf numFmtId="0" fontId="16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/>
    </xf>
    <xf numFmtId="1" fontId="4" fillId="3" borderId="0" applyAlignment="1" pivotButton="0" quotePrefix="0" xfId="0">
      <alignment horizontal="right"/>
    </xf>
    <xf numFmtId="1" fontId="13" fillId="5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0" fontId="8" fillId="2" borderId="0" applyAlignment="1" pivotButton="0" quotePrefix="0" xfId="0">
      <alignment horizontal="right"/>
    </xf>
    <xf numFmtId="0" fontId="4" fillId="3" borderId="0" applyAlignment="1" pivotButton="0" quotePrefix="0" xfId="0">
      <alignment horizontal="left" indent="1"/>
    </xf>
    <xf numFmtId="0" fontId="29" fillId="3" borderId="0" applyAlignment="1" pivotButton="0" quotePrefix="0" xfId="0">
      <alignment horizontal="center"/>
    </xf>
    <xf numFmtId="0" fontId="30" fillId="3" borderId="0" pivotButton="0" quotePrefix="0" xfId="0"/>
    <xf numFmtId="0" fontId="0" fillId="7" borderId="0" pivotButton="0" quotePrefix="0" xfId="0"/>
    <xf numFmtId="0" fontId="31" fillId="3" borderId="0" applyAlignment="1" pivotButton="0" quotePrefix="0" xfId="0">
      <alignment horizontal="left"/>
    </xf>
    <xf numFmtId="0" fontId="30" fillId="3" borderId="0" applyAlignment="1" pivotButton="0" quotePrefix="0" xfId="0">
      <alignment horizontal="right"/>
    </xf>
    <xf numFmtId="0" fontId="32" fillId="3" borderId="0" applyAlignment="1" pivotButton="0" quotePrefix="0" xfId="0">
      <alignment horizontal="left"/>
    </xf>
    <xf numFmtId="0" fontId="32" fillId="3" borderId="0" applyAlignment="1" pivotButton="0" quotePrefix="0" xfId="0">
      <alignment horizontal="right"/>
    </xf>
    <xf numFmtId="0" fontId="23" fillId="0" borderId="0" applyAlignment="1" pivotButton="0" quotePrefix="0" xfId="0">
      <alignment horizontal="right"/>
    </xf>
    <xf numFmtId="0" fontId="35" fillId="0" borderId="0" pivotButton="0" quotePrefix="0" xfId="0"/>
    <xf numFmtId="0" fontId="34" fillId="0" borderId="0" pivotButton="0" quotePrefix="0" xfId="0"/>
    <xf numFmtId="0" fontId="30" fillId="0" borderId="0" pivotButton="0" quotePrefix="0" xfId="0"/>
    <xf numFmtId="0" fontId="36" fillId="0" borderId="0" applyAlignment="1" pivotButton="0" quotePrefix="0" xfId="0">
      <alignment horizontal="left"/>
    </xf>
    <xf numFmtId="0" fontId="37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left"/>
    </xf>
    <xf numFmtId="0" fontId="38" fillId="7" borderId="0" applyAlignment="1" pivotButton="0" quotePrefix="0" xfId="0">
      <alignment horizontal="center"/>
    </xf>
    <xf numFmtId="0" fontId="39" fillId="6" borderId="0" applyAlignment="1" pivotButton="0" quotePrefix="0" xfId="0">
      <alignment horizontal="right"/>
    </xf>
    <xf numFmtId="0" fontId="40" fillId="6" borderId="0" applyAlignment="1" pivotButton="0" quotePrefix="0" xfId="0">
      <alignment horizontal="left"/>
    </xf>
    <xf numFmtId="0" fontId="42" fillId="6" borderId="0" applyAlignment="1" pivotButton="0" quotePrefix="0" xfId="0">
      <alignment horizontal="left"/>
    </xf>
    <xf numFmtId="0" fontId="19" fillId="7" borderId="0" applyAlignment="1" pivotButton="0" quotePrefix="0" xfId="0">
      <alignment horizontal="right"/>
    </xf>
    <xf numFmtId="0" fontId="0" fillId="6" borderId="0" pivotButton="0" quotePrefix="0" xfId="0"/>
    <xf numFmtId="0" fontId="0" fillId="6" borderId="0" applyAlignment="1" pivotButton="0" quotePrefix="0" xfId="0">
      <alignment horizontal="right"/>
    </xf>
    <xf numFmtId="0" fontId="19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left"/>
    </xf>
    <xf numFmtId="0" fontId="37" fillId="0" borderId="0" applyAlignment="1" pivotButton="0" quotePrefix="0" xfId="0">
      <alignment horizontal="left"/>
    </xf>
    <xf numFmtId="0" fontId="19" fillId="0" borderId="0" pivotButton="0" quotePrefix="0" xfId="0"/>
    <xf numFmtId="0" fontId="36" fillId="0" borderId="0" applyAlignment="1" pivotButton="0" quotePrefix="0" xfId="0">
      <alignment horizontal="left" indent="1"/>
    </xf>
    <xf numFmtId="0" fontId="36" fillId="0" borderId="0" applyAlignment="1" pivotButton="0" quotePrefix="0" xfId="0">
      <alignment horizontal="center"/>
    </xf>
    <xf numFmtId="0" fontId="36" fillId="0" borderId="0" applyAlignment="1" pivotButton="0" quotePrefix="0" xfId="0">
      <alignment horizontal="right"/>
    </xf>
    <xf numFmtId="0" fontId="19" fillId="0" borderId="0" applyAlignment="1" pivotButton="0" quotePrefix="0" xfId="0">
      <alignment horizontal="center"/>
    </xf>
    <xf numFmtId="0" fontId="37" fillId="0" borderId="0" applyAlignment="1" pivotButton="0" quotePrefix="0" xfId="0">
      <alignment horizontal="center"/>
    </xf>
    <xf numFmtId="0" fontId="45" fillId="0" borderId="0" applyAlignment="1" pivotButton="0" quotePrefix="0" xfId="0">
      <alignment horizontal="left"/>
    </xf>
    <xf numFmtId="0" fontId="36" fillId="0" borderId="0" pivotButton="0" quotePrefix="0" xfId="0"/>
    <xf numFmtId="0" fontId="46" fillId="2" borderId="0" applyAlignment="1" pivotButton="0" quotePrefix="0" xfId="0">
      <alignment horizontal="left"/>
    </xf>
    <xf numFmtId="0" fontId="46" fillId="2" borderId="0" pivotButton="0" quotePrefix="0" xfId="0"/>
    <xf numFmtId="0" fontId="46" fillId="2" borderId="0" applyAlignment="1" pivotButton="0" quotePrefix="0" xfId="0">
      <alignment horizontal="right"/>
    </xf>
    <xf numFmtId="0" fontId="46" fillId="2" borderId="0" applyAlignment="1" pivotButton="0" quotePrefix="0" xfId="0">
      <alignment horizontal="center"/>
    </xf>
    <xf numFmtId="0" fontId="47" fillId="3" borderId="0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3" fontId="19" fillId="0" borderId="0" applyAlignment="1" pivotButton="0" quotePrefix="0" xfId="0">
      <alignment horizontal="right"/>
    </xf>
    <xf numFmtId="0" fontId="19" fillId="7" borderId="0" pivotButton="0" quotePrefix="0" xfId="0"/>
    <xf numFmtId="0" fontId="48" fillId="7" borderId="0" pivotButton="0" quotePrefix="0" xfId="0"/>
    <xf numFmtId="0" fontId="48" fillId="7" borderId="0" applyAlignment="1" pivotButton="0" quotePrefix="0" xfId="0">
      <alignment horizontal="left"/>
    </xf>
    <xf numFmtId="0" fontId="48" fillId="7" borderId="0" applyAlignment="1" pivotButton="0" quotePrefix="0" xfId="0">
      <alignment horizontal="right"/>
    </xf>
    <xf numFmtId="0" fontId="10" fillId="7" borderId="0" applyAlignment="1" pivotButton="0" quotePrefix="0" xfId="0">
      <alignment horizontal="left" indent="1"/>
    </xf>
    <xf numFmtId="165" fontId="8" fillId="7" borderId="0" applyAlignment="1" pivotButton="0" quotePrefix="0" xfId="0">
      <alignment horizontal="right"/>
    </xf>
    <xf numFmtId="0" fontId="36" fillId="7" borderId="0" pivotButton="0" quotePrefix="0" xfId="0"/>
    <xf numFmtId="0" fontId="36" fillId="7" borderId="0" applyAlignment="1" pivotButton="0" quotePrefix="0" xfId="0">
      <alignment horizontal="left" indent="1"/>
    </xf>
    <xf numFmtId="165" fontId="36" fillId="7" borderId="0" applyAlignment="1" pivotButton="0" quotePrefix="0" xfId="0">
      <alignment horizontal="right"/>
    </xf>
    <xf numFmtId="0" fontId="36" fillId="7" borderId="0" applyAlignment="1" pivotButton="0" quotePrefix="0" xfId="0">
      <alignment horizontal="right"/>
    </xf>
    <xf numFmtId="0" fontId="8" fillId="7" borderId="0" applyAlignment="1" pivotButton="0" quotePrefix="0" xfId="0">
      <alignment horizontal="left"/>
    </xf>
    <xf numFmtId="0" fontId="19" fillId="7" borderId="0" applyAlignment="1" pivotButton="0" quotePrefix="0" xfId="0">
      <alignment horizontal="center"/>
    </xf>
    <xf numFmtId="0" fontId="49" fillId="6" borderId="0" applyAlignment="1" pivotButton="0" quotePrefix="0" xfId="0">
      <alignment horizontal="right"/>
    </xf>
    <xf numFmtId="0" fontId="50" fillId="2" borderId="0" pivotButton="0" quotePrefix="0" xfId="0"/>
    <xf numFmtId="0" fontId="50" fillId="2" borderId="0" applyAlignment="1" pivotButton="0" quotePrefix="0" xfId="0">
      <alignment horizontal="left"/>
    </xf>
    <xf numFmtId="170" fontId="36" fillId="7" borderId="0" applyAlignment="1" pivotButton="0" quotePrefix="0" xfId="0">
      <alignment horizontal="right"/>
    </xf>
    <xf numFmtId="3" fontId="36" fillId="7" borderId="0" applyAlignment="1" pivotButton="0" quotePrefix="0" xfId="0">
      <alignment horizontal="right"/>
    </xf>
    <xf numFmtId="3" fontId="3" fillId="7" borderId="0" applyAlignment="1" pivotButton="0" quotePrefix="0" xfId="0">
      <alignment horizontal="right"/>
    </xf>
    <xf numFmtId="0" fontId="0" fillId="2" borderId="0" pivotButton="0" quotePrefix="0" xfId="0"/>
    <xf numFmtId="0" fontId="54" fillId="0" borderId="0" pivotButton="0" quotePrefix="0" xfId="2"/>
    <xf numFmtId="0" fontId="56" fillId="0" borderId="0" pivotButton="0" quotePrefix="0" xfId="2"/>
    <xf numFmtId="0" fontId="51" fillId="0" borderId="0" pivotButton="0" quotePrefix="0" xfId="2"/>
    <xf numFmtId="37" fontId="58" fillId="0" borderId="0" applyAlignment="1" pivotButton="0" quotePrefix="0" xfId="2">
      <alignment vertical="center"/>
    </xf>
    <xf numFmtId="0" fontId="37" fillId="7" borderId="6" applyAlignment="1" pivotButton="0" quotePrefix="0" xfId="0">
      <alignment horizontal="left"/>
    </xf>
    <xf numFmtId="0" fontId="49" fillId="6" borderId="0" pivotButton="0" quotePrefix="0" xfId="0"/>
    <xf numFmtId="0" fontId="60" fillId="0" borderId="0" pivotButton="0" quotePrefix="0" xfId="0"/>
    <xf numFmtId="0" fontId="61" fillId="0" borderId="0" pivotButton="0" quotePrefix="0" xfId="0"/>
    <xf numFmtId="0" fontId="59" fillId="0" borderId="0" pivotButton="0" quotePrefix="0" xfId="0"/>
    <xf numFmtId="0" fontId="59" fillId="0" borderId="0" applyAlignment="1" pivotButton="0" quotePrefix="0" xfId="0">
      <alignment horizontal="left"/>
    </xf>
    <xf numFmtId="0" fontId="59" fillId="7" borderId="0" applyAlignment="1" pivotButton="0" quotePrefix="0" xfId="0">
      <alignment horizontal="left"/>
    </xf>
    <xf numFmtId="0" fontId="56" fillId="7" borderId="6" pivotButton="0" quotePrefix="0" xfId="0"/>
    <xf numFmtId="0" fontId="51" fillId="7" borderId="0" applyAlignment="1" pivotButton="0" quotePrefix="0" xfId="0">
      <alignment horizontal="left"/>
    </xf>
    <xf numFmtId="0" fontId="56" fillId="7" borderId="0" pivotButton="0" quotePrefix="0" xfId="0"/>
    <xf numFmtId="0" fontId="51" fillId="0" borderId="0" pivotButton="0" quotePrefix="0" xfId="0"/>
    <xf numFmtId="0" fontId="51" fillId="2" borderId="0" pivotButton="0" quotePrefix="0" xfId="0"/>
    <xf numFmtId="0" fontId="62" fillId="6" borderId="0" pivotButton="0" quotePrefix="0" xfId="0"/>
    <xf numFmtId="0" fontId="58" fillId="0" borderId="0" pivotButton="0" quotePrefix="0" xfId="0"/>
    <xf numFmtId="0" fontId="61" fillId="7" borderId="0" pivotButton="0" quotePrefix="0" xfId="0"/>
    <xf numFmtId="0" fontId="51" fillId="7" borderId="0" applyAlignment="1" pivotButton="0" quotePrefix="0" xfId="0">
      <alignment horizontal="center"/>
    </xf>
    <xf numFmtId="0" fontId="59" fillId="0" borderId="0" applyAlignment="1" pivotButton="0" quotePrefix="0" xfId="0">
      <alignment horizontal="center"/>
    </xf>
    <xf numFmtId="171" fontId="65" fillId="0" borderId="0" pivotButton="0" quotePrefix="0" xfId="1"/>
    <xf numFmtId="0" fontId="2" fillId="0" borderId="0" pivotButton="0" quotePrefix="0" xfId="0"/>
    <xf numFmtId="0" fontId="51" fillId="0" borderId="0" applyAlignment="1" pivotButton="0" quotePrefix="0" xfId="0">
      <alignment horizontal="left"/>
    </xf>
    <xf numFmtId="0" fontId="70" fillId="7" borderId="0" pivotButton="0" quotePrefix="0" xfId="0"/>
    <xf numFmtId="0" fontId="53" fillId="0" borderId="0" applyAlignment="1" pivotButton="0" quotePrefix="0" xfId="0">
      <alignment horizontal="left"/>
    </xf>
    <xf numFmtId="0" fontId="71" fillId="0" borderId="0" pivotButton="0" quotePrefix="0" xfId="0"/>
    <xf numFmtId="0" fontId="51" fillId="7" borderId="8" applyAlignment="1" pivotButton="0" quotePrefix="0" xfId="0">
      <alignment horizontal="right"/>
    </xf>
    <xf numFmtId="0" fontId="56" fillId="7" borderId="8" pivotButton="0" quotePrefix="0" xfId="0"/>
    <xf numFmtId="0" fontId="51" fillId="7" borderId="9" applyAlignment="1" pivotButton="0" quotePrefix="0" xfId="0">
      <alignment horizontal="center"/>
    </xf>
    <xf numFmtId="10" fontId="0" fillId="0" borderId="0" pivotButton="0" quotePrefix="0" xfId="0"/>
    <xf numFmtId="0" fontId="35" fillId="6" borderId="0" pivotButton="0" quotePrefix="0" xfId="0"/>
    <xf numFmtId="0" fontId="34" fillId="3" borderId="0" pivotButton="0" quotePrefix="0" xfId="0"/>
    <xf numFmtId="0" fontId="73" fillId="0" borderId="0" pivotButton="0" quotePrefix="0" xfId="0"/>
    <xf numFmtId="0" fontId="65" fillId="0" borderId="0" pivotButton="0" quotePrefix="0" xfId="0"/>
    <xf numFmtId="0" fontId="37" fillId="0" borderId="0" applyAlignment="1" pivotButton="0" quotePrefix="0" xfId="0">
      <alignment vertical="center"/>
    </xf>
    <xf numFmtId="0" fontId="67" fillId="0" borderId="0" pivotButton="0" quotePrefix="0" xfId="0"/>
    <xf numFmtId="0" fontId="37" fillId="0" borderId="0" pivotButton="0" quotePrefix="0" xfId="0"/>
    <xf numFmtId="0" fontId="66" fillId="0" borderId="0" applyAlignment="1" pivotButton="0" quotePrefix="0" xfId="0">
      <alignment horizontal="right"/>
    </xf>
    <xf numFmtId="37" fontId="65" fillId="0" borderId="0" applyAlignment="1" pivotButton="0" quotePrefix="0" xfId="0">
      <alignment vertical="top"/>
    </xf>
    <xf numFmtId="0" fontId="68" fillId="0" borderId="0" applyAlignment="1" pivotButton="0" quotePrefix="0" xfId="0">
      <alignment horizontal="right"/>
    </xf>
    <xf numFmtId="171" fontId="69" fillId="0" borderId="0" pivotButton="0" quotePrefix="0" xfId="0"/>
    <xf numFmtId="172" fontId="54" fillId="0" borderId="0" applyAlignment="1" pivotButton="0" quotePrefix="0" xfId="2">
      <alignment horizontal="right"/>
    </xf>
    <xf numFmtId="0" fontId="36" fillId="0" borderId="0" applyAlignment="1" pivotButton="0" quotePrefix="0" xfId="0">
      <alignment vertical="center"/>
    </xf>
    <xf numFmtId="0" fontId="67" fillId="0" borderId="0" applyAlignment="1" pivotButton="0" quotePrefix="0" xfId="0">
      <alignment vertical="center"/>
    </xf>
    <xf numFmtId="0" fontId="43" fillId="0" borderId="0" applyAlignment="1" pivotButton="0" quotePrefix="0" xfId="0">
      <alignment vertical="center"/>
    </xf>
    <xf numFmtId="0" fontId="74" fillId="0" borderId="0" pivotButton="0" quotePrefix="0" xfId="2"/>
    <xf numFmtId="0" fontId="75" fillId="0" borderId="0" pivotButton="0" quotePrefix="0" xfId="0"/>
    <xf numFmtId="171" fontId="75" fillId="0" borderId="0" pivotButton="0" quotePrefix="0" xfId="0"/>
    <xf numFmtId="173" fontId="0" fillId="0" borderId="0" pivotButton="0" quotePrefix="0" xfId="1"/>
    <xf numFmtId="0" fontId="62" fillId="0" borderId="0" pivotButton="0" quotePrefix="0" xfId="0"/>
    <xf numFmtId="0" fontId="36" fillId="7" borderId="6" applyAlignment="1" pivotButton="0" quotePrefix="0" xfId="0">
      <alignment horizontal="centerContinuous"/>
    </xf>
    <xf numFmtId="0" fontId="56" fillId="7" borderId="6" applyAlignment="1" pivotButton="0" quotePrefix="0" xfId="0">
      <alignment horizontal="centerContinuous"/>
    </xf>
    <xf numFmtId="0" fontId="37" fillId="7" borderId="6" applyAlignment="1" pivotButton="0" quotePrefix="0" xfId="0">
      <alignment horizontal="centerContinuous"/>
    </xf>
    <xf numFmtId="0" fontId="76" fillId="7" borderId="6" applyAlignment="1" pivotButton="0" quotePrefix="0" xfId="0">
      <alignment horizontal="centerContinuous"/>
    </xf>
    <xf numFmtId="173" fontId="56" fillId="7" borderId="0" pivotButton="0" quotePrefix="0" xfId="1"/>
    <xf numFmtId="10" fontId="56" fillId="7" borderId="0" pivotButton="0" quotePrefix="0" xfId="0"/>
    <xf numFmtId="0" fontId="0" fillId="7" borderId="6" applyAlignment="1" pivotButton="0" quotePrefix="0" xfId="0">
      <alignment horizontal="centerContinuous"/>
    </xf>
    <xf numFmtId="0" fontId="77" fillId="0" borderId="0" pivotButton="0" quotePrefix="0" xfId="0"/>
    <xf numFmtId="0" fontId="78" fillId="0" borderId="0" pivotButton="0" quotePrefix="0" xfId="0"/>
    <xf numFmtId="0" fontId="79" fillId="0" borderId="0" pivotButton="0" quotePrefix="0" xfId="0"/>
    <xf numFmtId="0" fontId="80" fillId="0" borderId="0" pivotButton="0" quotePrefix="0" xfId="0"/>
    <xf numFmtId="0" fontId="72" fillId="0" borderId="0" pivotButton="0" quotePrefix="0" xfId="0"/>
    <xf numFmtId="170" fontId="9" fillId="0" borderId="0" applyAlignment="1" pivotButton="0" quotePrefix="0" xfId="0">
      <alignment horizontal="right"/>
    </xf>
    <xf numFmtId="0" fontId="83" fillId="3" borderId="0" applyAlignment="1" pivotButton="0" quotePrefix="0" xfId="0">
      <alignment horizontal="left"/>
    </xf>
    <xf numFmtId="0" fontId="74" fillId="7" borderId="0" pivotButton="0" quotePrefix="0" xfId="0"/>
    <xf numFmtId="0" fontId="84" fillId="0" borderId="0" pivotButton="0" quotePrefix="0" xfId="0"/>
    <xf numFmtId="0" fontId="8" fillId="3" borderId="0" applyAlignment="1" pivotButton="0" quotePrefix="0" xfId="0">
      <alignment horizontal="right"/>
    </xf>
    <xf numFmtId="0" fontId="20" fillId="7" borderId="0" applyAlignment="1" pivotButton="0" quotePrefix="0" xfId="0">
      <alignment horizontal="center"/>
    </xf>
    <xf numFmtId="164" fontId="4" fillId="3" borderId="0" applyAlignment="1" pivotButton="0" quotePrefix="0" xfId="0">
      <alignment horizontal="left"/>
    </xf>
    <xf numFmtId="0" fontId="21" fillId="7" borderId="0" applyAlignment="1" pivotButton="0" quotePrefix="0" xfId="0">
      <alignment horizontal="center"/>
    </xf>
    <xf numFmtId="0" fontId="19" fillId="2" borderId="0" applyAlignment="1" pivotButton="0" quotePrefix="0" xfId="0">
      <alignment horizontal="left" indent="1"/>
    </xf>
    <xf numFmtId="3" fontId="4" fillId="3" borderId="0" applyAlignment="1" pivotButton="0" quotePrefix="0" xfId="0">
      <alignment horizontal="center"/>
    </xf>
    <xf numFmtId="0" fontId="7" fillId="6" borderId="0" applyAlignment="1" pivotButton="0" quotePrefix="0" xfId="0">
      <alignment horizontal="left" indent="1"/>
    </xf>
    <xf numFmtId="1" fontId="4" fillId="3" borderId="0" applyAlignment="1" pivotButton="0" quotePrefix="0" xfId="0">
      <alignment horizontal="center"/>
    </xf>
    <xf numFmtId="164" fontId="3" fillId="3" borderId="0" pivotButton="0" quotePrefix="0" xfId="0"/>
    <xf numFmtId="0" fontId="13" fillId="0" borderId="0" applyAlignment="1" pivotButton="0" quotePrefix="0" xfId="0">
      <alignment horizontal="left"/>
    </xf>
    <xf numFmtId="0" fontId="12" fillId="0" borderId="0" pivotButton="0" quotePrefix="0" xfId="0"/>
    <xf numFmtId="0" fontId="4" fillId="0" borderId="0" pivotButton="0" quotePrefix="0" xfId="0"/>
    <xf numFmtId="174" fontId="6" fillId="0" borderId="0" applyAlignment="1" pivotButton="0" quotePrefix="0" xfId="0">
      <alignment horizontal="right"/>
    </xf>
    <xf numFmtId="170" fontId="6" fillId="0" borderId="0" applyAlignment="1" pivotButton="0" quotePrefix="0" xfId="0">
      <alignment horizontal="right"/>
    </xf>
    <xf numFmtId="170" fontId="6" fillId="7" borderId="0" applyAlignment="1" pivotButton="0" quotePrefix="0" xfId="0">
      <alignment horizontal="right"/>
    </xf>
    <xf numFmtId="170" fontId="34" fillId="0" borderId="0" pivotButton="0" quotePrefix="0" xfId="0"/>
    <xf numFmtId="17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right"/>
    </xf>
    <xf numFmtId="0" fontId="30" fillId="0" borderId="0" applyAlignment="1" pivotButton="0" quotePrefix="0" xfId="0">
      <alignment horizontal="right"/>
    </xf>
    <xf numFmtId="3" fontId="9" fillId="9" borderId="0" applyAlignment="1" pivotButton="0" quotePrefix="0" xfId="0">
      <alignment horizontal="right"/>
    </xf>
    <xf numFmtId="3" fontId="41" fillId="9" borderId="1" applyAlignment="1" pivotButton="0" quotePrefix="0" xfId="0">
      <alignment horizontal="right"/>
    </xf>
    <xf numFmtId="3" fontId="9" fillId="9" borderId="1" applyAlignment="1" pivotButton="0" quotePrefix="0" xfId="0">
      <alignment horizontal="right"/>
    </xf>
    <xf numFmtId="3" fontId="36" fillId="9" borderId="0" applyAlignment="1" pivotButton="0" quotePrefix="0" xfId="0">
      <alignment horizontal="right"/>
    </xf>
    <xf numFmtId="3" fontId="41" fillId="9" borderId="0" applyAlignment="1" pivotButton="0" quotePrefix="0" xfId="0">
      <alignment horizontal="right"/>
    </xf>
    <xf numFmtId="3" fontId="52" fillId="9" borderId="0" applyAlignment="1" pivotButton="0" quotePrefix="0" xfId="0">
      <alignment horizontal="right"/>
    </xf>
    <xf numFmtId="14" fontId="9" fillId="9" borderId="0" applyAlignment="1" pivotButton="0" quotePrefix="0" xfId="0">
      <alignment horizontal="right"/>
    </xf>
    <xf numFmtId="3" fontId="6" fillId="9" borderId="0" applyAlignment="1" pivotButton="0" quotePrefix="0" xfId="0">
      <alignment horizontal="right"/>
    </xf>
    <xf numFmtId="3" fontId="37" fillId="9" borderId="0" applyAlignment="1" pivotButton="0" quotePrefix="0" xfId="0">
      <alignment horizontal="right"/>
    </xf>
    <xf numFmtId="3" fontId="37" fillId="9" borderId="3" applyAlignment="1" pivotButton="0" quotePrefix="0" xfId="0">
      <alignment horizontal="right"/>
    </xf>
    <xf numFmtId="3" fontId="36" fillId="9" borderId="1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6" fontId="3" fillId="9" borderId="1" applyAlignment="1" pivotButton="0" quotePrefix="0" xfId="0">
      <alignment horizontal="right"/>
    </xf>
    <xf numFmtId="170" fontId="3" fillId="9" borderId="0" applyAlignment="1" pivotButton="0" quotePrefix="0" xfId="0">
      <alignment horizontal="right"/>
    </xf>
    <xf numFmtId="170" fontId="3" fillId="9" borderId="1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7" fontId="3" fillId="9" borderId="0" applyAlignment="1" pivotButton="0" quotePrefix="0" xfId="0">
      <alignment horizontal="right"/>
    </xf>
    <xf numFmtId="174" fontId="13" fillId="9" borderId="0" applyAlignment="1" pivotButton="0" quotePrefix="0" xfId="0">
      <alignment horizontal="right"/>
    </xf>
    <xf numFmtId="0" fontId="2" fillId="9" borderId="0" applyAlignment="1" pivotButton="0" quotePrefix="0" xfId="0">
      <alignment horizontal="right"/>
    </xf>
    <xf numFmtId="10" fontId="0" fillId="9" borderId="0" applyAlignment="1" pivotButton="0" quotePrefix="0" xfId="0">
      <alignment horizontal="right"/>
    </xf>
    <xf numFmtId="0" fontId="0" fillId="9" borderId="0" pivotButton="0" quotePrefix="0" xfId="0"/>
    <xf numFmtId="0" fontId="0" fillId="9" borderId="0" applyAlignment="1" pivotButton="0" quotePrefix="0" xfId="0">
      <alignment horizontal="right"/>
    </xf>
    <xf numFmtId="173" fontId="0" fillId="9" borderId="0" applyAlignment="1" pivotButton="0" quotePrefix="0" xfId="1">
      <alignment horizontal="right"/>
    </xf>
    <xf numFmtId="165" fontId="36" fillId="9" borderId="0" applyAlignment="1" pivotButton="0" quotePrefix="0" xfId="0">
      <alignment horizontal="right"/>
    </xf>
    <xf numFmtId="165" fontId="36" fillId="9" borderId="1" applyAlignment="1" pivotButton="0" quotePrefix="0" xfId="0">
      <alignment horizontal="right"/>
    </xf>
    <xf numFmtId="167" fontId="36" fillId="9" borderId="0" applyAlignment="1" pivotButton="0" quotePrefix="0" xfId="0">
      <alignment horizontal="right"/>
    </xf>
    <xf numFmtId="167" fontId="36" fillId="9" borderId="1" applyAlignment="1" pivotButton="0" quotePrefix="0" xfId="0">
      <alignment horizontal="right"/>
    </xf>
    <xf numFmtId="178" fontId="37" fillId="9" borderId="3" applyAlignment="1" pivotButton="0" quotePrefix="0" xfId="0">
      <alignment horizontal="right"/>
    </xf>
    <xf numFmtId="0" fontId="37" fillId="9" borderId="0" applyAlignment="1" pivotButton="0" quotePrefix="0" xfId="0">
      <alignment horizontal="right"/>
    </xf>
    <xf numFmtId="165" fontId="3" fillId="9" borderId="0" applyAlignment="1" pivotButton="0" quotePrefix="0" xfId="0">
      <alignment horizontal="right"/>
    </xf>
    <xf numFmtId="165" fontId="3" fillId="9" borderId="1" applyAlignment="1" pivotButton="0" quotePrefix="0" xfId="0">
      <alignment horizontal="right"/>
    </xf>
    <xf numFmtId="167" fontId="3" fillId="9" borderId="0" applyAlignment="1" pivotButton="0" quotePrefix="0" xfId="0">
      <alignment horizontal="right"/>
    </xf>
    <xf numFmtId="167" fontId="3" fillId="9" borderId="1" applyAlignment="1" pivotButton="0" quotePrefix="0" xfId="0">
      <alignment horizontal="right"/>
    </xf>
    <xf numFmtId="174" fontId="9" fillId="9" borderId="0" applyAlignment="1" pivotButton="0" quotePrefix="0" xfId="0">
      <alignment horizontal="right"/>
    </xf>
    <xf numFmtId="174" fontId="3" fillId="9" borderId="0" applyAlignment="1" pivotButton="0" quotePrefix="0" xfId="0">
      <alignment horizontal="right"/>
    </xf>
    <xf numFmtId="174" fontId="6" fillId="9" borderId="0" applyAlignment="1" pivotButton="0" quotePrefix="0" xfId="0">
      <alignment horizontal="right"/>
    </xf>
    <xf numFmtId="174" fontId="9" fillId="9" borderId="1" applyAlignment="1" pivotButton="0" quotePrefix="0" xfId="0">
      <alignment horizontal="right"/>
    </xf>
    <xf numFmtId="174" fontId="3" fillId="9" borderId="1" applyAlignment="1" pivotButton="0" quotePrefix="0" xfId="0">
      <alignment horizontal="right"/>
    </xf>
    <xf numFmtId="174" fontId="6" fillId="9" borderId="1" applyAlignment="1" pivotButton="0" quotePrefix="0" xfId="0">
      <alignment horizontal="right"/>
    </xf>
    <xf numFmtId="174" fontId="8" fillId="9" borderId="0" applyAlignment="1" pivotButton="0" quotePrefix="0" xfId="0">
      <alignment horizontal="right"/>
    </xf>
    <xf numFmtId="174" fontId="10" fillId="9" borderId="0" applyAlignment="1" pivotButton="0" quotePrefix="0" xfId="0">
      <alignment horizontal="right"/>
    </xf>
    <xf numFmtId="174" fontId="8" fillId="9" borderId="3" applyAlignment="1" pivotButton="0" quotePrefix="0" xfId="0">
      <alignment horizontal="right"/>
    </xf>
    <xf numFmtId="174" fontId="13" fillId="9" borderId="3" applyAlignment="1" pivotButton="0" quotePrefix="0" xfId="0">
      <alignment horizontal="right"/>
    </xf>
    <xf numFmtId="174" fontId="10" fillId="9" borderId="3" applyAlignment="1" pivotButton="0" quotePrefix="0" xfId="0">
      <alignment horizontal="right"/>
    </xf>
    <xf numFmtId="170" fontId="52" fillId="9" borderId="0" applyAlignment="1" pivotButton="0" quotePrefix="0" xfId="0">
      <alignment horizontal="right"/>
    </xf>
    <xf numFmtId="170" fontId="3" fillId="9" borderId="0" pivotButton="0" quotePrefix="0" xfId="0"/>
    <xf numFmtId="170" fontId="9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65" fontId="6" fillId="9" borderId="0" applyAlignment="1" pivotButton="0" quotePrefix="0" xfId="0">
      <alignment horizontal="right"/>
    </xf>
    <xf numFmtId="179" fontId="6" fillId="9" borderId="0" applyAlignment="1" pivotButton="0" quotePrefix="0" xfId="0">
      <alignment horizontal="right"/>
    </xf>
    <xf numFmtId="170" fontId="20" fillId="9" borderId="0" applyAlignment="1" pivotButton="0" quotePrefix="0" xfId="0">
      <alignment horizontal="center"/>
    </xf>
    <xf numFmtId="170" fontId="21" fillId="9" borderId="0" applyAlignment="1" pivotButton="0" quotePrefix="0" xfId="0">
      <alignment horizontal="center"/>
    </xf>
    <xf numFmtId="179" fontId="13" fillId="9" borderId="0" applyAlignment="1" pivotButton="0" quotePrefix="0" xfId="0">
      <alignment horizontal="right"/>
    </xf>
    <xf numFmtId="168" fontId="6" fillId="9" borderId="0" applyAlignment="1" pivotButton="0" quotePrefix="0" xfId="0">
      <alignment horizontal="right"/>
    </xf>
    <xf numFmtId="179" fontId="10" fillId="9" borderId="0" applyAlignment="1" pivotButton="0" quotePrefix="0" xfId="0">
      <alignment horizontal="right"/>
    </xf>
    <xf numFmtId="169" fontId="10" fillId="9" borderId="0" applyAlignment="1" pivotButton="0" quotePrefix="0" xfId="0">
      <alignment horizontal="right"/>
    </xf>
    <xf numFmtId="165" fontId="0" fillId="9" borderId="0" applyAlignment="1" pivotButton="0" quotePrefix="0" xfId="0">
      <alignment horizontal="right"/>
    </xf>
    <xf numFmtId="165" fontId="0" fillId="9" borderId="0" pivotButton="0" quotePrefix="0" xfId="0"/>
    <xf numFmtId="180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65" fontId="6" fillId="9" borderId="2" applyAlignment="1" pivotButton="0" quotePrefix="0" xfId="0">
      <alignment horizontal="right"/>
    </xf>
    <xf numFmtId="180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65" fontId="6" fillId="9" borderId="3" applyAlignment="1" pivotButton="0" quotePrefix="0" xfId="0">
      <alignment horizontal="right"/>
    </xf>
    <xf numFmtId="180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81" fontId="3" fillId="9" borderId="0" applyAlignment="1" pivotButton="0" quotePrefix="0" xfId="0">
      <alignment horizontal="right"/>
    </xf>
    <xf numFmtId="169" fontId="3" fillId="9" borderId="0" applyAlignment="1" pivotButton="0" quotePrefix="0" xfId="0">
      <alignment horizontal="right"/>
    </xf>
    <xf numFmtId="181" fontId="3" fillId="9" borderId="1" applyAlignment="1" pivotButton="0" quotePrefix="0" xfId="0">
      <alignment horizontal="right"/>
    </xf>
    <xf numFmtId="181" fontId="6" fillId="9" borderId="0" applyAlignment="1" pivotButton="0" quotePrefix="0" xfId="0">
      <alignment horizontal="right"/>
    </xf>
    <xf numFmtId="181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0" fontId="27" fillId="9" borderId="0" applyAlignment="1" pivotButton="0" quotePrefix="0" xfId="0">
      <alignment horizontal="left"/>
    </xf>
    <xf numFmtId="170" fontId="13" fillId="9" borderId="4" applyAlignment="1" pivotButton="0" quotePrefix="0" xfId="0">
      <alignment horizontal="right"/>
    </xf>
    <xf numFmtId="170" fontId="37" fillId="9" borderId="4" applyAlignment="1" pivotButton="0" quotePrefix="0" xfId="0">
      <alignment horizontal="right"/>
    </xf>
    <xf numFmtId="165" fontId="6" fillId="9" borderId="0" pivotButton="0" quotePrefix="0" xfId="0"/>
    <xf numFmtId="0" fontId="61" fillId="9" borderId="0" applyAlignment="1" pivotButton="0" quotePrefix="0" xfId="0">
      <alignment horizontal="right"/>
    </xf>
    <xf numFmtId="10" fontId="36" fillId="9" borderId="0" pivotButton="0" quotePrefix="0" xfId="0"/>
    <xf numFmtId="0" fontId="41" fillId="9" borderId="0" applyAlignment="1" pivotButton="0" quotePrefix="0" xfId="0">
      <alignment horizontal="right"/>
    </xf>
    <xf numFmtId="14" fontId="41" fillId="9" borderId="0" applyAlignment="1" pivotButton="0" quotePrefix="0" xfId="0">
      <alignment horizontal="right"/>
    </xf>
    <xf numFmtId="173" fontId="53" fillId="9" borderId="2" pivotButton="0" quotePrefix="0" xfId="1"/>
    <xf numFmtId="173" fontId="64" fillId="9" borderId="0" pivotButton="0" quotePrefix="0" xfId="1"/>
    <xf numFmtId="173" fontId="53" fillId="9" borderId="0" pivotButton="0" quotePrefix="0" xfId="1"/>
    <xf numFmtId="0" fontId="63" fillId="9" borderId="7" applyAlignment="1" pivotButton="0" quotePrefix="0" xfId="0">
      <alignment horizontal="right"/>
    </xf>
    <xf numFmtId="10" fontId="2" fillId="9" borderId="0" applyAlignment="1" pivotButton="0" quotePrefix="0" xfId="0">
      <alignment horizontal="right"/>
    </xf>
    <xf numFmtId="173" fontId="64" fillId="9" borderId="0" applyAlignment="1" pivotButton="0" quotePrefix="0" xfId="1">
      <alignment horizontal="right"/>
    </xf>
    <xf numFmtId="173" fontId="53" fillId="9" borderId="0" applyAlignment="1" pivotButton="0" quotePrefix="0" xfId="1">
      <alignment horizontal="right"/>
    </xf>
    <xf numFmtId="173" fontId="2" fillId="9" borderId="2" applyAlignment="1" pivotButton="0" quotePrefix="0" xfId="1">
      <alignment horizontal="right"/>
    </xf>
    <xf numFmtId="176" fontId="0" fillId="9" borderId="0" pivotButton="0" quotePrefix="0" xfId="0"/>
    <xf numFmtId="0" fontId="6" fillId="9" borderId="0" pivotButton="0" quotePrefix="0" xfId="0"/>
    <xf numFmtId="0" fontId="74" fillId="0" borderId="0" pivotButton="0" quotePrefix="0" xfId="0"/>
    <xf numFmtId="1" fontId="85" fillId="0" borderId="0" applyAlignment="1" pivotButton="0" quotePrefix="0" xfId="0">
      <alignment horizontal="left"/>
    </xf>
    <xf numFmtId="1" fontId="84" fillId="0" borderId="0" pivotButton="0" quotePrefix="0" xfId="0"/>
    <xf numFmtId="1" fontId="84" fillId="0" borderId="0" applyAlignment="1" pivotButton="0" quotePrefix="0" xfId="0">
      <alignment horizontal="right"/>
    </xf>
    <xf numFmtId="0" fontId="84" fillId="0" borderId="0" applyAlignment="1" pivotButton="0" quotePrefix="0" xfId="0">
      <alignment horizontal="right"/>
    </xf>
    <xf numFmtId="0" fontId="85" fillId="0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81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right"/>
    </xf>
    <xf numFmtId="0" fontId="86" fillId="7" borderId="0" pivotButton="0" quotePrefix="0" xfId="0"/>
    <xf numFmtId="0" fontId="86" fillId="7" borderId="0" applyAlignment="1" pivotButton="0" quotePrefix="0" xfId="0">
      <alignment horizontal="left"/>
    </xf>
    <xf numFmtId="0" fontId="86" fillId="7" borderId="0" applyAlignment="1" pivotButton="0" quotePrefix="0" xfId="0">
      <alignment horizontal="right"/>
    </xf>
    <xf numFmtId="0" fontId="91" fillId="0" borderId="0" applyAlignment="1" pivotButton="0" quotePrefix="0" xfId="0">
      <alignment horizontal="left"/>
    </xf>
    <xf numFmtId="0" fontId="92" fillId="2" borderId="0" applyAlignment="1" pivotButton="0" quotePrefix="0" xfId="0">
      <alignment horizontal="left"/>
    </xf>
    <xf numFmtId="0" fontId="2" fillId="9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  <xf numFmtId="179" fontId="10" fillId="5" borderId="0" applyAlignment="1" pivotButton="0" quotePrefix="0" xfId="0">
      <alignment horizontal="right"/>
    </xf>
    <xf numFmtId="174" fontId="0" fillId="0" borderId="0" applyAlignment="1" pivotButton="0" quotePrefix="0" xfId="0">
      <alignment horizontal="right"/>
    </xf>
    <xf numFmtId="170" fontId="0" fillId="0" borderId="0" applyAlignment="1" pivotButton="0" quotePrefix="0" xfId="0">
      <alignment horizontal="right"/>
    </xf>
    <xf numFmtId="182" fontId="3" fillId="9" borderId="0" applyAlignment="1" pivotButton="0" quotePrefix="0" xfId="0">
      <alignment horizontal="right"/>
    </xf>
    <xf numFmtId="1" fontId="3" fillId="9" borderId="0" applyAlignment="1" pivotButton="0" quotePrefix="0" xfId="0">
      <alignment horizontal="right"/>
    </xf>
    <xf numFmtId="183" fontId="3" fillId="9" borderId="0" applyAlignment="1" pivotButton="0" quotePrefix="0" xfId="0">
      <alignment horizontal="right"/>
    </xf>
    <xf numFmtId="0" fontId="95" fillId="7" borderId="0" pivotButton="0" quotePrefix="0" xfId="0"/>
    <xf numFmtId="0" fontId="96" fillId="0" borderId="0" applyAlignment="1" pivotButton="0" quotePrefix="0" xfId="0">
      <alignment horizontal="center"/>
    </xf>
    <xf numFmtId="0" fontId="97" fillId="0" borderId="0" applyAlignment="1" pivotButton="0" quotePrefix="0" xfId="0">
      <alignment horizontal="center"/>
    </xf>
    <xf numFmtId="0" fontId="94" fillId="0" borderId="0" applyAlignment="1" pivotButton="0" quotePrefix="0" xfId="0">
      <alignment horizontal="center"/>
    </xf>
    <xf numFmtId="0" fontId="94" fillId="7" borderId="0" applyAlignment="1" pivotButton="0" quotePrefix="0" xfId="0">
      <alignment horizontal="center"/>
    </xf>
    <xf numFmtId="0" fontId="88" fillId="7" borderId="0" applyAlignment="1" pivotButton="0" quotePrefix="0" xfId="0">
      <alignment horizontal="center"/>
    </xf>
    <xf numFmtId="0" fontId="87" fillId="7" borderId="0" applyAlignment="1" pivotButton="0" quotePrefix="0" xfId="0">
      <alignment horizontal="center"/>
    </xf>
    <xf numFmtId="184" fontId="88" fillId="7" borderId="0" applyAlignment="1" pivotButton="0" quotePrefix="0" xfId="0">
      <alignment horizontal="center"/>
    </xf>
    <xf numFmtId="0" fontId="93" fillId="2" borderId="0" applyAlignment="1" pivotButton="0" quotePrefix="0" xfId="0">
      <alignment horizontal="right"/>
    </xf>
    <xf numFmtId="183" fontId="13" fillId="9" borderId="0" applyAlignment="1" pivotButton="0" quotePrefix="0" xfId="0">
      <alignment horizontal="right"/>
    </xf>
    <xf numFmtId="10" fontId="3" fillId="8" borderId="0" applyAlignment="1" pivotButton="0" quotePrefix="0" xfId="0">
      <alignment horizontal="right"/>
    </xf>
    <xf numFmtId="185" fontId="3" fillId="8" borderId="0" applyAlignment="1" pivotButton="0" quotePrefix="0" xfId="0">
      <alignment horizontal="right"/>
    </xf>
    <xf numFmtId="10" fontId="13" fillId="8" borderId="0" applyAlignment="1" pivotButton="0" quotePrefix="0" xfId="0">
      <alignment horizontal="right"/>
    </xf>
    <xf numFmtId="170" fontId="3" fillId="8" borderId="0" applyAlignment="1" pivotButton="0" quotePrefix="0" xfId="0">
      <alignment horizontal="right"/>
    </xf>
    <xf numFmtId="10" fontId="4" fillId="8" borderId="0" applyAlignment="1" pivotButton="0" quotePrefix="0" xfId="0">
      <alignment horizontal="right"/>
    </xf>
    <xf numFmtId="183" fontId="3" fillId="8" borderId="0" applyAlignment="1" pivotButton="0" quotePrefix="0" xfId="0">
      <alignment horizontal="right"/>
    </xf>
    <xf numFmtId="183" fontId="13" fillId="8" borderId="0" applyAlignment="1" pivotButton="0" quotePrefix="0" xfId="0">
      <alignment horizontal="right"/>
    </xf>
    <xf numFmtId="175" fontId="3" fillId="8" borderId="0" applyAlignment="1" pivotButton="0" quotePrefix="0" xfId="0">
      <alignment horizontal="right"/>
    </xf>
    <xf numFmtId="179" fontId="6" fillId="0" borderId="0" applyAlignment="1" pivotButton="0" quotePrefix="0" xfId="0">
      <alignment horizontal="right"/>
    </xf>
    <xf numFmtId="0" fontId="19" fillId="10" borderId="0" applyAlignment="1" pivotButton="0" quotePrefix="0" xfId="0">
      <alignment horizontal="right"/>
    </xf>
    <xf numFmtId="0" fontId="98" fillId="10" borderId="0" applyAlignment="1" pivotButton="0" quotePrefix="0" xfId="0">
      <alignment horizontal="right"/>
    </xf>
    <xf numFmtId="183" fontId="99" fillId="10" borderId="0" applyAlignment="1" pivotButton="0" quotePrefix="0" xfId="0">
      <alignment horizontal="right"/>
    </xf>
    <xf numFmtId="0" fontId="100" fillId="10" borderId="0" applyAlignment="1" pivotButton="0" quotePrefix="0" xfId="0">
      <alignment horizontal="right"/>
    </xf>
    <xf numFmtId="183" fontId="100" fillId="10" borderId="0" applyAlignment="1" pivotButton="0" quotePrefix="0" xfId="0">
      <alignment horizontal="right"/>
    </xf>
    <xf numFmtId="0" fontId="101" fillId="3" borderId="0" applyAlignment="1" pivotButton="0" quotePrefix="0" xfId="0">
      <alignment horizontal="center"/>
    </xf>
    <xf numFmtId="183" fontId="12" fillId="7" borderId="0" applyAlignment="1" pivotButton="0" quotePrefix="0" xfId="0">
      <alignment horizontal="right"/>
    </xf>
    <xf numFmtId="183" fontId="7" fillId="7" borderId="0" applyAlignment="1" pivotButton="0" quotePrefix="0" xfId="0">
      <alignment horizontal="right"/>
    </xf>
    <xf numFmtId="10" fontId="29" fillId="3" borderId="0" applyAlignment="1" pivotButton="0" quotePrefix="0" xfId="0">
      <alignment horizontal="center"/>
    </xf>
    <xf numFmtId="2" fontId="31" fillId="3" borderId="0" applyAlignment="1" pivotButton="0" quotePrefix="0" xfId="0">
      <alignment horizontal="left"/>
    </xf>
    <xf numFmtId="49" fontId="4" fillId="3" borderId="0" applyAlignment="1" pivotButton="0" quotePrefix="0" xfId="0">
      <alignment horizontal="left"/>
    </xf>
    <xf numFmtId="3" fontId="36" fillId="9" borderId="5" applyAlignment="1" pivotButton="0" quotePrefix="0" xfId="0">
      <alignment horizontal="right"/>
    </xf>
    <xf numFmtId="3" fontId="3" fillId="9" borderId="0" applyAlignment="1" pivotButton="0" quotePrefix="0" xfId="0">
      <alignment horizontal="right"/>
    </xf>
    <xf numFmtId="3" fontId="13" fillId="9" borderId="0" applyAlignment="1" pivotButton="0" quotePrefix="0" xfId="0">
      <alignment horizontal="right"/>
    </xf>
    <xf numFmtId="3" fontId="13" fillId="9" borderId="5" applyAlignment="1" pivotButton="0" quotePrefix="0" xfId="0">
      <alignment horizontal="right"/>
    </xf>
    <xf numFmtId="49" fontId="13" fillId="9" borderId="0" applyAlignment="1" pivotButton="0" quotePrefix="0" xfId="0">
      <alignment horizontal="right"/>
    </xf>
    <xf numFmtId="49" fontId="10" fillId="9" borderId="0" applyAlignment="1" pivotButton="0" quotePrefix="0" xfId="0">
      <alignment horizontal="right"/>
    </xf>
    <xf numFmtId="0" fontId="19" fillId="10" borderId="0" pivotButton="0" quotePrefix="0" xfId="0"/>
    <xf numFmtId="0" fontId="98" fillId="10" borderId="0" applyAlignment="1" pivotButton="0" quotePrefix="0" xfId="0">
      <alignment horizontal="left"/>
    </xf>
    <xf numFmtId="0" fontId="98" fillId="10" borderId="0" pivotButton="0" quotePrefix="0" xfId="0"/>
    <xf numFmtId="0" fontId="53" fillId="9" borderId="0" pivotButton="0" quotePrefix="0" xfId="0"/>
    <xf numFmtId="3" fontId="53" fillId="9" borderId="0" pivotButton="0" quotePrefix="0" xfId="0"/>
    <xf numFmtId="49" fontId="37" fillId="7" borderId="3" applyAlignment="1" pivotButton="0" quotePrefix="0" xfId="0">
      <alignment horizontal="right"/>
    </xf>
    <xf numFmtId="3" fontId="16" fillId="9" borderId="0" applyAlignment="1" pivotButton="0" quotePrefix="0" xfId="0">
      <alignment horizontal="right"/>
    </xf>
    <xf numFmtId="3" fontId="102" fillId="9" borderId="0" pivotButton="0" quotePrefix="0" xfId="0"/>
    <xf numFmtId="170" fontId="104" fillId="9" borderId="0" pivotButton="0" quotePrefix="0" xfId="0"/>
    <xf numFmtId="49" fontId="104" fillId="9" borderId="0" pivotButton="0" quotePrefix="0" xfId="0"/>
    <xf numFmtId="170" fontId="37" fillId="9" borderId="0" applyAlignment="1" pivotButton="0" quotePrefix="0" xfId="0">
      <alignment horizontal="right"/>
    </xf>
    <xf numFmtId="186" fontId="20" fillId="0" borderId="0" applyAlignment="1" pivotButton="0" quotePrefix="0" xfId="0">
      <alignment horizontal="center"/>
    </xf>
    <xf numFmtId="0" fontId="105" fillId="3" borderId="0" applyAlignment="1" pivotButton="0" quotePrefix="0" xfId="0">
      <alignment horizontal="right"/>
    </xf>
    <xf numFmtId="0" fontId="106" fillId="7" borderId="0" pivotButton="0" quotePrefix="0" xfId="0"/>
    <xf numFmtId="0" fontId="107" fillId="7" borderId="0" pivotButton="0" quotePrefix="0" xfId="0"/>
    <xf numFmtId="3" fontId="110" fillId="7" borderId="0" pivotButton="0" quotePrefix="0" xfId="0"/>
    <xf numFmtId="3" fontId="109" fillId="7" borderId="0" applyAlignment="1" pivotButton="0" quotePrefix="0" xfId="0">
      <alignment horizontal="right"/>
    </xf>
    <xf numFmtId="3" fontId="109" fillId="7" borderId="2" applyAlignment="1" pivotButton="0" quotePrefix="0" xfId="0">
      <alignment horizontal="right"/>
    </xf>
    <xf numFmtId="0" fontId="110" fillId="7" borderId="0" pivotButton="0" quotePrefix="0" xfId="0"/>
    <xf numFmtId="3" fontId="108" fillId="7" borderId="3" applyAlignment="1" pivotButton="0" quotePrefix="0" xfId="0">
      <alignment horizontal="right"/>
    </xf>
    <xf numFmtId="10" fontId="109" fillId="7" borderId="0" applyAlignment="1" pivotButton="0" quotePrefix="0" xfId="0">
      <alignment horizontal="right"/>
    </xf>
    <xf numFmtId="0" fontId="112" fillId="7" borderId="0" applyAlignment="1" pivotButton="0" quotePrefix="0" xfId="0">
      <alignment horizontal="right"/>
    </xf>
    <xf numFmtId="0" fontId="54" fillId="7" borderId="0" pivotButton="0" quotePrefix="0" xfId="0"/>
    <xf numFmtId="0" fontId="103" fillId="7" borderId="9" applyAlignment="1" pivotButton="0" quotePrefix="0" xfId="0">
      <alignment horizontal="left"/>
    </xf>
    <xf numFmtId="0" fontId="103" fillId="7" borderId="0" applyAlignment="1" pivotButton="0" quotePrefix="0" xfId="0">
      <alignment horizontal="left"/>
    </xf>
    <xf numFmtId="3" fontId="36" fillId="9" borderId="0" pivotButton="0" quotePrefix="0" xfId="1"/>
    <xf numFmtId="173" fontId="56" fillId="7" borderId="10" pivotButton="0" quotePrefix="0" xfId="1"/>
    <xf numFmtId="0" fontId="56" fillId="7" borderId="10" pivotButton="0" quotePrefix="0" xfId="0"/>
    <xf numFmtId="3" fontId="113" fillId="8" borderId="0" applyAlignment="1" pivotButton="0" quotePrefix="0" xfId="0">
      <alignment horizontal="right"/>
    </xf>
    <xf numFmtId="0" fontId="108" fillId="8" borderId="0" applyAlignment="1" pivotButton="0" quotePrefix="0" xfId="0">
      <alignment horizontal="right"/>
    </xf>
    <xf numFmtId="0" fontId="109" fillId="8" borderId="0" applyAlignment="1" pivotButton="0" quotePrefix="0" xfId="0">
      <alignment horizontal="right"/>
    </xf>
    <xf numFmtId="0" fontId="111" fillId="8" borderId="0" pivotButton="0" quotePrefix="0" xfId="0"/>
    <xf numFmtId="0" fontId="110" fillId="8" borderId="0" pivotButton="0" quotePrefix="0" xfId="0"/>
    <xf numFmtId="3" fontId="108" fillId="8" borderId="0" applyAlignment="1" pivotButton="0" quotePrefix="0" xfId="0">
      <alignment horizontal="right"/>
    </xf>
    <xf numFmtId="3" fontId="109" fillId="8" borderId="5" applyAlignment="1" pivotButton="0" quotePrefix="0" xfId="0">
      <alignment horizontal="right"/>
    </xf>
    <xf numFmtId="3" fontId="107" fillId="8" borderId="0" pivotButton="0" quotePrefix="0" xfId="0"/>
    <xf numFmtId="3" fontId="110" fillId="8" borderId="0" pivotButton="0" quotePrefix="0" xfId="0"/>
    <xf numFmtId="3" fontId="109" fillId="8" borderId="0" applyAlignment="1" pivotButton="0" quotePrefix="0" xfId="0">
      <alignment horizontal="right"/>
    </xf>
    <xf numFmtId="3" fontId="114" fillId="8" borderId="0" applyAlignment="1" pivotButton="0" quotePrefix="0" xfId="0">
      <alignment horizontal="right"/>
    </xf>
    <xf numFmtId="10" fontId="113" fillId="8" borderId="0" applyAlignment="1" pivotButton="0" quotePrefix="0" xfId="0">
      <alignment horizontal="right"/>
    </xf>
    <xf numFmtId="0" fontId="1" fillId="0" borderId="0" pivotButton="0" quotePrefix="0" xfId="0"/>
    <xf numFmtId="1" fontId="1" fillId="0" borderId="0" pivotButton="0" quotePrefix="0" xfId="0"/>
    <xf numFmtId="3" fontId="9" fillId="0" borderId="0" applyAlignment="1" pivotButton="0" quotePrefix="0" xfId="0">
      <alignment horizontal="right"/>
    </xf>
    <xf numFmtId="2" fontId="9" fillId="0" borderId="0" applyAlignment="1" pivotButton="0" quotePrefix="0" xfId="0">
      <alignment horizontal="right"/>
    </xf>
    <xf numFmtId="2" fontId="9" fillId="9" borderId="0" applyAlignment="1" pivotButton="0" quotePrefix="0" xfId="0">
      <alignment horizontal="right"/>
    </xf>
    <xf numFmtId="10" fontId="9" fillId="0" borderId="0" applyAlignment="1" pivotButton="0" quotePrefix="0" xfId="0">
      <alignment horizontal="right"/>
    </xf>
    <xf numFmtId="10" fontId="9" fillId="9" borderId="0" applyAlignment="1" pivotButton="0" quotePrefix="0" xfId="0">
      <alignment horizontal="right"/>
    </xf>
    <xf numFmtId="10" fontId="36" fillId="9" borderId="0" applyAlignment="1" pivotButton="0" quotePrefix="0" xfId="0">
      <alignment horizontal="right"/>
    </xf>
    <xf numFmtId="0" fontId="6" fillId="7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0" fontId="19" fillId="7" borderId="0" applyAlignment="1" pivotButton="0" quotePrefix="0" xfId="0">
      <alignment horizontal="left"/>
    </xf>
    <xf numFmtId="0" fontId="6" fillId="7" borderId="0" applyAlignment="1" pivotButton="0" quotePrefix="0" xfId="0">
      <alignment horizontal="left" indent="1"/>
    </xf>
    <xf numFmtId="0" fontId="11" fillId="7" borderId="0" applyAlignment="1" pivotButton="0" quotePrefix="0" xfId="0">
      <alignment horizontal="left"/>
    </xf>
    <xf numFmtId="0" fontId="115" fillId="2" borderId="0" applyAlignment="1" pivotButton="0" quotePrefix="0" xfId="0">
      <alignment horizontal="left"/>
    </xf>
    <xf numFmtId="174" fontId="10" fillId="0" borderId="0" applyAlignment="1" pivotButton="0" quotePrefix="0" xfId="0">
      <alignment horizontal="right"/>
    </xf>
    <xf numFmtId="174" fontId="10" fillId="7" borderId="0" applyAlignment="1" pivotButton="0" quotePrefix="0" xfId="0">
      <alignment horizontal="right"/>
    </xf>
    <xf numFmtId="169" fontId="9" fillId="8" borderId="0" applyAlignment="1" pivotButton="0" quotePrefix="0" xfId="0">
      <alignment horizontal="right"/>
    </xf>
    <xf numFmtId="165" fontId="9" fillId="8" borderId="0" applyAlignment="1" pivotButton="0" quotePrefix="0" xfId="0">
      <alignment horizontal="right"/>
    </xf>
    <xf numFmtId="180" fontId="3" fillId="8" borderId="0" applyAlignment="1" pivotButton="0" quotePrefix="0" xfId="0">
      <alignment horizontal="right"/>
    </xf>
    <xf numFmtId="169" fontId="9" fillId="8" borderId="1" applyAlignment="1" pivotButton="0" quotePrefix="0" xfId="0">
      <alignment horizontal="right"/>
    </xf>
    <xf numFmtId="165" fontId="9" fillId="8" borderId="1" applyAlignment="1" pivotButton="0" quotePrefix="0" xfId="0">
      <alignment horizontal="right"/>
    </xf>
    <xf numFmtId="180" fontId="3" fillId="8" borderId="1" applyAlignment="1" pivotButton="0" quotePrefix="0" xfId="0">
      <alignment horizontal="right"/>
    </xf>
    <xf numFmtId="2" fontId="27" fillId="9" borderId="0" pivotButton="0" quotePrefix="0" xfId="0"/>
    <xf numFmtId="2" fontId="27" fillId="9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2" fontId="0" fillId="9" borderId="0" pivotButton="0" quotePrefix="0" xfId="0"/>
    <xf numFmtId="2" fontId="0" fillId="9" borderId="0" applyAlignment="1" pivotButton="0" quotePrefix="0" xfId="0">
      <alignment horizontal="right"/>
    </xf>
    <xf numFmtId="0" fontId="1" fillId="7" borderId="0" pivotButton="0" quotePrefix="0" xfId="0"/>
    <xf numFmtId="173" fontId="113" fillId="9" borderId="2" pivotButton="0" quotePrefix="0" xfId="1"/>
    <xf numFmtId="173" fontId="113" fillId="9" borderId="0" pivotButton="0" quotePrefix="0" xfId="1"/>
    <xf numFmtId="173" fontId="116" fillId="9" borderId="0" pivotButton="0" quotePrefix="0" xfId="1"/>
    <xf numFmtId="0" fontId="108" fillId="0" borderId="0" applyAlignment="1" pivotButton="0" quotePrefix="0" xfId="0">
      <alignment horizontal="center"/>
    </xf>
    <xf numFmtId="0" fontId="6" fillId="10" borderId="0" pivotButton="0" quotePrefix="0" xfId="0"/>
    <xf numFmtId="0" fontId="4" fillId="10" borderId="0" pivotButton="0" quotePrefix="0" xfId="0"/>
    <xf numFmtId="0" fontId="10" fillId="10" borderId="0" pivotButton="0" quotePrefix="0" xfId="0"/>
    <xf numFmtId="0" fontId="0" fillId="10" borderId="0" pivotButton="0" quotePrefix="0" xfId="0"/>
    <xf numFmtId="0" fontId="12" fillId="10" borderId="0" pivotButton="0" quotePrefix="0" xfId="0"/>
    <xf numFmtId="0" fontId="74" fillId="10" borderId="0" pivotButton="0" quotePrefix="0" xfId="2"/>
    <xf numFmtId="0" fontId="56" fillId="10" borderId="0" pivotButton="0" quotePrefix="0" xfId="2"/>
    <xf numFmtId="0" fontId="75" fillId="10" borderId="0" pivotButton="0" quotePrefix="0" xfId="0"/>
    <xf numFmtId="0" fontId="54" fillId="10" borderId="0" pivotButton="0" quotePrefix="0" xfId="2"/>
    <xf numFmtId="0" fontId="51" fillId="10" borderId="0" pivotButton="0" quotePrefix="0" xfId="2"/>
    <xf numFmtId="0" fontId="62" fillId="7" borderId="0" pivotButton="0" quotePrefix="0" xfId="2"/>
    <xf numFmtId="0" fontId="3" fillId="7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3" fillId="7" borderId="0" pivotButton="0" quotePrefix="0" xfId="0"/>
    <xf numFmtId="0" fontId="6" fillId="9" borderId="0" applyAlignment="1" pivotButton="0" quotePrefix="0" xfId="0">
      <alignment horizontal="center" wrapText="1"/>
    </xf>
    <xf numFmtId="0" fontId="12" fillId="0" borderId="0" applyAlignment="1" pivotButton="0" quotePrefix="0" xfId="0">
      <alignment horizontal="right"/>
    </xf>
    <xf numFmtId="0" fontId="87" fillId="2" borderId="0" pivotButton="0" quotePrefix="0" xfId="0"/>
    <xf numFmtId="0" fontId="7" fillId="3" borderId="0" applyAlignment="1" pivotButton="0" quotePrefix="0" xfId="0">
      <alignment horizontal="left"/>
    </xf>
    <xf numFmtId="0" fontId="87" fillId="0" borderId="0" applyAlignment="1" pivotButton="0" quotePrefix="0" xfId="0">
      <alignment horizontal="right"/>
    </xf>
    <xf numFmtId="175" fontId="12" fillId="9" borderId="0" applyAlignment="1" pivotButton="0" quotePrefix="0" xfId="0">
      <alignment horizontal="right"/>
    </xf>
    <xf numFmtId="176" fontId="12" fillId="9" borderId="1" applyAlignment="1" pivotButton="0" quotePrefix="0" xfId="0">
      <alignment horizontal="right"/>
    </xf>
    <xf numFmtId="170" fontId="12" fillId="9" borderId="0" applyAlignment="1" pivotButton="0" quotePrefix="0" xfId="0">
      <alignment horizontal="right"/>
    </xf>
    <xf numFmtId="170" fontId="12" fillId="9" borderId="1" applyAlignment="1" pivotButton="0" quotePrefix="0" xfId="0">
      <alignment horizontal="right"/>
    </xf>
    <xf numFmtId="175" fontId="12" fillId="9" borderId="1" applyAlignment="1" pivotButton="0" quotePrefix="0" xfId="0">
      <alignment horizontal="right"/>
    </xf>
    <xf numFmtId="177" fontId="12" fillId="9" borderId="0" applyAlignment="1" pivotButton="0" quotePrefix="0" xfId="0">
      <alignment horizontal="right"/>
    </xf>
    <xf numFmtId="170" fontId="12" fillId="0" borderId="0" applyAlignment="1" pivotButton="0" quotePrefix="0" xfId="0">
      <alignment horizontal="right"/>
    </xf>
    <xf numFmtId="170" fontId="12" fillId="0" borderId="1" applyAlignment="1" pivotButton="0" quotePrefix="0" xfId="0">
      <alignment horizontal="right"/>
    </xf>
    <xf numFmtId="174" fontId="7" fillId="9" borderId="0" applyAlignment="1" pivotButton="0" quotePrefix="0" xfId="0">
      <alignment horizontal="right"/>
    </xf>
    <xf numFmtId="0" fontId="42" fillId="3" borderId="0" applyAlignment="1" pivotButton="0" quotePrefix="0" xfId="0">
      <alignment horizontal="left"/>
    </xf>
    <xf numFmtId="0" fontId="117" fillId="9" borderId="0" applyAlignment="1" pivotButton="0" quotePrefix="0" xfId="0">
      <alignment horizontal="right"/>
    </xf>
    <xf numFmtId="10" fontId="1" fillId="9" borderId="0" applyAlignment="1" pivotButton="0" quotePrefix="0" xfId="0">
      <alignment horizontal="right"/>
    </xf>
    <xf numFmtId="0" fontId="1" fillId="9" borderId="0" pivotButton="0" quotePrefix="0" xfId="0"/>
    <xf numFmtId="173" fontId="1" fillId="9" borderId="0" pivotButton="0" quotePrefix="0" xfId="1"/>
    <xf numFmtId="184" fontId="20" fillId="0" borderId="0" applyAlignment="1" pivotButton="0" quotePrefix="0" xfId="0">
      <alignment horizontal="center"/>
    </xf>
    <xf numFmtId="184" fontId="21" fillId="0" borderId="0" applyAlignment="1" pivotButton="0" quotePrefix="0" xfId="0">
      <alignment horizontal="center"/>
    </xf>
    <xf numFmtId="184" fontId="21" fillId="7" borderId="0" applyAlignment="1" pivotButton="0" quotePrefix="0" xfId="0">
      <alignment horizontal="center"/>
    </xf>
    <xf numFmtId="184" fontId="44" fillId="7" borderId="0" applyAlignment="1" pivotButton="0" quotePrefix="0" xfId="0">
      <alignment horizontal="center"/>
    </xf>
    <xf numFmtId="184" fontId="94" fillId="7" borderId="0" applyAlignment="1" pivotButton="0" quotePrefix="0" xfId="0">
      <alignment horizontal="center"/>
    </xf>
    <xf numFmtId="184" fontId="96" fillId="0" borderId="0" applyAlignment="1" pivotButton="0" quotePrefix="0" xfId="0">
      <alignment horizontal="center"/>
    </xf>
    <xf numFmtId="184" fontId="96" fillId="7" borderId="0" applyAlignment="1" pivotButton="0" quotePrefix="0" xfId="0">
      <alignment horizontal="center"/>
    </xf>
    <xf numFmtId="184" fontId="97" fillId="0" borderId="0" applyAlignment="1" pivotButton="0" quotePrefix="0" xfId="0">
      <alignment horizontal="center"/>
    </xf>
    <xf numFmtId="184" fontId="97" fillId="7" borderId="0" applyAlignment="1" pivotButton="0" quotePrefix="0" xfId="0">
      <alignment horizontal="center"/>
    </xf>
    <xf numFmtId="184" fontId="94" fillId="0" borderId="0" applyAlignment="1" pivotButton="0" quotePrefix="0" xfId="0">
      <alignment horizontal="center"/>
    </xf>
    <xf numFmtId="184" fontId="88" fillId="0" borderId="0" applyAlignment="1" pivotButton="0" quotePrefix="0" xfId="0">
      <alignment horizontal="center"/>
    </xf>
    <xf numFmtId="175" fontId="12" fillId="9" borderId="0" applyAlignment="1" pivotButton="0" quotePrefix="0" xfId="0">
      <alignment horizontal="right"/>
    </xf>
    <xf numFmtId="175" fontId="3" fillId="9" borderId="0" applyAlignment="1" pivotButton="0" quotePrefix="0" xfId="0">
      <alignment horizontal="right"/>
    </xf>
    <xf numFmtId="176" fontId="12" fillId="9" borderId="1" applyAlignment="1" pivotButton="0" quotePrefix="0" xfId="0">
      <alignment horizontal="right"/>
    </xf>
    <xf numFmtId="176" fontId="3" fillId="9" borderId="1" applyAlignment="1" pivotButton="0" quotePrefix="0" xfId="0">
      <alignment horizontal="right"/>
    </xf>
    <xf numFmtId="170" fontId="12" fillId="9" borderId="0" applyAlignment="1" pivotButton="0" quotePrefix="0" xfId="0">
      <alignment horizontal="right"/>
    </xf>
    <xf numFmtId="170" fontId="3" fillId="9" borderId="0" applyAlignment="1" pivotButton="0" quotePrefix="0" xfId="0">
      <alignment horizontal="right"/>
    </xf>
    <xf numFmtId="170" fontId="12" fillId="9" borderId="1" applyAlignment="1" pivotButton="0" quotePrefix="0" xfId="0">
      <alignment horizontal="right"/>
    </xf>
    <xf numFmtId="170" fontId="3" fillId="9" borderId="1" applyAlignment="1" pivotButton="0" quotePrefix="0" xfId="0">
      <alignment horizontal="right"/>
    </xf>
    <xf numFmtId="175" fontId="12" fillId="9" borderId="1" applyAlignment="1" pivotButton="0" quotePrefix="0" xfId="0">
      <alignment horizontal="right"/>
    </xf>
    <xf numFmtId="175" fontId="3" fillId="9" borderId="1" applyAlignment="1" pivotButton="0" quotePrefix="0" xfId="0">
      <alignment horizontal="right"/>
    </xf>
    <xf numFmtId="177" fontId="12" fillId="9" borderId="0" applyAlignment="1" pivotButton="0" quotePrefix="0" xfId="0">
      <alignment horizontal="right"/>
    </xf>
    <xf numFmtId="177" fontId="3" fillId="9" borderId="0" applyAlignment="1" pivotButton="0" quotePrefix="0" xfId="0">
      <alignment horizontal="right"/>
    </xf>
    <xf numFmtId="170" fontId="12" fillId="0" borderId="0" applyAlignment="1" pivotButton="0" quotePrefix="0" xfId="0">
      <alignment horizontal="right"/>
    </xf>
    <xf numFmtId="170" fontId="12" fillId="0" borderId="1" applyAlignment="1" pivotButton="0" quotePrefix="0" xfId="0">
      <alignment horizontal="right"/>
    </xf>
    <xf numFmtId="174" fontId="7" fillId="9" borderId="0" applyAlignment="1" pivotButton="0" quotePrefix="0" xfId="0">
      <alignment horizontal="right"/>
    </xf>
    <xf numFmtId="174" fontId="13" fillId="9" borderId="0" applyAlignment="1" pivotButton="0" quotePrefix="0" xfId="0">
      <alignment horizontal="right"/>
    </xf>
    <xf numFmtId="173" fontId="1" fillId="9" borderId="0" pivotButton="0" quotePrefix="0" xfId="1"/>
    <xf numFmtId="173" fontId="0" fillId="9" borderId="0" applyAlignment="1" pivotButton="0" quotePrefix="0" xfId="1">
      <alignment horizontal="right"/>
    </xf>
    <xf numFmtId="174" fontId="0" fillId="0" borderId="0" applyAlignment="1" pivotButton="0" quotePrefix="0" xfId="0">
      <alignment horizontal="right"/>
    </xf>
    <xf numFmtId="170" fontId="0" fillId="0" borderId="0" applyAlignment="1" pivotButton="0" quotePrefix="0" xfId="0">
      <alignment horizontal="right"/>
    </xf>
    <xf numFmtId="165" fontId="36" fillId="9" borderId="0" applyAlignment="1" pivotButton="0" quotePrefix="0" xfId="0">
      <alignment horizontal="right"/>
    </xf>
    <xf numFmtId="165" fontId="36" fillId="9" borderId="1" applyAlignment="1" pivotButton="0" quotePrefix="0" xfId="0">
      <alignment horizontal="right"/>
    </xf>
    <xf numFmtId="167" fontId="36" fillId="9" borderId="0" applyAlignment="1" pivotButton="0" quotePrefix="0" xfId="0">
      <alignment horizontal="right"/>
    </xf>
    <xf numFmtId="167" fontId="36" fillId="9" borderId="1" applyAlignment="1" pivotButton="0" quotePrefix="0" xfId="0">
      <alignment horizontal="right"/>
    </xf>
    <xf numFmtId="178" fontId="37" fillId="9" borderId="3" applyAlignment="1" pivotButton="0" quotePrefix="0" xfId="0">
      <alignment horizontal="right"/>
    </xf>
    <xf numFmtId="165" fontId="3" fillId="9" borderId="0" applyAlignment="1" pivotButton="0" quotePrefix="0" xfId="0">
      <alignment horizontal="right"/>
    </xf>
    <xf numFmtId="165" fontId="3" fillId="9" borderId="1" applyAlignment="1" pivotButton="0" quotePrefix="0" xfId="0">
      <alignment horizontal="right"/>
    </xf>
    <xf numFmtId="167" fontId="3" fillId="9" borderId="0" applyAlignment="1" pivotButton="0" quotePrefix="0" xfId="0">
      <alignment horizontal="right"/>
    </xf>
    <xf numFmtId="167" fontId="3" fillId="9" borderId="1" applyAlignment="1" pivotButton="0" quotePrefix="0" xfId="0">
      <alignment horizontal="right"/>
    </xf>
    <xf numFmtId="184" fontId="20" fillId="0" borderId="0" applyAlignment="1" pivotButton="0" quotePrefix="0" xfId="0">
      <alignment horizontal="center"/>
    </xf>
    <xf numFmtId="184" fontId="96" fillId="0" borderId="0" applyAlignment="1" pivotButton="0" quotePrefix="0" xfId="0">
      <alignment horizontal="center"/>
    </xf>
    <xf numFmtId="174" fontId="9" fillId="9" borderId="0" applyAlignment="1" pivotButton="0" quotePrefix="0" xfId="0">
      <alignment horizontal="right"/>
    </xf>
    <xf numFmtId="174" fontId="3" fillId="9" borderId="0" applyAlignment="1" pivotButton="0" quotePrefix="0" xfId="0">
      <alignment horizontal="right"/>
    </xf>
    <xf numFmtId="174" fontId="6" fillId="9" borderId="0" applyAlignment="1" pivotButton="0" quotePrefix="0" xfId="0">
      <alignment horizontal="right"/>
    </xf>
    <xf numFmtId="174" fontId="6" fillId="0" borderId="0" applyAlignment="1" pivotButton="0" quotePrefix="0" xfId="0">
      <alignment horizontal="right"/>
    </xf>
    <xf numFmtId="174" fontId="9" fillId="9" borderId="1" applyAlignment="1" pivotButton="0" quotePrefix="0" xfId="0">
      <alignment horizontal="right"/>
    </xf>
    <xf numFmtId="174" fontId="3" fillId="9" borderId="1" applyAlignment="1" pivotButton="0" quotePrefix="0" xfId="0">
      <alignment horizontal="right"/>
    </xf>
    <xf numFmtId="174" fontId="6" fillId="9" borderId="1" applyAlignment="1" pivotButton="0" quotePrefix="0" xfId="0">
      <alignment horizontal="right"/>
    </xf>
    <xf numFmtId="184" fontId="21" fillId="0" borderId="0" applyAlignment="1" pivotButton="0" quotePrefix="0" xfId="0">
      <alignment horizontal="center"/>
    </xf>
    <xf numFmtId="184" fontId="97" fillId="0" borderId="0" applyAlignment="1" pivotButton="0" quotePrefix="0" xfId="0">
      <alignment horizontal="center"/>
    </xf>
    <xf numFmtId="174" fontId="8" fillId="9" borderId="0" applyAlignment="1" pivotButton="0" quotePrefix="0" xfId="0">
      <alignment horizontal="right"/>
    </xf>
    <xf numFmtId="174" fontId="10" fillId="9" borderId="0" applyAlignment="1" pivotButton="0" quotePrefix="0" xfId="0">
      <alignment horizontal="right"/>
    </xf>
    <xf numFmtId="174" fontId="10" fillId="0" borderId="0" applyAlignment="1" pivotButton="0" quotePrefix="0" xfId="0">
      <alignment horizontal="right"/>
    </xf>
    <xf numFmtId="184" fontId="44" fillId="7" borderId="0" applyAlignment="1" pivotButton="0" quotePrefix="0" xfId="0">
      <alignment horizontal="center"/>
    </xf>
    <xf numFmtId="184" fontId="96" fillId="7" borderId="0" applyAlignment="1" pivotButton="0" quotePrefix="0" xfId="0">
      <alignment horizontal="center"/>
    </xf>
    <xf numFmtId="165" fontId="36" fillId="7" borderId="0" applyAlignment="1" pivotButton="0" quotePrefix="0" xfId="0">
      <alignment horizontal="right"/>
    </xf>
    <xf numFmtId="174" fontId="8" fillId="9" borderId="3" applyAlignment="1" pivotButton="0" quotePrefix="0" xfId="0">
      <alignment horizontal="right"/>
    </xf>
    <xf numFmtId="174" fontId="13" fillId="9" borderId="3" applyAlignment="1" pivotButton="0" quotePrefix="0" xfId="0">
      <alignment horizontal="right"/>
    </xf>
    <xf numFmtId="174" fontId="10" fillId="9" borderId="3" applyAlignment="1" pivotButton="0" quotePrefix="0" xfId="0">
      <alignment horizontal="right"/>
    </xf>
    <xf numFmtId="170" fontId="3" fillId="9" borderId="0" pivotButton="0" quotePrefix="0" xfId="0"/>
    <xf numFmtId="170" fontId="9" fillId="0" borderId="0" applyAlignment="1" pivotButton="0" quotePrefix="0" xfId="0">
      <alignment horizontal="right"/>
    </xf>
    <xf numFmtId="170" fontId="52" fillId="9" borderId="0" applyAlignment="1" pivotButton="0" quotePrefix="0" xfId="0">
      <alignment horizontal="right"/>
    </xf>
    <xf numFmtId="170" fontId="9" fillId="9" borderId="0" applyAlignment="1" pivotButton="0" quotePrefix="0" xfId="0">
      <alignment horizontal="right"/>
    </xf>
    <xf numFmtId="170" fontId="6" fillId="9" borderId="0" applyAlignment="1" pivotButton="0" quotePrefix="0" xfId="0">
      <alignment horizontal="right"/>
    </xf>
    <xf numFmtId="170" fontId="6" fillId="0" borderId="0" applyAlignment="1" pivotButton="0" quotePrefix="0" xfId="0">
      <alignment horizontal="right"/>
    </xf>
    <xf numFmtId="184" fontId="21" fillId="7" borderId="0" applyAlignment="1" pivotButton="0" quotePrefix="0" xfId="0">
      <alignment horizontal="center"/>
    </xf>
    <xf numFmtId="165" fontId="8" fillId="7" borderId="0" applyAlignment="1" pivotButton="0" quotePrefix="0" xfId="0">
      <alignment horizontal="right"/>
    </xf>
    <xf numFmtId="165" fontId="13" fillId="7" borderId="0" applyAlignment="1" pivotButton="0" quotePrefix="0" xfId="0">
      <alignment horizontal="right"/>
    </xf>
    <xf numFmtId="184" fontId="97" fillId="7" borderId="0" applyAlignment="1" pivotButton="0" quotePrefix="0" xfId="0">
      <alignment horizontal="center"/>
    </xf>
    <xf numFmtId="174" fontId="10" fillId="7" borderId="0" applyAlignment="1" pivotButton="0" quotePrefix="0" xfId="0">
      <alignment horizontal="right"/>
    </xf>
    <xf numFmtId="185" fontId="3" fillId="8" borderId="0" applyAlignment="1" pivotButton="0" quotePrefix="0" xfId="0">
      <alignment horizontal="right"/>
    </xf>
    <xf numFmtId="170" fontId="3" fillId="8" borderId="0" applyAlignment="1" pivotButton="0" quotePrefix="0" xfId="0">
      <alignment horizontal="right"/>
    </xf>
    <xf numFmtId="184" fontId="94" fillId="0" borderId="0" applyAlignment="1" pivotButton="0" quotePrefix="0" xfId="0">
      <alignment horizontal="center"/>
    </xf>
    <xf numFmtId="183" fontId="3" fillId="8" borderId="0" applyAlignment="1" pivotButton="0" quotePrefix="0" xfId="0">
      <alignment horizontal="right"/>
    </xf>
    <xf numFmtId="184" fontId="88" fillId="0" borderId="0" applyAlignment="1" pivotButton="0" quotePrefix="0" xfId="0">
      <alignment horizontal="center"/>
    </xf>
    <xf numFmtId="183" fontId="13" fillId="8" borderId="0" applyAlignment="1" pivotButton="0" quotePrefix="0" xfId="0">
      <alignment horizontal="right"/>
    </xf>
    <xf numFmtId="175" fontId="3" fillId="8" borderId="0" applyAlignment="1" pivotButton="0" quotePrefix="0" xfId="0">
      <alignment horizontal="right"/>
    </xf>
    <xf numFmtId="166" fontId="6" fillId="0" borderId="0" applyAlignment="1" pivotButton="0" quotePrefix="0" xfId="0">
      <alignment horizontal="right"/>
    </xf>
    <xf numFmtId="167" fontId="6" fillId="0" borderId="0" applyAlignment="1" pivotButton="0" quotePrefix="0" xfId="0">
      <alignment horizontal="right"/>
    </xf>
    <xf numFmtId="182" fontId="3" fillId="9" borderId="0" applyAlignment="1" pivotButton="0" quotePrefix="0" xfId="0">
      <alignment horizontal="right"/>
    </xf>
    <xf numFmtId="165" fontId="6" fillId="0" borderId="0" applyAlignment="1" pivotButton="0" quotePrefix="0" xfId="0">
      <alignment horizontal="right"/>
    </xf>
    <xf numFmtId="183" fontId="3" fillId="9" borderId="0" applyAlignment="1" pivotButton="0" quotePrefix="0" xfId="0">
      <alignment horizontal="right"/>
    </xf>
    <xf numFmtId="164" fontId="20" fillId="0" borderId="0" applyAlignment="1" pivotButton="0" quotePrefix="0" xfId="0">
      <alignment horizontal="center"/>
    </xf>
    <xf numFmtId="183" fontId="13" fillId="9" borderId="0" applyAlignment="1" pivotButton="0" quotePrefix="0" xfId="0">
      <alignment horizontal="right"/>
    </xf>
    <xf numFmtId="184" fontId="88" fillId="7" borderId="0" applyAlignment="1" pivotButton="0" quotePrefix="0" xfId="0">
      <alignment horizontal="center"/>
    </xf>
    <xf numFmtId="184" fontId="94" fillId="7" borderId="0" applyAlignment="1" pivotButton="0" quotePrefix="0" xfId="0">
      <alignment horizontal="center"/>
    </xf>
    <xf numFmtId="183" fontId="99" fillId="10" borderId="0" applyAlignment="1" pivotButton="0" quotePrefix="0" xfId="0">
      <alignment horizontal="right"/>
    </xf>
    <xf numFmtId="170" fontId="20" fillId="9" borderId="0" applyAlignment="1" pivotButton="0" quotePrefix="0" xfId="0">
      <alignment horizontal="center"/>
    </xf>
    <xf numFmtId="179" fontId="6" fillId="9" borderId="0" applyAlignment="1" pivotButton="0" quotePrefix="0" xfId="0">
      <alignment horizontal="right"/>
    </xf>
    <xf numFmtId="179" fontId="6" fillId="0" borderId="0" applyAlignment="1" pivotButton="0" quotePrefix="0" xfId="0">
      <alignment horizontal="right"/>
    </xf>
    <xf numFmtId="183" fontId="12" fillId="7" borderId="0" applyAlignment="1" pivotButton="0" quotePrefix="0" xfId="0">
      <alignment horizontal="right"/>
    </xf>
    <xf numFmtId="183" fontId="100" fillId="10" borderId="0" applyAlignment="1" pivotButton="0" quotePrefix="0" xfId="0">
      <alignment horizontal="right"/>
    </xf>
    <xf numFmtId="170" fontId="21" fillId="9" borderId="0" applyAlignment="1" pivotButton="0" quotePrefix="0" xfId="0">
      <alignment horizontal="center"/>
    </xf>
    <xf numFmtId="179" fontId="13" fillId="9" borderId="0" applyAlignment="1" pivotButton="0" quotePrefix="0" xfId="0">
      <alignment horizontal="right"/>
    </xf>
    <xf numFmtId="179" fontId="10" fillId="5" borderId="0" applyAlignment="1" pivotButton="0" quotePrefix="0" xfId="0">
      <alignment horizontal="right"/>
    </xf>
    <xf numFmtId="183" fontId="7" fillId="7" borderId="0" applyAlignment="1" pivotButton="0" quotePrefix="0" xfId="0">
      <alignment horizontal="right"/>
    </xf>
    <xf numFmtId="168" fontId="6" fillId="9" borderId="0" applyAlignment="1" pivotButton="0" quotePrefix="0" xfId="0">
      <alignment horizontal="right"/>
    </xf>
    <xf numFmtId="179" fontId="10" fillId="9" borderId="0" applyAlignment="1" pivotButton="0" quotePrefix="0" xfId="0">
      <alignment horizontal="right"/>
    </xf>
    <xf numFmtId="169" fontId="10" fillId="9" borderId="0" applyAlignment="1" pivotButton="0" quotePrefix="0" xfId="0">
      <alignment horizontal="right"/>
    </xf>
    <xf numFmtId="165" fontId="0" fillId="9" borderId="0" applyAlignment="1" pivotButton="0" quotePrefix="0" xfId="0">
      <alignment horizontal="right"/>
    </xf>
    <xf numFmtId="165" fontId="0" fillId="9" borderId="0" pivotButton="0" quotePrefix="0" xfId="0"/>
    <xf numFmtId="169" fontId="9" fillId="8" borderId="0" applyAlignment="1" pivotButton="0" quotePrefix="0" xfId="0">
      <alignment horizontal="right"/>
    </xf>
    <xf numFmtId="165" fontId="9" fillId="8" borderId="0" applyAlignment="1" pivotButton="0" quotePrefix="0" xfId="0">
      <alignment horizontal="right"/>
    </xf>
    <xf numFmtId="180" fontId="3" fillId="8" borderId="0" applyAlignment="1" pivotButton="0" quotePrefix="0" xfId="0">
      <alignment horizontal="right"/>
    </xf>
    <xf numFmtId="169" fontId="9" fillId="8" borderId="1" applyAlignment="1" pivotButton="0" quotePrefix="0" xfId="0">
      <alignment horizontal="right"/>
    </xf>
    <xf numFmtId="165" fontId="9" fillId="8" borderId="1" applyAlignment="1" pivotButton="0" quotePrefix="0" xfId="0">
      <alignment horizontal="right"/>
    </xf>
    <xf numFmtId="180" fontId="3" fillId="8" borderId="1" applyAlignment="1" pivotButton="0" quotePrefix="0" xfId="0">
      <alignment horizontal="right"/>
    </xf>
    <xf numFmtId="165" fontId="6" fillId="9" borderId="0" applyAlignment="1" pivotButton="0" quotePrefix="0" xfId="0">
      <alignment horizontal="right"/>
    </xf>
    <xf numFmtId="180" fontId="6" fillId="9" borderId="0" applyAlignment="1" pivotButton="0" quotePrefix="0" xfId="0">
      <alignment horizontal="right"/>
    </xf>
    <xf numFmtId="169" fontId="6" fillId="9" borderId="0" applyAlignment="1" pivotButton="0" quotePrefix="0" xfId="0">
      <alignment horizontal="right"/>
    </xf>
    <xf numFmtId="165" fontId="6" fillId="9" borderId="2" applyAlignment="1" pivotButton="0" quotePrefix="0" xfId="0">
      <alignment horizontal="right"/>
    </xf>
    <xf numFmtId="180" fontId="6" fillId="9" borderId="2" applyAlignment="1" pivotButton="0" quotePrefix="0" xfId="0">
      <alignment horizontal="right"/>
    </xf>
    <xf numFmtId="169" fontId="6" fillId="9" borderId="2" applyAlignment="1" pivotButton="0" quotePrefix="0" xfId="0">
      <alignment horizontal="right"/>
    </xf>
    <xf numFmtId="165" fontId="6" fillId="9" borderId="3" applyAlignment="1" pivotButton="0" quotePrefix="0" xfId="0">
      <alignment horizontal="right"/>
    </xf>
    <xf numFmtId="180" fontId="6" fillId="9" borderId="3" applyAlignment="1" pivotButton="0" quotePrefix="0" xfId="0">
      <alignment horizontal="right"/>
    </xf>
    <xf numFmtId="169" fontId="6" fillId="9" borderId="3" applyAlignment="1" pivotButton="0" quotePrefix="0" xfId="0">
      <alignment horizontal="right"/>
    </xf>
    <xf numFmtId="181" fontId="3" fillId="9" borderId="0" applyAlignment="1" pivotButton="0" quotePrefix="0" xfId="0">
      <alignment horizontal="right"/>
    </xf>
    <xf numFmtId="169" fontId="3" fillId="9" borderId="0" applyAlignment="1" pivotButton="0" quotePrefix="0" xfId="0">
      <alignment horizontal="right"/>
    </xf>
    <xf numFmtId="181" fontId="3" fillId="9" borderId="1" applyAlignment="1" pivotButton="0" quotePrefix="0" xfId="0">
      <alignment horizontal="right"/>
    </xf>
    <xf numFmtId="181" fontId="6" fillId="9" borderId="0" applyAlignment="1" pivotButton="0" quotePrefix="0" xfId="0">
      <alignment horizontal="right"/>
    </xf>
    <xf numFmtId="181" fontId="10" fillId="9" borderId="3" applyAlignment="1" pivotButton="0" quotePrefix="0" xfId="0">
      <alignment horizontal="right"/>
    </xf>
    <xf numFmtId="169" fontId="10" fillId="9" borderId="3" applyAlignment="1" pivotButton="0" quotePrefix="0" xfId="0">
      <alignment horizontal="right"/>
    </xf>
    <xf numFmtId="168" fontId="6" fillId="7" borderId="0" applyAlignment="1" pivotButton="0" quotePrefix="0" xfId="0">
      <alignment horizontal="right"/>
    </xf>
    <xf numFmtId="168" fontId="6" fillId="0" borderId="0" applyAlignment="1" pivotButton="0" quotePrefix="0" xfId="0">
      <alignment horizontal="right"/>
    </xf>
    <xf numFmtId="170" fontId="6" fillId="7" borderId="0" applyAlignment="1" pivotButton="0" quotePrefix="0" xfId="0">
      <alignment horizontal="right"/>
    </xf>
    <xf numFmtId="170" fontId="34" fillId="0" borderId="0" pivotButton="0" quotePrefix="0" xfId="0"/>
    <xf numFmtId="170" fontId="0" fillId="0" borderId="0" pivotButton="0" quotePrefix="0" xfId="0"/>
    <xf numFmtId="164" fontId="4" fillId="3" borderId="0" applyAlignment="1" pivotButton="0" quotePrefix="0" xfId="0">
      <alignment horizontal="left"/>
    </xf>
    <xf numFmtId="186" fontId="20" fillId="0" borderId="0" applyAlignment="1" pivotButton="0" quotePrefix="0" xfId="0">
      <alignment horizontal="center"/>
    </xf>
    <xf numFmtId="170" fontId="37" fillId="9" borderId="4" applyAlignment="1" pivotButton="0" quotePrefix="0" xfId="0">
      <alignment horizontal="right"/>
    </xf>
    <xf numFmtId="170" fontId="13" fillId="9" borderId="4" applyAlignment="1" pivotButton="0" quotePrefix="0" xfId="0">
      <alignment horizontal="right"/>
    </xf>
    <xf numFmtId="170" fontId="104" fillId="9" borderId="0" pivotButton="0" quotePrefix="0" xfId="0"/>
    <xf numFmtId="170" fontId="37" fillId="9" borderId="0" applyAlignment="1" pivotButton="0" quotePrefix="0" xfId="0">
      <alignment horizontal="right"/>
    </xf>
    <xf numFmtId="164" fontId="3" fillId="7" borderId="0" pivotButton="0" quotePrefix="0" xfId="0"/>
    <xf numFmtId="164" fontId="3" fillId="3" borderId="0" pivotButton="0" quotePrefix="0" xfId="0"/>
    <xf numFmtId="170" fontId="36" fillId="7" borderId="0" applyAlignment="1" pivotButton="0" quotePrefix="0" xfId="0">
      <alignment horizontal="right"/>
    </xf>
    <xf numFmtId="168" fontId="3" fillId="7" borderId="0" applyAlignment="1" pivotButton="0" quotePrefix="0" xfId="0">
      <alignment horizontal="right"/>
    </xf>
    <xf numFmtId="169" fontId="13" fillId="7" borderId="3" applyAlignment="1" pivotButton="0" quotePrefix="0" xfId="0">
      <alignment horizontal="right"/>
    </xf>
    <xf numFmtId="165" fontId="6" fillId="9" borderId="0" pivotButton="0" quotePrefix="0" xfId="0"/>
    <xf numFmtId="173" fontId="56" fillId="7" borderId="0" pivotButton="0" quotePrefix="0" xfId="1"/>
    <xf numFmtId="173" fontId="56" fillId="7" borderId="10" pivotButton="0" quotePrefix="0" xfId="1"/>
    <xf numFmtId="173" fontId="113" fillId="9" borderId="2" pivotButton="0" quotePrefix="0" xfId="1"/>
    <xf numFmtId="173" fontId="53" fillId="9" borderId="2" pivotButton="0" quotePrefix="0" xfId="1"/>
    <xf numFmtId="173" fontId="64" fillId="9" borderId="0" pivotButton="0" quotePrefix="0" xfId="1"/>
    <xf numFmtId="173" fontId="113" fillId="9" borderId="0" pivotButton="0" quotePrefix="0" xfId="1"/>
    <xf numFmtId="173" fontId="53" fillId="9" borderId="0" pivotButton="0" quotePrefix="0" xfId="1"/>
    <xf numFmtId="173" fontId="116" fillId="9" borderId="0" pivotButton="0" quotePrefix="0" xfId="1"/>
    <xf numFmtId="173" fontId="0" fillId="0" borderId="0" pivotButton="0" quotePrefix="0" xfId="1"/>
    <xf numFmtId="173" fontId="64" fillId="9" borderId="0" applyAlignment="1" pivotButton="0" quotePrefix="0" xfId="1">
      <alignment horizontal="right"/>
    </xf>
    <xf numFmtId="173" fontId="53" fillId="9" borderId="0" applyAlignment="1" pivotButton="0" quotePrefix="0" xfId="1">
      <alignment horizontal="right"/>
    </xf>
    <xf numFmtId="173" fontId="2" fillId="9" borderId="2" applyAlignment="1" pivotButton="0" quotePrefix="0" xfId="1">
      <alignment horizontal="right"/>
    </xf>
    <xf numFmtId="171" fontId="65" fillId="0" borderId="0" pivotButton="0" quotePrefix="0" xfId="1"/>
    <xf numFmtId="171" fontId="69" fillId="0" borderId="0" pivotButton="0" quotePrefix="0" xfId="0"/>
    <xf numFmtId="172" fontId="54" fillId="0" borderId="0" applyAlignment="1" pivotButton="0" quotePrefix="0" xfId="2">
      <alignment horizontal="right"/>
    </xf>
    <xf numFmtId="171" fontId="75" fillId="0" borderId="0" pivotButton="0" quotePrefix="0" xfId="0"/>
    <xf numFmtId="176" fontId="0" fillId="9" borderId="0" pivotButton="0" quotePrefix="0" xfId="0"/>
  </cellXfs>
  <cellStyles count="8">
    <cellStyle name="Normal" xfId="0" builtinId="0"/>
    <cellStyle name="Milliers" xfId="1" builtinId="3"/>
    <cellStyle name="Normal 2" xfId="2"/>
    <cellStyle name="Hyperlink 2 2" xfId="3"/>
    <cellStyle name="Normal 2 2" xfId="4"/>
    <cellStyle name="Currency 2" xfId="5"/>
    <cellStyle name="Percent 2" xfId="6"/>
    <cellStyle name="Comma 2" xfId="7"/>
  </cellStyles>
  <dxfs count="7"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  <dxf>
      <font>
        <color rgb="FFFFFFFF"/>
      </font>
      <fill>
        <patternFill patternType="solid">
          <fgColor indexed="64"/>
          <bgColor rgb="FFFFFFFF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Free Cash Flow, CFO &amp; CapEx ($000)</a:t>
            </a:r>
          </a:p>
        </rich>
      </tx>
      <layout>
        <manualLayout>
          <xMode val="edge"/>
          <yMode val="edge"/>
          <wMode val="factor"/>
          <hMode val="factor"/>
          <x val="0.2370026167223427"/>
          <y val="0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RATIOS!$B$102</f>
              <strCache>
                <ptCount val="1"/>
                <pt idx="0">
                  <v>Free Cash Flow ($000)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RATIOS!$C$101:$H$101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RATIOS!$C$102:$H$102</f>
              <numCache>
                <formatCode>General</formatCode>
                <ptCount val="6"/>
                <pt idx="2">
                  <formatCode>"€"#\ ##0;\("€"#\ ##0\);\-</formatCode>
                  <v>5406</v>
                </pt>
                <pt idx="3">
                  <formatCode>"€"#\ ##0;\("€"#\ ##0\);\-</formatCode>
                  <v>729</v>
                </pt>
                <pt idx="4">
                  <formatCode>"€"#\ ##0;\("€"#\ ##0\);\-</formatCode>
                  <v>493</v>
                </pt>
                <pt idx="5">
                  <formatCode>"€"#\ ##0;\("€"#\ ##0\);\-</formatCode>
                  <v>1412</v>
                </pt>
              </numCache>
            </numRef>
          </val>
          <smooth val="0"/>
        </ser>
        <ser>
          <idx val="1"/>
          <order val="1"/>
          <tx>
            <strRef>
              <f>RATIOS!$B$103</f>
              <strCache>
                <ptCount val="1"/>
                <pt idx="0">
                  <v>CapEx ($000)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RATIOS!$C$101:$H$101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RATIOS!$C$103:$H$103</f>
              <numCache>
                <formatCode>General</formatCode>
                <ptCount val="6"/>
                <pt idx="2">
                  <v>7172</v>
                </pt>
                <pt idx="3">
                  <v>8899</v>
                </pt>
                <pt idx="4">
                  <v>11342</v>
                </pt>
                <pt idx="5">
                  <v>8527</v>
                </pt>
              </numCache>
            </numRef>
          </val>
          <smooth val="0"/>
        </ser>
        <ser>
          <idx val="2"/>
          <order val="2"/>
          <tx>
            <strRef>
              <f>RATIOS!$B$104</f>
              <strCache>
                <ptCount val="1"/>
                <pt idx="0">
                  <v>Cash from Operations ($000)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RATIOS!$C$101:$H$101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RATIOS!$C$104:$H$104</f>
              <numCache>
                <formatCode>General</formatCode>
                <ptCount val="6"/>
                <pt idx="2">
                  <formatCode>#,##0</formatCode>
                  <v>12578</v>
                </pt>
                <pt idx="3">
                  <formatCode>#,##0</formatCode>
                  <v>9628</v>
                </pt>
                <pt idx="4">
                  <formatCode>#,##0</formatCode>
                  <v>11835</v>
                </pt>
                <pt idx="5">
                  <formatCode>#,##0</formatCode>
                  <v>9939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26964032"/>
        <axId val="1926950112"/>
      </lineChart>
      <catAx>
        <axId val="19269640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6950112"/>
        <crosses val="autoZero"/>
        <auto val="1"/>
        <lblAlgn val="ctr"/>
        <lblOffset val="100"/>
        <noMultiLvlLbl val="0"/>
      </catAx>
      <valAx>
        <axId val="192695011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26964032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Returns: ROE, ROA &amp; ROIC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RATIOS!$B$108</f>
              <strCache>
                <ptCount val="1"/>
                <pt idx="0">
                  <v>Return on Equity (ROE)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RATIOS!$C$107:$H$107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RATIOS!$C$108:$H$108</f>
              <numCache>
                <formatCode>General</formatCode>
                <ptCount val="6"/>
                <pt idx="2">
                  <formatCode>0.0%</formatCode>
                  <v>0.1786530566958837</v>
                </pt>
                <pt idx="3">
                  <formatCode>0.0%</formatCode>
                  <v>0.06460965003106234</v>
                </pt>
                <pt idx="4">
                  <formatCode>0.0%</formatCode>
                  <v>0.03877254257097427</v>
                </pt>
                <pt idx="5">
                  <formatCode>0.0%</formatCode>
                  <v>0.0004157699080414792</v>
                </pt>
              </numCache>
            </numRef>
          </val>
          <smooth val="0"/>
        </ser>
        <ser>
          <idx val="1"/>
          <order val="1"/>
          <tx>
            <strRef>
              <f>RATIOS!$B$109</f>
              <strCache>
                <ptCount val="1"/>
                <pt idx="0">
                  <v>Return on Assets (ROA)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RATIOS!$C$107:$H$107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RATIOS!$C$109:$H$109</f>
              <numCache>
                <formatCode>General</formatCode>
                <ptCount val="6"/>
                <pt idx="2">
                  <formatCode>0.0%</formatCode>
                  <v>0.1058256000420621</v>
                </pt>
                <pt idx="3">
                  <formatCode>0.0%</formatCode>
                  <v>0.04651909622663149</v>
                </pt>
                <pt idx="4">
                  <formatCode>0.0%</formatCode>
                  <v>0.02999148506733104</v>
                </pt>
                <pt idx="5">
                  <formatCode>0.0%</formatCode>
                  <v>0.0003290460567701226</v>
                </pt>
              </numCache>
            </numRef>
          </val>
          <smooth val="0"/>
        </ser>
        <ser>
          <idx val="2"/>
          <order val="2"/>
          <tx>
            <strRef>
              <f>RATIOS!$B$110</f>
              <strCache>
                <ptCount val="1"/>
                <pt idx="0">
                  <v>Return on Invested Capital (ROIC)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RATIOS!$C$107:$H$107</f>
              <strCache>
                <ptCount val="6"/>
                <pt idx="2">
                  <v>2022</v>
                </pt>
                <pt idx="3">
                  <v>2023</v>
                </pt>
                <pt idx="4">
                  <v>2024</v>
                </pt>
                <pt idx="5">
                  <v>2025 (LTM)</v>
                </pt>
              </strCache>
            </strRef>
          </cat>
          <val>
            <numRef>
              <f>RATIOS!$C$110:$H$110</f>
              <numCache>
                <formatCode>General</formatCode>
                <ptCount val="6"/>
                <pt idx="2">
                  <formatCode>0.0%</formatCode>
                  <v>0.2237878619771441</v>
                </pt>
                <pt idx="3">
                  <formatCode>0.0%</formatCode>
                  <v>0.06728578938146136</v>
                </pt>
                <pt idx="4">
                  <formatCode>0.0%</formatCode>
                  <v>0.03250750852778495</v>
                </pt>
                <pt idx="5">
                  <formatCode>0.0%</formatCode>
                  <v>-0.01263640310115437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919670816"/>
        <axId val="1919671296"/>
      </lineChart>
      <catAx>
        <axId val="19196708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19671296"/>
        <crosses val="autoZero"/>
        <auto val="1"/>
        <lblAlgn val="ctr"/>
        <lblOffset val="100"/>
        <noMultiLvlLbl val="0"/>
      </catAx>
      <valAx>
        <axId val="191967129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91967081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Unlevered Free Cash Flow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DCF!$B$118</f>
              <strCache>
                <ptCount val="1"/>
                <pt idx="0">
                  <v>UFCF</v>
                </pt>
              </strCache>
            </strRef>
          </tx>
          <spPr>
            <a:solidFill xmlns:a="http://schemas.openxmlformats.org/drawingml/2006/main">
              <a:srgbClr val="1B3E70"/>
            </a:solidFill>
            <a:ln xmlns:a="http://schemas.openxmlformats.org/drawingml/2006/main">
              <a:solidFill>
                <a:srgbClr val="1B3E70"/>
              </a:solidFill>
              <a:prstDash val="solid"/>
            </a:ln>
          </spPr>
          <invertIfNegative val="0"/>
          <cat>
            <strRef>
              <f>DCF!$C$117:$G$117</f>
              <strCache>
                <ptCount val="5"/>
                <pt idx="0">
                  <v>2026F</v>
                </pt>
                <pt idx="1">
                  <v>2027F</v>
                </pt>
                <pt idx="2">
                  <v>2028F</v>
                </pt>
                <pt idx="3">
                  <v>2029F</v>
                </pt>
                <pt idx="4">
                  <v>2030F</v>
                </pt>
              </strCache>
            </strRef>
          </cat>
          <val>
            <numRef>
              <f>DCF!$C$118:$G$118</f>
              <numCache>
                <formatCode>_(#\ ##0_);\(#\ ##0\);_("–"_);_(@_)</formatCode>
                <ptCount val="5"/>
                <pt idx="0">
                  <v>-870.9236509110603</v>
                </pt>
                <pt idx="1">
                  <v>-919.7306353091116</v>
                </pt>
                <pt idx="2">
                  <v>-971.2727868180215</v>
                </pt>
                <pt idx="3">
                  <v>-1025.703385531112</v>
                </pt>
                <pt idx="4">
                  <v>-1083.184301432613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373977584"/>
        <axId val="1373965104"/>
      </barChart>
      <catAx>
        <axId val="137397758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373965104"/>
        <crosses val="autoZero"/>
        <auto val="1"/>
        <lblAlgn val="ctr"/>
        <lblOffset val="100"/>
        <noMultiLvlLbl val="0"/>
      </catAx>
      <valAx>
        <axId val="137396510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solidFill>
              <a:srgbClr val="D9D9D9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373977584"/>
        <crosses val="autoZero"/>
        <crossBetween val="between"/>
        <majorUnit val="30000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DCF Sensitivity: Implied Price by WACC &amp; Terminal Growth ($)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DCF!$L$97</f>
              <strCache>
                <ptCount val="1"/>
                <pt idx="0">
                  <v>g=0%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DCF!$M$97:$Q$97</f>
              <numCache>
                <formatCode>General</formatCode>
                <ptCount val="5"/>
                <pt idx="0">
                  <v>-4.584320582851147</v>
                </pt>
                <pt idx="1">
                  <v>-4.446718366535843</v>
                </pt>
                <pt idx="2">
                  <formatCode>"€"#\ ##0</formatCode>
                  <v>-4.329990893996635</v>
                </pt>
                <pt idx="3">
                  <formatCode>"€"#\ ##0</formatCode>
                  <v>-4.230057995784526</v>
                </pt>
                <pt idx="4">
                  <formatCode>"€"#\ ##0</formatCode>
                  <v>-4.143815980057607</v>
                </pt>
              </numCache>
            </numRef>
          </val>
          <smooth val="0"/>
        </ser>
        <ser>
          <idx val="1"/>
          <order val="1"/>
          <tx>
            <strRef>
              <f>DCF!$L$98</f>
              <strCache>
                <ptCount val="1"/>
                <pt idx="0">
                  <v>g=1%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DCF!$M$98:$Q$98</f>
              <numCache>
                <formatCode>"€"#\ ##0</formatCode>
                <ptCount val="5"/>
                <pt idx="0">
                  <v>-4.701050501863666</v>
                </pt>
                <pt idx="1">
                  <v>-4.543137123204237</v>
                </pt>
                <pt idx="2">
                  <v>-4.41056175028217</v>
                </pt>
                <pt idx="3">
                  <v>-4.298066924675075</v>
                </pt>
                <pt idx="4">
                  <v>-4.201730315786675</v>
                </pt>
              </numCache>
            </numRef>
          </val>
          <smooth val="0"/>
        </ser>
        <ser>
          <idx val="2"/>
          <order val="2"/>
          <tx>
            <strRef>
              <f>DCF!$L$99</f>
              <strCache>
                <ptCount val="1"/>
                <pt idx="0">
                  <v>g=2%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DCF!$M$99:$Q$99</f>
              <numCache>
                <formatCode>"€"#\ ##0</formatCode>
                <ptCount val="5"/>
                <pt idx="0">
                  <v>-4.839284066006886</v>
                </pt>
                <pt idx="1">
                  <v>-4.655819814626568</v>
                </pt>
                <pt idx="2">
                  <v>-4.503666227560404</v>
                </pt>
                <pt idx="3">
                  <v>-4.375891848978933</v>
                </pt>
                <pt idx="4">
                  <v>-4.267441014862514</v>
                </pt>
              </numCache>
            </numRef>
          </val>
          <smooth val="0"/>
        </ser>
        <ser>
          <idx val="3"/>
          <order val="3"/>
          <tx>
            <strRef>
              <f>DCF!$L$100</f>
              <strCache>
                <ptCount val="1"/>
                <pt idx="0">
                  <v>g=3% (Base)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DCF!$M$100:$Q$100</f>
              <numCache>
                <formatCode>"€"#\ ##0</formatCode>
                <ptCount val="5"/>
                <pt idx="0">
                  <v>-5.005566119490261</v>
                </pt>
                <pt idx="1">
                  <v>-4.789260582720388</v>
                </pt>
                <pt idx="2">
                  <v>-4.612475586296097</v>
                </pt>
                <pt idx="3">
                  <v>-4.465823236462892</v>
                </pt>
                <pt idx="4">
                  <v>-4.342635996829673</v>
                </pt>
              </numCache>
            </numRef>
          </val>
          <smooth val="0"/>
        </ser>
        <ser>
          <idx val="4"/>
          <order val="4"/>
          <tx>
            <strRef>
              <f>DCF!$L$101</f>
              <strCache>
                <ptCount val="1"/>
                <pt idx="0">
                  <v>g=4%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  <a:prstDash val="solid"/>
              </a:ln>
            </spPr>
          </marker>
          <cat>
            <strRef>
              <f>DCF!$M$96:$Q$96</f>
              <strCache>
                <ptCount val="5"/>
                <pt idx="0">
                  <v>12,9%</v>
                </pt>
                <pt idx="1">
                  <v>13,9%</v>
                </pt>
                <pt idx="2">
                  <v>14,9%</v>
                </pt>
                <pt idx="3">
                  <v>15,9%</v>
                </pt>
                <pt idx="4">
                  <v>16,9%</v>
                </pt>
              </strCache>
            </strRef>
          </cat>
          <val>
            <numRef>
              <f>DCF!$M$101:$Q$101</f>
              <numCache>
                <formatCode>"€"#\ ##0</formatCode>
                <ptCount val="5"/>
                <pt idx="0">
                  <v>-5.209397371571376</v>
                </pt>
                <pt idx="1">
                  <v>-4.949777350659972</v>
                </pt>
                <pt idx="2">
                  <v>-4.741329487655869</v>
                </pt>
                <pt idx="3">
                  <v>-4.570924267996511</v>
                </pt>
                <pt idx="4">
                  <v>-4.429528327540271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11412480"/>
        <axId val="211413440"/>
      </lineChart>
      <catAx>
        <axId val="2114124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13440"/>
        <crosses val="autoZero"/>
        <auto val="1"/>
        <lblAlgn val="ctr"/>
        <lblOffset val="100"/>
        <noMultiLvlLbl val="0"/>
      </catAx>
      <valAx>
        <axId val="21141344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1248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Projection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DCF!$C$120:$G$120</f>
              <strCache>
                <ptCount val="5"/>
                <pt idx="0">
                  <v>2026F</v>
                </pt>
                <pt idx="1">
                  <v>2027F</v>
                </pt>
                <pt idx="2">
                  <v>2028F</v>
                </pt>
                <pt idx="3">
                  <v>2029F</v>
                </pt>
                <pt idx="4">
                  <v>2030F</v>
                </pt>
              </strCache>
            </strRef>
          </cat>
          <val>
            <numRef>
              <f>DCF!$C$121:$G$121</f>
              <numCache>
                <formatCode>_(#\ ##0_);\(#\ ##0\);_("–"_);_(@_)</formatCode>
                <ptCount val="5"/>
                <pt idx="0">
                  <v>100141.1511367534</v>
                </pt>
                <pt idx="1">
                  <v>105753.1098842533</v>
                </pt>
                <pt idx="2">
                  <v>111679.5655256489</v>
                </pt>
                <pt idx="3">
                  <v>117938.1426196227</v>
                </pt>
                <pt idx="4">
                  <v>124547.4534136861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211442720"/>
        <axId val="211471040"/>
      </lineChart>
      <catAx>
        <axId val="2114427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71040"/>
        <crosses val="autoZero"/>
        <auto val="1"/>
        <lblAlgn val="ctr"/>
        <lblOffset val="100"/>
        <noMultiLvlLbl val="0"/>
      </catAx>
      <valAx>
        <axId val="21147104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(#\ ##0_);\(#\ ##0\);_(&quot;–&quot;_);_(@_)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42720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Peer EV Multiples vs. Target (x)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COMPARABLES!$B$48</f>
              <strCache>
                <ptCount val="1"/>
                <pt idx="0">
                  <v>General Motors Company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COMPARABLES!$C$48:$D$48</f>
              <numCache>
                <formatCode>0.00</formatCode>
                <ptCount val="2"/>
                <pt idx="0">
                  <v>9.830597878495659</v>
                </pt>
                <pt idx="1">
                  <v>0.936680020069289</v>
                </pt>
              </numCache>
            </numRef>
          </val>
        </ser>
        <ser>
          <idx val="1"/>
          <order val="1"/>
          <tx>
            <strRef>
              <f>COMPARABLES!$B$49</f>
              <strCache>
                <ptCount val="1"/>
                <pt idx="0">
                  <v>Ford Motor Company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COMPARABLES!$C$49:$D$49</f>
              <numCache>
                <formatCode>0.00</formatCode>
                <ptCount val="2"/>
                <pt idx="0">
                  <v>34.00177081401817</v>
                </pt>
                <pt idx="1">
                  <v>0.9791983649442578</v>
                </pt>
              </numCache>
            </numRef>
          </val>
        </ser>
        <ser>
          <idx val="2"/>
          <order val="2"/>
          <tx>
            <strRef>
              <f>COMPARABLES!$B$50</f>
              <strCache>
                <ptCount val="1"/>
                <pt idx="0">
                  <v>STLA.MI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COMPARABLES!$C$50:$D$50</f>
              <numCache>
                <formatCode>0.00</formatCode>
                <ptCount val="2"/>
                <pt idx="0">
                  <v>13.08568788521179</v>
                </pt>
                <pt idx="1">
                  <v>6.634589482798085</v>
                </pt>
              </numCache>
            </numRef>
          </val>
        </ser>
        <ser>
          <idx val="3"/>
          <order val="3"/>
          <tx>
            <strRef>
              <f>COMPARABLES!$B$51</f>
              <strCache>
                <ptCount val="1"/>
                <pt idx="0">
                  <v>Bayerische Motoren Werke Aktiengesellschaft</v>
                </pt>
              </strCache>
            </strRef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COMPARABLES!$C$51:$D$51</f>
              <numCache>
                <formatCode>0.00</formatCode>
                <ptCount val="2"/>
                <pt idx="0">
                  <v>9.173548469063652</v>
                </pt>
                <pt idx="1">
                  <v>1.082103811828883</v>
                </pt>
              </numCache>
            </numRef>
          </val>
        </ser>
        <ser>
          <idx val="4"/>
          <order val="4"/>
          <tx>
            <strRef>
              <f>COMPARABLES!$B$52</f>
              <strCache>
                <ptCount val="1"/>
                <pt idx="0">
                  <v>Volkswagen AG</v>
                </pt>
              </strCache>
            </strRef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COMPARABLES!$C$52:$D$52</f>
              <numCache>
                <formatCode>0.00</formatCode>
                <ptCount val="2"/>
                <pt idx="0">
                  <v>10.64979911081838</v>
                </pt>
                <pt idx="1">
                  <v>0.8036485634317347</v>
                </pt>
              </numCache>
            </numRef>
          </val>
        </ser>
        <ser>
          <idx val="5"/>
          <order val="5"/>
          <tx>
            <strRef>
              <f>COMPARABLES!$B$53</f>
              <strCache>
                <ptCount val="1"/>
                <pt idx="0">
                  <v>Mean</v>
                </pt>
              </strCache>
            </strRef>
          </tx>
          <spPr>
            <a:solidFill xmlns:a="http://schemas.openxmlformats.org/drawingml/2006/main">
              <a:schemeClr val="accent6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COMPARABLES!$C$47:$D$47</f>
              <strCache>
                <ptCount val="2"/>
                <pt idx="0">
                  <v>EV/EBITDA (x)</v>
                </pt>
                <pt idx="1">
                  <v>EV/Revenue (x)</v>
                </pt>
              </strCache>
            </strRef>
          </cat>
          <val>
            <numRef>
              <f>COMPARABLES!$C$53:$D$53</f>
              <numCache>
                <formatCode>0.00</formatCode>
                <ptCount val="2"/>
                <pt idx="0">
                  <v>15.34828083152153</v>
                </pt>
                <pt idx="1">
                  <v>2.08724404861445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2"/>
        <axId val="2064804656"/>
        <axId val="2064801296"/>
      </barChart>
      <catAx>
        <axId val="20648046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1296"/>
        <crosses val="autoZero"/>
        <auto val="1"/>
        <lblAlgn val="ctr"/>
        <lblOffset val="100"/>
        <noMultiLvlLbl val="0"/>
      </catAx>
      <valAx>
        <axId val="206480129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465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Implied Share Price by Valuation Method ($)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clustered"/>
        <varyColors val="0"/>
        <ser>
          <idx val="0"/>
          <order val="0"/>
          <tx>
            <strRef>
              <f>COMPARABLES!$H$55</f>
              <strCache>
                <ptCount val="1"/>
                <pt idx="0">
                  <v>EV/EBITDA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COMPARABLES!$I$55:$K$55</f>
              <numCache>
                <formatCode>General</formatCode>
                <ptCount val="3"/>
                <pt idx="0">
                  <v>12.05193952332632</v>
                </pt>
                <pt idx="1">
                  <v>101.7701600779319</v>
                </pt>
                <pt idx="2">
                  <formatCode>#,##0</formatCode>
                  <v>375.97</v>
                </pt>
              </numCache>
            </numRef>
          </val>
        </ser>
        <ser>
          <idx val="1"/>
          <order val="1"/>
          <tx>
            <strRef>
              <f>COMPARABLES!$H$56</f>
              <strCache>
                <ptCount val="1"/>
                <pt idx="0">
                  <v>EV/Revenue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COMPARABLES!$I$56:$K$56</f>
              <numCache>
                <formatCode>General</formatCode>
                <ptCount val="3"/>
                <pt idx="0">
                  <v>12.05193952332632</v>
                </pt>
                <pt idx="1">
                  <v>101.7701600779319</v>
                </pt>
                <pt idx="2">
                  <formatCode>#,##0</formatCode>
                  <v>375.97</v>
                </pt>
              </numCache>
            </numRef>
          </val>
        </ser>
        <ser>
          <idx val="2"/>
          <order val="2"/>
          <tx>
            <strRef>
              <f>COMPARABLES!$H$57</f>
              <strCache>
                <ptCount val="1"/>
                <pt idx="0">
                  <v>P/E</v>
                </pt>
              </strCache>
            </strRef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COMPARABLES!$I$54:$K$54</f>
              <strCache>
                <ptCount val="3"/>
                <pt idx="0">
                  <v>Low ($)</v>
                </pt>
                <pt idx="1">
                  <v>High ($)</v>
                </pt>
                <pt idx="2">
                  <v>Current ($)</v>
                </pt>
              </strCache>
            </strRef>
          </cat>
          <val>
            <numRef>
              <f>COMPARABLES!$I$57:$K$57</f>
              <numCache>
                <formatCode>General</formatCode>
                <ptCount val="3"/>
                <pt idx="0">
                  <v>12.05193952332632</v>
                </pt>
                <pt idx="1">
                  <v>101.7701600779319</v>
                </pt>
                <pt idx="2">
                  <formatCode>#,##0</formatCode>
                  <v>375.97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064802736"/>
        <axId val="2064819536"/>
      </barChart>
      <catAx>
        <axId val="206480273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19536"/>
        <crosses val="autoZero"/>
        <auto val="1"/>
        <lblAlgn val="ctr"/>
        <lblOffset val="100"/>
        <noMultiLvlLbl val="0"/>
      </catAx>
      <valAx>
        <axId val="20648195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273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Revenue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SCENARIOS!$B$58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SCENARIOS!$C$58:$G$58</f>
              <numCache>
                <formatCode>#,##0</formatCode>
                <ptCount val="5"/>
                <pt idx="0">
                  <formatCode>_(#\ ##0_);\(#\ ##0\);_("–"_);_(@_)</formatCode>
                  <v>92047.9059166752</v>
                </pt>
                <pt idx="1">
                  <v>89350.25872003849</v>
                </pt>
                <pt idx="2">
                  <formatCode>_(#\ ##0_);\(#\ ##0\);_("–"_);_(@_)</formatCode>
                  <v>86731.67144687368</v>
                </pt>
                <pt idx="3">
                  <formatCode>_(#\ ##0_);\(#\ ##0\);_("–"_);_(@_)</formatCode>
                  <v>84189.8270886753</v>
                </pt>
                <pt idx="4">
                  <formatCode>_(#\ ##0_);\(#\ ##0\);_("–"_);_(@_)</formatCode>
                  <v>81722.47654148647</v>
                </pt>
              </numCache>
            </numRef>
          </val>
          <smooth val="0"/>
        </ser>
        <ser>
          <idx val="1"/>
          <order val="1"/>
          <tx>
            <strRef>
              <f>SCENARIOS!$B$59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SCENARIOS!$C$59:$G$59</f>
              <numCache>
                <formatCode>#,##0</formatCode>
                <ptCount val="5"/>
                <pt idx="0">
                  <formatCode>_(#\ ##0_);\(#\ ##0\);_("–"_);_(@_)</formatCode>
                  <v>92047.9059166752</v>
                </pt>
                <pt idx="1">
                  <v>89350.25872003849</v>
                </pt>
                <pt idx="2">
                  <formatCode>_(#\ ##0_);\(#\ ##0\);_("–"_);_(@_)</formatCode>
                  <v>86731.67144687368</v>
                </pt>
                <pt idx="3">
                  <formatCode>_(#\ ##0_);\(#\ ##0\);_("–"_);_(@_)</formatCode>
                  <v>84189.8270886753</v>
                </pt>
                <pt idx="4">
                  <formatCode>_(#\ ##0_);\(#\ ##0\);_("–"_);_(@_)</formatCode>
                  <v>81722.47654148647</v>
                </pt>
              </numCache>
            </numRef>
          </val>
          <smooth val="0"/>
        </ser>
        <ser>
          <idx val="2"/>
          <order val="2"/>
          <tx>
            <strRef>
              <f>SCENARIOS!$B$60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SCENARIOS!$C$57:$G$57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SCENARIOS!$C$60:$G$60</f>
              <numCache>
                <formatCode>#,##0</formatCode>
                <ptCount val="5"/>
                <pt idx="0">
                  <formatCode>_(#\ ##0_);\(#\ ##0\);_("–"_);_(@_)</formatCode>
                  <v>92047.9059166752</v>
                </pt>
                <pt idx="1">
                  <v>89350.25872003849</v>
                </pt>
                <pt idx="2">
                  <formatCode>_(#\ ##0_);\(#\ ##0\);_("–"_);_(@_)</formatCode>
                  <v>86731.67144687368</v>
                </pt>
                <pt idx="3">
                  <formatCode>_(#\ ##0_);\(#\ ##0\);_("–"_);_(@_)</formatCode>
                  <v>84189.8270886753</v>
                </pt>
                <pt idx="4">
                  <formatCode>_(#\ ##0_);\(#\ ##0\);_("–"_);_(@_)</formatCode>
                  <v>81722.47654148647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766618623"/>
        <axId val="766619103"/>
      </lineChart>
      <catAx>
        <axId val="766618623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766619103"/>
        <crosses val="autoZero"/>
        <auto val="1"/>
        <lblAlgn val="ctr"/>
        <lblOffset val="100"/>
        <noMultiLvlLbl val="0"/>
      </catAx>
      <valAx>
        <axId val="76661910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766618623"/>
        <crosses val="autoZero"/>
        <crossBetween val="between"/>
        <majorUnit val="10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100" b="1" i="0" strike="noStrike" kern="1200" spc="0" baseline="0">
                <a:solidFill>
                  <a:srgbClr val="1B3E70"/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EBITDA by Scenario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SCENARIOS!$B$63</f>
              <strCache>
                <ptCount val="1"/>
                <pt idx="0">
                  <v>Pessimistic</v>
                </pt>
              </strCache>
            </strRef>
          </tx>
          <spPr>
            <a:ln xmlns:a="http://schemas.openxmlformats.org/drawingml/2006/main" w="28575" cap="rnd">
              <a:solidFill>
                <a:srgbClr val="EB610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numRef>
              <f>SCENARIOS!$C$62:$G$62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SCENARIOS!$C$63:$G$63</f>
              <numCache>
                <formatCode>#,##0</formatCode>
                <ptCount val="5"/>
                <pt idx="0">
                  <formatCode>_(#\ ##0_);\(#\ ##0\);_("–"_);_(@_)</formatCode>
                  <v>1945.453220698127</v>
                </pt>
                <pt idx="1">
                  <v>1888.43783968821</v>
                </pt>
                <pt idx="2">
                  <formatCode>_(#\ ##0_);\(#\ ##0\);_("–"_);_(@_)</formatCode>
                  <v>1833.093407965134</v>
                </pt>
                <pt idx="3">
                  <formatCode>_(#\ ##0_);\(#\ ##0\);_("–"_);_(@_)</formatCode>
                  <v>1779.370955032345</v>
                </pt>
                <pt idx="4">
                  <formatCode>_(#\ ##0_);\(#\ ##0\);_("–"_);_(@_)</formatCode>
                  <v>1727.222945571217</v>
                </pt>
              </numCache>
            </numRef>
          </val>
          <smooth val="0"/>
        </ser>
        <ser>
          <idx val="1"/>
          <order val="1"/>
          <tx>
            <strRef>
              <f>SCENARIOS!$B$64</f>
              <strCache>
                <ptCount val="1"/>
                <pt idx="0">
                  <v>Realistic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numRef>
              <f>SCENARIOS!$C$62:$G$62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SCENARIOS!$C$64:$G$64</f>
              <numCache>
                <formatCode>#,##0</formatCode>
                <ptCount val="5"/>
                <pt idx="0">
                  <formatCode>_(#\ ##0_);\(#\ ##0\);_("–"_);_(@_)</formatCode>
                  <v>4706.890398198383</v>
                </pt>
                <pt idx="1">
                  <v>4568.945601289365</v>
                </pt>
                <pt idx="2">
                  <formatCode>_(#\ ##0_);\(#\ ##0\);_("–"_);_(@_)</formatCode>
                  <v>4435.043551371344</v>
                </pt>
                <pt idx="3">
                  <formatCode>_(#\ ##0_);\(#\ ##0\);_("–"_);_(@_)</formatCode>
                  <v>4305.065767692604</v>
                </pt>
                <pt idx="4">
                  <formatCode>_(#\ ##0_);\(#\ ##0\);_("–"_);_(@_)</formatCode>
                  <v>4178.897241815811</v>
                </pt>
              </numCache>
            </numRef>
          </val>
          <smooth val="0"/>
        </ser>
        <ser>
          <idx val="2"/>
          <order val="2"/>
          <tx>
            <strRef>
              <f>SCENARIOS!$B$65</f>
              <strCache>
                <ptCount val="1"/>
                <pt idx="0">
                  <v>Optimistic</v>
                </pt>
              </strCache>
            </strRef>
          </tx>
          <spPr>
            <a:ln xmlns:a="http://schemas.openxmlformats.org/drawingml/2006/main" w="28575" cap="rnd">
              <a:solidFill>
                <a:srgbClr val="1B3E70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numRef>
              <f>SCENARIOS!$C$62:$G$62</f>
              <numCache>
                <formatCode>0</formatCode>
                <ptCount val="5"/>
                <pt idx="0">
                  <v>2026</v>
                </pt>
                <pt idx="1">
                  <v>2027</v>
                </pt>
                <pt idx="2">
                  <v>2028</v>
                </pt>
                <pt idx="3">
                  <v>2029</v>
                </pt>
                <pt idx="4">
                  <v>2030</v>
                </pt>
              </numCache>
            </numRef>
          </cat>
          <val>
            <numRef>
              <f>SCENARIOS!$C$65:$G$65</f>
              <numCache>
                <formatCode>#,##0</formatCode>
                <ptCount val="5"/>
                <pt idx="0">
                  <formatCode>_(#\ ##0_);\(#\ ##0\);_("–"_);_(@_)</formatCode>
                  <v>7468.327575698639</v>
                </pt>
                <pt idx="1">
                  <v>7249.45336289052</v>
                </pt>
                <pt idx="2">
                  <formatCode>_(#\ ##0_);\(#\ ##0\);_("–"_);_(@_)</formatCode>
                  <v>7036.993694777554</v>
                </pt>
                <pt idx="3">
                  <formatCode>_(#\ ##0_);\(#\ ##0\);_("–"_);_(@_)</formatCode>
                  <v>6830.760580352863</v>
                </pt>
                <pt idx="4">
                  <formatCode>_(#\ ##0_);\(#\ ##0\);_("–"_);_(@_)</formatCode>
                  <v>6630.571538060404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411816384"/>
        <axId val="1411817344"/>
      </lineChart>
      <catAx>
        <axId val="1411816384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rgbClr val="D4D4D4"/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411817344"/>
        <crosses val="autoZero"/>
        <auto val="1"/>
        <lblAlgn val="ctr"/>
        <lblOffset val="100"/>
        <noMultiLvlLbl val="0"/>
      </catAx>
      <valAx>
        <axId val="141181734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D4D4D4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rgbClr val="595959"/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411816384"/>
        <crosses val="autoZero"/>
        <crossBetween val="between"/>
        <majorUnit val="50000"/>
      </valAx>
    </plotArea>
    <legend>
      <legendPos val="b"/>
      <overlay val="0"/>
      <spPr>
        <a:solidFill xmlns:a="http://schemas.openxmlformats.org/drawingml/2006/main">
          <a:srgbClr val="FFFFFF"/>
        </a:solidFill>
        <a:ln xmlns:a="http://schemas.openxmlformats.org/drawingml/2006/main" w="25400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rgbClr val="595959"/>
              </a:solidFill>
              <a:latin typeface="Open Sans"/>
              <a:ea typeface="Open Sans"/>
              <a:cs typeface="Open San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25400" cap="flat" cmpd="sng" algn="ctr">
      <a:noFill/>
      <a:prstDash val="solid"/>
      <a:round/>
    </a:ln>
  </spPr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Margins (%)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v>Gross Margin</v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DASHBOARD!$K$85:$N$85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DASHBOARD!$K$86:$N$86</f>
              <numCache>
                <formatCode>General</formatCode>
                <ptCount val="4"/>
                <pt idx="0">
                  <v>0.25598438535759</v>
                </pt>
                <pt idx="1">
                  <v>0.1824889173633142</v>
                </pt>
                <pt idx="2">
                  <v>0.178626266762207</v>
                </pt>
                <pt idx="3">
                  <v>0.1802651143661615</v>
                </pt>
              </numCache>
            </numRef>
          </val>
          <smooth val="0"/>
        </ser>
        <ser>
          <idx val="1"/>
          <order val="1"/>
          <tx>
            <v>EBITDA Margin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DASHBOARD!$K$85:$N$85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DASHBOARD!$K$87:$N$87</f>
              <numCache>
                <formatCode>General</formatCode>
                <ptCount val="4"/>
                <pt idx="0">
                  <v>0.1697969605460214</v>
                </pt>
                <pt idx="1">
                  <v>0.09187479978919739</v>
                </pt>
                <pt idx="2">
                  <v>0.07943494728221927</v>
                </pt>
                <pt idx="3">
                  <v>0.05113522519957396</v>
                </pt>
              </numCache>
            </numRef>
          </val>
          <smooth val="0"/>
        </ser>
        <ser>
          <idx val="2"/>
          <order val="2"/>
          <tx>
            <v>Net Margin</v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DASHBOARD!$K$85:$N$85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DASHBOARD!$K$88:$N$88</f>
              <numCache>
                <formatCode>General</formatCode>
                <ptCount val="4"/>
                <pt idx="0">
                  <v>0.09883135695170754</v>
                </pt>
                <pt idx="1">
                  <v>0.04191251692104202</v>
                </pt>
                <pt idx="2">
                  <v>0.02920462688094994</v>
                </pt>
                <pt idx="3">
                  <v>0.0003585476710219663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064799856"/>
        <axId val="2064804176"/>
      </lineChart>
      <catAx>
        <axId val="20647998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04176"/>
        <crosses val="autoZero"/>
        <auto val="1"/>
        <lblAlgn val="ctr"/>
        <lblOffset val="100"/>
        <noMultiLvlLbl val="0"/>
      </catAx>
      <valAx>
        <axId val="206480417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%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79985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Expense Breakdown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v>SG&amp;A</v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DASHBOARD!$K$91:$N$91</f>
              <numCache>
                <formatCode>General</formatCode>
                <ptCount val="4"/>
                <pt idx="0">
                  <v>3946</v>
                </pt>
                <pt idx="1">
                  <v>4800</v>
                </pt>
                <pt idx="2">
                  <v>5150</v>
                </pt>
                <pt idx="3">
                  <v>5834</v>
                </pt>
              </numCache>
            </numRef>
          </val>
        </ser>
        <ser>
          <idx val="1"/>
          <order val="1"/>
          <tx>
            <v>R&amp;D</v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DASHBOARD!$K$92:$N$92</f>
              <numCache>
                <formatCode>General</formatCode>
                <ptCount val="4"/>
                <pt idx="0">
                  <v>3075</v>
                </pt>
                <pt idx="1">
                  <v>3969</v>
                </pt>
                <pt idx="2">
                  <v>4540</v>
                </pt>
                <pt idx="3">
                  <v>6411</v>
                </pt>
              </numCache>
            </numRef>
          </val>
        </ser>
        <ser>
          <idx val="2"/>
          <order val="2"/>
          <tx>
            <v>D&amp;A</v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DASHBOARD!$K$93:$N$93</f>
              <numCache>
                <formatCode>General</formatCode>
                <ptCount val="4"/>
                <pt idx="0">
                  <v>3747</v>
                </pt>
                <pt idx="1">
                  <v>4667</v>
                </pt>
                <pt idx="2">
                  <v>5368</v>
                </pt>
                <pt idx="3">
                  <v>6148</v>
                </pt>
              </numCache>
            </numRef>
          </val>
        </ser>
        <ser>
          <idx val="3"/>
          <order val="3"/>
          <tx>
            <v>Interest</v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DASHBOARD!$K$90:$N$90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DASHBOARD!$K$94:$N$94</f>
              <numCache>
                <formatCode>General</formatCode>
                <ptCount val="4"/>
                <pt idx="0">
                  <v>191</v>
                </pt>
                <pt idx="1">
                  <v>156</v>
                </pt>
                <pt idx="2">
                  <v>350</v>
                </pt>
                <pt idx="3">
                  <v>338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2064832016"/>
        <axId val="2064833936"/>
      </barChart>
      <catAx>
        <axId val="20648320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33936"/>
        <crosses val="autoZero"/>
        <auto val="1"/>
        <lblAlgn val="ctr"/>
        <lblOffset val="100"/>
        <noMultiLvlLbl val="0"/>
      </catAx>
      <valAx>
        <axId val="20648339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064832016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DASHBOARD!$R$7</f>
              <strCache>
                <ptCount val="1"/>
                <pt idx="0">
                  <v>Revenue</v>
                </pt>
              </strCache>
            </strRef>
          </tx>
          <spPr>
            <a:solidFill xmlns:a="http://schemas.openxmlformats.org/drawingml/2006/main">
              <a:srgbClr val="3271D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DASHBOARD!$Q$8:$Q$11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DASHBOARD!$R$8:$R$11</f>
              <numCache>
                <formatCode>General</formatCode>
                <ptCount val="4"/>
                <pt idx="0">
                  <v>81462</v>
                </pt>
                <pt idx="1">
                  <v>96773</v>
                </pt>
                <pt idx="2">
                  <v>97690</v>
                </pt>
                <pt idx="3">
                  <v>94827</v>
                </pt>
              </numCache>
            </numRef>
          </val>
        </ser>
        <ser>
          <idx val="1"/>
          <order val="1"/>
          <tx>
            <strRef>
              <f>DASHBOARD!$S$7</f>
              <strCache>
                <ptCount val="1"/>
                <pt idx="0">
                  <v>Net Income</v>
                </pt>
              </strCache>
            </strRef>
          </tx>
          <spPr>
            <a:solidFill xmlns:a="http://schemas.openxmlformats.org/drawingml/2006/main">
              <a:srgbClr val="2E8B57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DASHBOARD!$Q$8:$Q$11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DASHBOARD!$S$8:$S$11</f>
              <numCache>
                <formatCode>General</formatCode>
                <ptCount val="4"/>
                <pt idx="0">
                  <v>4056</v>
                </pt>
                <pt idx="1">
                  <v>2853</v>
                </pt>
                <pt idx="2">
                  <v>2853</v>
                </pt>
                <pt idx="3">
                  <v>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211452320"/>
        <axId val="211469120"/>
      </barChart>
      <catAx>
        <axId val="2114523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69120"/>
        <crosses val="autoZero"/>
        <auto val="1"/>
        <lblAlgn val="ctr"/>
        <lblOffset val="100"/>
        <noMultiLvlLbl val="0"/>
      </catAx>
      <valAx>
        <axId val="21146912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523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Revenue 2022–2024 ($)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DASHBOARD!$R$2</f>
              <strCache>
                <ptCount val="1"/>
                <pt idx="0">
                  <v>Cumul Revenue</v>
                </pt>
              </strCache>
            </strRef>
          </tx>
          <spPr>
            <a:ln xmlns:a="http://schemas.openxmlformats.org/drawingml/2006/main" w="28575" cap="rnd">
              <a:solidFill>
                <a:srgbClr val="3271D2"/>
              </a:solidFill>
              <a:prstDash val="solid"/>
              <a:round/>
            </a:ln>
          </spPr>
          <marker>
            <symbol val="circle"/>
            <size val="6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numRef>
              <f>DASHBOARD!$Q$3:$Q$5</f>
              <numCache>
                <formatCode>0</formatCode>
                <ptCount val="3"/>
                <pt idx="0">
                  <v>2022</v>
                </pt>
                <pt idx="1">
                  <v>2023</v>
                </pt>
                <pt idx="2">
                  <v>2024</v>
                </pt>
              </numCache>
            </numRef>
          </cat>
          <val>
            <numRef>
              <f>DASHBOARD!$R$3:$R$5</f>
              <numCache>
                <formatCode>General</formatCode>
                <ptCount val="3"/>
                <pt idx="0">
                  <v>178235</v>
                </pt>
                <pt idx="1">
                  <v>275925</v>
                </pt>
                <pt idx="2">
                  <v>370752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57896928"/>
        <axId val="457886848"/>
      </lineChart>
      <catAx>
        <axId val="457896928"/>
        <scaling>
          <orientation val="minMax"/>
        </scaling>
        <delete val="0"/>
        <axPos val="b"/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457886848"/>
        <crosses val="autoZero"/>
        <auto val="1"/>
        <lblAlgn val="ctr"/>
        <lblOffset val="100"/>
        <noMultiLvlLbl val="0"/>
      </catAx>
      <valAx>
        <axId val="45788684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457896928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1606249485220246"/>
          <y val="0.0347253763510769"/>
          <w val="0.8044599710369227"/>
          <h val="0.8684485473521368"/>
        </manualLayout>
      </layout>
      <barChart>
        <barDir val="bar"/>
        <grouping val="stacked"/>
        <varyColors val="0"/>
        <ser>
          <idx val="0"/>
          <order val="0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invertIfNegative val="0"/>
          <dLbls>
            <dLbl>
              <idx val="0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1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2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inEnd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ctr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2'!$V$85:$V$89</f>
              <numCache>
                <formatCode>General</formatCode>
                <ptCount val="5"/>
                <pt idx="0">
                  <v>281.9775</v>
                </pt>
                <pt idx="1">
                  <v>413.5670000000001</v>
                </pt>
                <pt idx="2">
                  <v>451.164</v>
                </pt>
                <pt idx="3">
                  <v>488.761</v>
                </pt>
                <pt idx="4">
                  <v>432.3655</v>
                </pt>
              </numCache>
            </numRef>
          </val>
        </ser>
        <ser>
          <idx val="1"/>
          <order val="1"/>
          <spPr>
            <a:solidFill xmlns:a="http://schemas.openxmlformats.org/drawingml/2006/main">
              <a:srgbClr val="1B3E70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2'!$W$85:$W$89</f>
              <numCache>
                <formatCode>General</formatCode>
                <ptCount val="5"/>
                <pt idx="0">
                  <v>263.179</v>
                </pt>
                <pt idx="1">
                  <v>187.985</v>
                </pt>
                <pt idx="2">
                  <v>206.7834999999999</v>
                </pt>
                <pt idx="3">
                  <v>206.7835000000001</v>
                </pt>
                <pt idx="4">
                  <v>206.7835</v>
                </pt>
              </numCache>
            </numRef>
          </val>
        </ser>
        <ser>
          <idx val="2"/>
          <order val="2"/>
          <spPr>
            <a:solidFill xmlns:a="http://schemas.openxmlformats.org/drawingml/2006/main">
              <a:sysClr val="window" lastClr="FFFFFF"/>
            </a:solidFill>
            <a:ln xmlns:a="http://schemas.openxmlformats.org/drawingml/2006/main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dLblPos val="inBase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2'!$S$85:$S$89</f>
              <strCache>
                <ptCount val="5"/>
                <pt idx="0">
                  <v>52-Week Trading Range</v>
                </pt>
                <pt idx="1">
                  <v>Consensus Research</v>
                </pt>
                <pt idx="2">
                  <v>Precedent Trans.</v>
                </pt>
                <pt idx="3">
                  <v>Sum-of-the-Parts</v>
                </pt>
                <pt idx="4">
                  <v>Discounted Cash Flow</v>
                </pt>
              </strCache>
            </strRef>
          </cat>
          <val>
            <numRef>
              <f>'DASHBOARD 2'!$X$85:$X$89</f>
              <numCache>
                <formatCode>General</formatCode>
                <ptCount val="5"/>
                <pt idx="0">
                  <v>545.1565000000001</v>
                </pt>
                <pt idx="1">
                  <v>601.552</v>
                </pt>
                <pt idx="2">
                  <v>657.9475</v>
                </pt>
                <pt idx="3">
                  <v>695.5445000000001</v>
                </pt>
                <pt idx="4">
                  <v>639.149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85"/>
        <overlap val="100"/>
        <axId val="1578284831"/>
        <axId val="1578285791"/>
      </barChart>
      <catAx>
        <axId val="1578284831"/>
        <scaling>
          <orientation val="minMax"/>
        </scaling>
        <delete val="0"/>
        <axPos val="l"/>
        <numFmt formatCode="General" sourceLinked="1"/>
        <majorTickMark val="none"/>
        <minorTickMark val="none"/>
        <tickLblPos val="low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578285791"/>
        <crosses val="autoZero"/>
        <auto val="1"/>
        <lblAlgn val="ctr"/>
        <lblOffset val="100"/>
        <noMultiLvlLbl val="0"/>
      </catAx>
      <valAx>
        <axId val="1578285791"/>
        <scaling>
          <orientation val="minMax"/>
        </scaling>
        <delete val="0"/>
        <axPos val="b"/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t/>
            </a:r>
            <a:endParaRPr lang="fr-FR"/>
          </a:p>
        </txPr>
        <crossAx val="1578284831"/>
        <crosses val="autoZero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Open Sans"/>
                <a:ea typeface="Open Sans"/>
                <a:cs typeface="Open Sans"/>
              </a:defRPr>
            </a:pPr>
            <a:r>
              <a:rPr lang="en-US"/>
              <a:t>Total Revenue ($000)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barChart>
        <barDir val="col"/>
        <grouping val="stacked"/>
        <varyColors val="0"/>
        <ser>
          <idx val="0"/>
          <order val="0"/>
          <tx>
            <v>Total Revenue</v>
          </tx>
          <spPr>
            <a:solidFill xmlns:a="http://schemas.openxmlformats.org/drawingml/2006/main">
              <a:schemeClr val="accent1"/>
            </a:solidFill>
            <a:ln xmlns:a="http://schemas.openxmlformats.org/drawingml/2006/main" w="25400">
              <a:noFill/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2'!$C$103:$G$103</f>
              <strCache>
                <ptCount val="5"/>
                <pt idx="1">
                  <v>2022</v>
                </pt>
                <pt idx="2">
                  <v>2023</v>
                </pt>
                <pt idx="3">
                  <v>2024</v>
                </pt>
                <pt idx="4">
                  <v>2025 (LTM)</v>
                </pt>
              </strCache>
            </strRef>
          </cat>
          <val>
            <numRef>
              <f>'DASHBOARD 2'!$C$105:$G$105</f>
              <numCache>
                <formatCode>General</formatCode>
                <ptCount val="5"/>
                <pt idx="0">
                  <v>0</v>
                </pt>
                <pt idx="1">
                  <v>81462</v>
                </pt>
                <pt idx="2">
                  <v>96773</v>
                </pt>
                <pt idx="3">
                  <v>97690</v>
                </pt>
                <pt idx="4">
                  <v>94827</v>
                </pt>
              </numCache>
            </numRef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52"/>
        <overlap val="100"/>
        <axId val="1595827455"/>
        <axId val="1595828895"/>
      </barChart>
      <lineChart>
        <grouping val="standard"/>
        <varyColors val="0"/>
        <ser>
          <idx val="1"/>
          <order val="1"/>
          <tx>
            <v>Revenue Growth (%)</v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dLbl>
              <idx val="2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3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dLbl>
              <idx val="4"/>
              <dLblPos val="t"/>
              <showLegendKey val="0"/>
              <showVal val="1"/>
              <showCatName val="0"/>
              <showSerName val="0"/>
              <showPercent val="0"/>
              <showBubbleSize val="0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905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ln>
                      <a:solidFill>
                        <a:schemeClr val="accent2"/>
                      </a:solidFill>
                      <a:prstDash val="solid"/>
                    </a:ln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fr-FR"/>
              </a:p>
            </tx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cat>
            <strRef>
              <f>'DASHBOARD 2'!$C$103:$G$103</f>
              <strCache>
                <ptCount val="5"/>
                <pt idx="1">
                  <v>2022</v>
                </pt>
                <pt idx="2">
                  <v>2023</v>
                </pt>
                <pt idx="3">
                  <v>2024</v>
                </pt>
                <pt idx="4">
                  <v>2025 (LTM)</v>
                </pt>
              </strCache>
            </strRef>
          </cat>
          <val>
            <numRef>
              <f>'DASHBOARD 2'!$C$104:$G$104</f>
              <numCache>
                <formatCode>General</formatCode>
                <ptCount val="5"/>
                <pt idx="0">
                  <v>0</v>
                </pt>
                <pt idx="1">
                  <v>0</v>
                </pt>
                <pt idx="2">
                  <v>0.1879526650462793</v>
                </pt>
                <pt idx="3">
                  <v>0.009475783534663496</v>
                </pt>
                <pt idx="4">
                  <v>-0.02930699150373628</v>
                </pt>
              </numCache>
            </numRef>
          </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marker val="1"/>
        <smooth val="0"/>
        <axId val="1028833696"/>
        <axId val="1028832736"/>
      </lineChart>
      <catAx>
        <axId val="1595827455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595828895"/>
        <crosses val="autoZero"/>
        <auto val="1"/>
        <lblAlgn val="ctr"/>
        <lblOffset val="100"/>
        <noMultiLvlLbl val="0"/>
      </catAx>
      <valAx>
        <axId val="1595828895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rgbClr val="E8E8E8"/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8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595827455"/>
        <crosses val="autoZero"/>
        <crossBetween val="between"/>
      </valAx>
      <catAx>
        <axId val="1028833696"/>
        <scaling>
          <orientation val="minMax"/>
        </scaling>
        <delete val="1"/>
        <axPos val="b"/>
        <numFmt formatCode="General" sourceLinked="1"/>
        <majorTickMark val="out"/>
        <minorTickMark val="none"/>
        <tickLblPos val="nextTo"/>
        <crossAx val="1028832736"/>
        <crosses val="autoZero"/>
        <auto val="1"/>
        <lblAlgn val="ctr"/>
        <lblOffset val="100"/>
        <noMultiLvlLbl val="0"/>
      </catAx>
      <valAx>
        <axId val="1028832736"/>
        <scaling>
          <orientation val="minMax"/>
        </scaling>
        <delete val="0"/>
        <axPos val="r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028833696"/>
        <crosses val="max"/>
        <crossBetween val="between"/>
      </valAx>
    </plotArea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strRef>
              <f>INPUT!$D$115</f>
              <strCache>
                <ptCount val="1"/>
                <pt idx="0">
                  <v>TSLA</v>
                </pt>
              </strCache>
            </strRef>
          </tx>
          <spPr>
            <a:ln xmlns:a="http://schemas.openxmlformats.org/drawingml/2006/main" w="28575" cap="rnd">
              <a:solidFill>
                <a:srgbClr val="E8612C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STOCK_DATA!$B$3:$B$15</f>
              <strCache>
                <ptCount val="13"/>
                <pt idx="0">
                  <v>Apr-25</v>
                </pt>
                <pt idx="1">
                  <v>May-25</v>
                </pt>
                <pt idx="2">
                  <v>Jun-25</v>
                </pt>
                <pt idx="3">
                  <v>Jul-25</v>
                </pt>
                <pt idx="4">
                  <v>Aug-25</v>
                </pt>
                <pt idx="5">
                  <v>Sep-25</v>
                </pt>
                <pt idx="6">
                  <v>Oct-25</v>
                </pt>
                <pt idx="7">
                  <v>Nov-25</v>
                </pt>
                <pt idx="8">
                  <v>Dec-25</v>
                </pt>
                <pt idx="9">
                  <v>Jan-26</v>
                </pt>
                <pt idx="10">
                  <v>Feb-26</v>
                </pt>
                <pt idx="11">
                  <v>Mar-26</v>
                </pt>
                <pt idx="12">
                  <v>Apr-26</v>
                </pt>
              </strCache>
            </strRef>
          </cat>
          <val>
            <numRef>
              <f>STOCK_DATA!$C$3:$C$15</f>
              <numCache>
                <formatCode>"€"#\ ##0.00</formatCode>
                <ptCount val="13"/>
                <pt idx="0">
                  <v>282.16</v>
                </pt>
                <pt idx="1">
                  <v>346.46</v>
                </pt>
                <pt idx="2">
                  <v>317.66</v>
                </pt>
                <pt idx="3">
                  <v>308.27</v>
                </pt>
                <pt idx="4">
                  <v>333.87</v>
                </pt>
                <pt idx="5">
                  <v>444.72</v>
                </pt>
                <pt idx="6">
                  <v>456.56</v>
                </pt>
                <pt idx="7">
                  <v>430.17</v>
                </pt>
                <pt idx="8">
                  <v>449.72</v>
                </pt>
                <pt idx="9">
                  <v>430.41</v>
                </pt>
                <pt idx="10">
                  <v>402.51</v>
                </pt>
                <pt idx="11">
                  <v>371.75</v>
                </pt>
                <pt idx="12">
                  <v>375.97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116409328"/>
        <axId val="1116398288"/>
      </lineChart>
      <catAx>
        <axId val="111640932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116398288"/>
        <crosses val="autoZero"/>
        <auto val="1"/>
        <lblAlgn val="ctr"/>
        <lblOffset val="100"/>
        <tickLblSkip val="1"/>
        <noMultiLvlLbl val="0"/>
      </catAx>
      <valAx>
        <axId val="111639828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dashDot"/>
              <a:round/>
            </a:ln>
          </spPr>
        </majorGridlines>
        <numFmt formatCode="&quot;€&quot;#\ ##0.0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11640932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="http://schemas.openxmlformats.org/drawingml/2006/chart">
  <chart>
    <plotArea>
      <layout/>
      <lineChart>
        <grouping val="stacked"/>
        <varyColors val="0"/>
        <ser>
          <idx val="0"/>
          <order val="0"/>
          <tx>
            <strRef>
              <f>'DASHBOARD 2'!$R$96</f>
              <strCache>
                <ptCount val="1"/>
                <pt idx="0">
                  <v>EBITDA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2'!$S$96:$V$96</f>
              <numCache>
                <formatCode>General</formatCode>
                <ptCount val="4"/>
                <pt idx="0">
                  <v>13832</v>
                </pt>
                <pt idx="1">
                  <v>8891</v>
                </pt>
                <pt idx="2">
                  <v>7760</v>
                </pt>
                <pt idx="3">
                  <v>4849</v>
                </pt>
              </numCache>
            </numRef>
          </val>
          <smooth val="0"/>
        </ser>
        <ser>
          <idx val="1"/>
          <order val="1"/>
          <tx>
            <strRef>
              <f>'DASHBOARD 2'!$R$97</f>
              <strCache>
                <ptCount val="1"/>
                <pt idx="0">
                  <v>CFO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2'!$S$97:$V$97</f>
              <numCache>
                <formatCode>General</formatCode>
                <ptCount val="4"/>
                <pt idx="0">
                  <v>12578</v>
                </pt>
                <pt idx="1">
                  <v>9628</v>
                </pt>
                <pt idx="2">
                  <v>11835</v>
                </pt>
                <pt idx="3">
                  <v>9939</v>
                </pt>
              </numCache>
            </numRef>
          </val>
          <smooth val="0"/>
        </ser>
        <ser>
          <idx val="2"/>
          <order val="2"/>
          <tx>
            <strRef>
              <f>'DASHBOARD 2'!$R$98</f>
              <strCache>
                <ptCount val="1"/>
                <pt idx="0">
                  <v>Net Income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 2'!$S$95:$V$95</f>
              <strCache>
                <ptCount val="4"/>
                <pt idx="0">
                  <v>2022</v>
                </pt>
                <pt idx="1">
                  <v>2023</v>
                </pt>
                <pt idx="2">
                  <v>2024</v>
                </pt>
                <pt idx="3">
                  <v>2025 (LTM)</v>
                </pt>
              </strCache>
            </strRef>
          </cat>
          <val>
            <numRef>
              <f>'DASHBOARD 2'!$S$98:$V$98</f>
              <numCache>
                <formatCode>General</formatCode>
                <ptCount val="4"/>
                <pt idx="0">
                  <v>8051</v>
                </pt>
                <pt idx="1">
                  <v>4056</v>
                </pt>
                <pt idx="2">
                  <v>2853</v>
                </pt>
                <pt idx="3">
                  <v>34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211485920"/>
        <axId val="211486400"/>
      </lineChart>
      <catAx>
        <axId val="21148592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86400"/>
        <crosses val="autoZero"/>
        <auto val="1"/>
        <lblAlgn val="ctr"/>
        <lblOffset val="100"/>
        <noMultiLvlLbl val="0"/>
      </catAx>
      <valAx>
        <axId val="21148640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.##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211485920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Baptiste jeh</author>
  </authors>
  <commentList>
    <comment ref="E95" authorId="0" shapeId="0">
      <text>
        <t>Baptiste jeh:
AAPL avg closing price FY2022 (~Sept 2022 close). Approximate historical value.</t>
      </text>
    </comment>
    <comment ref="F95" authorId="0" shapeId="0">
      <text>
        <t>Baptiste jeh:
AAPL avg closing price FY2023 (~Sept 2023 close). Approximate historical value.</t>
      </text>
    </comment>
    <comment ref="G95" authorId="0" shapeId="0">
      <text>
        <t>Baptiste jeh:
AAPL avg closing price FY2024 (~Sept 2024 close). Approximate historical value.</t>
      </text>
    </comment>
    <comment ref="E96" authorId="0" shapeId="0">
      <text>
        <t>Baptiste jeh:
AAPL diluted shares outstanding FY2022 (~16.2B). Approximate.</t>
      </text>
    </comment>
    <comment ref="F96" authorId="0" shapeId="0">
      <text>
        <t>Baptiste jeh:
AAPL diluted shares outstanding FY2023 (~15.8B). Approximate.</t>
      </text>
    </comment>
    <comment ref="G96" authorId="0" shapeId="0">
      <text>
        <t>Baptiste jeh:
AAPL diluted shares outstanding FY2024 (~15.4B). Approximate.</t>
      </text>
    </comment>
  </commentList>
</comments>
</file>

<file path=xl/comments/comment2.xml><?xml version="1.0" encoding="utf-8"?>
<comments xmlns="http://schemas.openxmlformats.org/spreadsheetml/2006/main">
  <authors>
    <author>Baptiste jeh</author>
  </authors>
  <commentList>
    <comment ref="I29" authorId="0" shapeId="0">
      <text>
        <t>Baptiste jeh:
Moyenne des taux de croissance historiques disponibles (vs. dernier LTM seul). Basé sur RATIOS!F51:H51 (2022→2023, 2023→2024, 2024→LTM).</t>
      </text>
    </comment>
    <comment ref="I30" authorId="0" shapeId="0">
      <text>
        <t>Baptiste jeh:
Moyenne des Gross Margins historiques (toutes années disponibles)</t>
      </text>
    </comment>
    <comment ref="I31" authorId="0" shapeId="0">
      <text>
        <t>Baptiste jeh:
Moyenne SG&amp;A % du revenu (toutes années disponibles)</t>
      </text>
    </comment>
    <comment ref="I32" authorId="0" shapeId="0">
      <text>
        <t>Baptiste jeh:
Moyenne R&amp;D % du revenu (toutes années disponibles)</t>
      </text>
    </comment>
    <comment ref="I33" authorId="0" shapeId="0">
      <text>
        <t>Baptiste jeh:
Moyenne D&amp;A % du revenu (toutes années disponibles)</t>
      </text>
    </comment>
    <comment ref="I34" authorId="0" shapeId="0">
      <text>
        <t>Baptiste jeh:
Moyenne du taux d'imposition effectif (toutes années disponibles)</t>
      </text>
    </comment>
    <comment ref="I37" authorId="0" shapeId="0">
      <text>
        <t>Baptiste jeh:
Moyenne CapEx % du revenu (toutes années disponibles)</t>
      </text>
    </comment>
    <comment ref="I38" authorId="0" shapeId="0">
      <text>
        <t>Baptiste jeh:
Moyenne variation NWC % du revenu (toutes années disponibles)</t>
      </text>
    </comment>
  </commentList>
</comments>
</file>

<file path=xl/comments/comment3.xml><?xml version="1.0" encoding="utf-8"?>
<comments xmlns="http://schemas.openxmlformats.org/spreadsheetml/2006/main">
  <authors>
    <author>Baptiste jeh</author>
  </authors>
  <commentList>
    <comment ref="F12" authorId="0" shapeId="0">
      <text>
        <t>Baptiste jeh:
Sony FY2024 Revenue converted from JPY to USD at ~149 JPY/USD. Source: Sony Group IR. Original JPY figure ~13.1T yen.</t>
      </text>
    </comment>
    <comment ref="G12" authorId="0" shapeId="0">
      <text>
        <t>Baptiste jeh:
Sony FY2024 EBITDA converted from JPY to USD at ~149 JPY/USD. Approximate figure.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0.xml" Id="rId1"/><Relationship Type="http://schemas.openxmlformats.org/officeDocument/2006/relationships/chart" Target="/xl/charts/chart11.xml" Id="rId2"/><Relationship Type="http://schemas.openxmlformats.org/officeDocument/2006/relationships/chart" Target="/xl/charts/chart12.xml" Id="rId3"/><Relationship Type="http://schemas.openxmlformats.org/officeDocument/2006/relationships/chart" Target="/xl/charts/chart13.xml" Id="rId4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4.xml" Id="rId1"/><Relationship Type="http://schemas.openxmlformats.org/officeDocument/2006/relationships/chart" Target="/xl/charts/chart15.xml" Id="rId2"/><Relationship Type="http://schemas.openxmlformats.org/officeDocument/2006/relationships/chart" Target="/xl/charts/chart16.xml" Id="rId3"/><Relationship Type="http://schemas.openxmlformats.org/officeDocument/2006/relationships/chart" Target="/xl/charts/chart17.xml" Id="rId4"/></Relationships>
</file>

<file path=xl/drawings/drawing1.xml><?xml version="1.0" encoding="utf-8"?>
<wsDr xmlns="http://schemas.openxmlformats.org/drawingml/2006/spreadsheetDrawing">
  <twoCellAnchor>
    <from>
      <col>3</col>
      <colOff>688731</colOff>
      <row>110</row>
      <rowOff>161193</rowOff>
    </from>
    <to>
      <col>9</col>
      <colOff>117231</colOff>
      <row>125</row>
      <rowOff>46893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1</colOff>
      <row>110</row>
      <rowOff>161193</rowOff>
    </from>
    <to>
      <col>3</col>
      <colOff>419833</colOff>
      <row>125</row>
      <rowOff>46893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203200</colOff>
      <row>122</row>
      <rowOff>41275</rowOff>
    </from>
    <to>
      <col>3</col>
      <colOff>196850</colOff>
      <row>140</row>
      <rowOff>180975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8</col>
      <colOff>212912</colOff>
      <row>95</row>
      <rowOff>0</rowOff>
    </from>
    <to>
      <col>14</col>
      <colOff>33617</colOff>
      <row>109</row>
      <rowOff>33618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3</col>
      <colOff>425824</colOff>
      <row>123</row>
      <rowOff>168087</rowOff>
    </from>
    <to>
      <col>10</col>
      <colOff>336176</colOff>
      <row>140</row>
      <rowOff>179294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5</col>
      <colOff>747530</colOff>
      <row>47</row>
      <rowOff>24113</rowOff>
    </from>
    <to>
      <col>11</col>
      <colOff>1121297</colOff>
      <row>61</row>
      <rowOff>144683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241140</colOff>
      <row>27</row>
      <rowOff>217025</rowOff>
    </from>
    <to>
      <col>12</col>
      <colOff>36171</colOff>
      <row>41</row>
      <rowOff>144685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0</col>
      <colOff>508000</colOff>
      <row>68</row>
      <rowOff>28575</rowOff>
    </from>
    <to>
      <col>3</col>
      <colOff>758825</colOff>
      <row>83</row>
      <rowOff>92075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4</col>
      <colOff>117475</colOff>
      <row>68</row>
      <rowOff>28575</rowOff>
    </from>
    <to>
      <col>10</col>
      <colOff>34925</colOff>
      <row>83</row>
      <rowOff>92075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7</col>
      <colOff>11105</colOff>
      <row>8</row>
      <rowOff>89514</rowOff>
    </from>
    <to>
      <col>12</col>
      <colOff>721178</colOff>
      <row>24</row>
      <rowOff>68036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6</col>
      <colOff>646559</colOff>
      <row>25</row>
      <rowOff>79694</rowOff>
    </from>
    <to>
      <col>12</col>
      <colOff>748393</colOff>
      <row>40</row>
      <rowOff>122465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0</col>
      <colOff>602796</colOff>
      <row>8</row>
      <rowOff>141736</rowOff>
    </from>
    <to>
      <col>5</col>
      <colOff>1578429</colOff>
      <row>23</row>
      <rowOff>163286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0</col>
      <colOff>642711</colOff>
      <row>25</row>
      <rowOff>102682</rowOff>
    </from>
    <to>
      <col>5</col>
      <colOff>1578429</colOff>
      <row>40</row>
      <rowOff>163286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drawings/drawing6.xml><?xml version="1.0" encoding="utf-8"?>
<wsDr xmlns="http://schemas.openxmlformats.org/drawingml/2006/spreadsheetDrawing">
  <twoCellAnchor>
    <from>
      <col>8</col>
      <colOff>0</colOff>
      <row>20</row>
      <rowOff>11204</rowOff>
    </from>
    <to>
      <col>15</col>
      <colOff>0</colOff>
      <row>36</row>
      <rowOff>56028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</col>
      <colOff>28576</colOff>
      <row>39</row>
      <rowOff>171449</rowOff>
    </from>
    <to>
      <col>7</col>
      <colOff>56030</colOff>
      <row>56</row>
      <rowOff>56028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</col>
      <colOff>11205</colOff>
      <row>19</row>
      <rowOff>100853</rowOff>
    </from>
    <to>
      <col>6</col>
      <colOff>818029</colOff>
      <row>36</row>
      <rowOff>30629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8</col>
      <colOff>0</colOff>
      <row>37</row>
      <rowOff>190499</rowOff>
    </from>
    <to>
      <col>15</col>
      <colOff>0</colOff>
      <row>54</row>
      <rowOff>190499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1"/>
  <sheetViews>
    <sheetView showGridLines="0" tabSelected="1" zoomScaleNormal="100" workbookViewId="0">
      <selection activeCell="M7" sqref="M7"/>
    </sheetView>
  </sheetViews>
  <sheetFormatPr baseColWidth="10" defaultRowHeight="15"/>
  <cols>
    <col width="11" customWidth="1" min="1" max="1"/>
    <col width="50" customWidth="1" style="19" min="2" max="2"/>
    <col width="15.7109375" customWidth="1" min="3" max="3"/>
    <col width="13.28515625" customWidth="1" style="465" min="4" max="8"/>
  </cols>
  <sheetData>
    <row r="1" ht="54.95" customHeight="1">
      <c r="A1" s="223" t="n"/>
      <c r="B1" s="104" t="n"/>
      <c r="C1" s="5" t="n"/>
      <c r="D1" s="5" t="n"/>
      <c r="E1" s="5" t="n"/>
      <c r="F1" s="103" t="n"/>
      <c r="G1" s="5" t="n"/>
      <c r="H1" s="5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</row>
    <row r="3" ht="18" customHeight="1">
      <c r="A3" s="112" t="n"/>
      <c r="B3" s="15" t="inlineStr">
        <is>
          <t>INPUT — Raw Data</t>
        </is>
      </c>
      <c r="C3" s="7" t="n"/>
      <c r="D3" s="7" t="n"/>
      <c r="E3" s="23" t="n"/>
      <c r="F3" s="23" t="n"/>
      <c r="G3" s="23" t="n"/>
      <c r="H3" s="23" t="n"/>
    </row>
    <row r="4" ht="15" customHeight="1">
      <c r="A4" s="3" t="n"/>
      <c r="B4" s="12" t="inlineStr">
        <is>
          <t>All figures in USD thousands unless stated</t>
        </is>
      </c>
      <c r="C4" s="3" t="n"/>
      <c r="D4" s="22" t="n"/>
      <c r="E4" s="22" t="n"/>
      <c r="F4" s="22" t="n"/>
      <c r="G4" s="22" t="n"/>
      <c r="H4" s="22" t="n"/>
    </row>
    <row r="5" ht="15" customHeight="1">
      <c r="A5" s="224" t="n"/>
      <c r="B5" s="16" t="inlineStr">
        <is>
          <t>METRIC</t>
        </is>
      </c>
      <c r="C5" s="1" t="inlineStr">
        <is>
          <t>UNIT</t>
        </is>
      </c>
      <c r="D5" s="1" t="inlineStr"/>
      <c r="E5" s="24" t="n">
        <v>2022</v>
      </c>
      <c r="F5" s="24" t="n">
        <v>2023</v>
      </c>
      <c r="G5" s="24" t="n">
        <v>2024</v>
      </c>
      <c r="H5" s="24" t="inlineStr">
        <is>
          <t>2025 (LTM)</t>
        </is>
      </c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</row>
    <row r="7" ht="18" customHeight="1">
      <c r="A7" s="112" t="inlineStr">
        <is>
          <t xml:space="preserve"> </t>
        </is>
      </c>
      <c r="B7" s="15" t="inlineStr">
        <is>
          <t>INPUT</t>
        </is>
      </c>
      <c r="C7" s="7" t="n"/>
      <c r="D7" s="23" t="n"/>
      <c r="E7" s="23" t="n"/>
      <c r="F7" s="23" t="n"/>
      <c r="G7" s="23" t="n"/>
      <c r="H7" s="23" t="n"/>
    </row>
    <row r="8" ht="18" customHeight="1">
      <c r="A8" s="112" t="n"/>
      <c r="B8" s="110" t="n"/>
      <c r="C8" s="112" t="n"/>
      <c r="D8" s="109" t="n"/>
      <c r="E8" s="109" t="n"/>
      <c r="F8" s="109" t="n"/>
      <c r="G8" s="109" t="n"/>
      <c r="H8" s="109" t="n"/>
    </row>
    <row r="9" ht="15" customHeight="1">
      <c r="A9" s="3" t="n"/>
      <c r="B9" s="17" t="inlineStr">
        <is>
          <t>Revenue</t>
        </is>
      </c>
      <c r="C9" s="41" t="inlineStr">
        <is>
          <t>($000)</t>
        </is>
      </c>
      <c r="D9" s="233" t="n"/>
      <c r="E9" s="233" t="n">
        <v>17568.8</v>
      </c>
      <c r="F9" s="233" t="n">
        <v>18428.4</v>
      </c>
      <c r="G9" s="233" t="n">
        <v>20576.6</v>
      </c>
      <c r="H9" s="233" t="n">
        <v>22136.4</v>
      </c>
    </row>
    <row r="10" ht="15" customHeight="1">
      <c r="A10" s="3" t="n"/>
      <c r="B10" s="17" t="inlineStr">
        <is>
          <t>Cost of Goods Sold (COGS)</t>
        </is>
      </c>
      <c r="C10" s="41" t="inlineStr">
        <is>
          <t>($000)</t>
        </is>
      </c>
      <c r="D10" s="234" t="n"/>
      <c r="E10" s="234" t="n">
        <v>-13113.4</v>
      </c>
      <c r="F10" s="234" t="n">
        <v>-13662</v>
      </c>
      <c r="G10" s="234" t="n">
        <v>-15202.7</v>
      </c>
      <c r="H10" s="234" t="n">
        <v>-16283.2</v>
      </c>
    </row>
    <row r="11" ht="15" customHeight="1">
      <c r="A11" s="3" t="n"/>
      <c r="B11" s="51" t="inlineStr">
        <is>
          <t>Gross Profit</t>
        </is>
      </c>
      <c r="C11" s="52" t="inlineStr">
        <is>
          <t>($000)</t>
        </is>
      </c>
      <c r="D11" s="241">
        <f>D9+D10</f>
        <v/>
      </c>
      <c r="E11" s="241">
        <f>E9+E10</f>
        <v/>
      </c>
      <c r="F11" s="241">
        <f>F9+F10</f>
        <v/>
      </c>
      <c r="G11" s="241">
        <f>G9+G10</f>
        <v/>
      </c>
      <c r="H11" s="241">
        <f>H9+H10</f>
        <v/>
      </c>
    </row>
    <row r="12" ht="15" customHeight="1">
      <c r="A12" s="3" t="n"/>
      <c r="B12" s="51" t="n"/>
      <c r="C12" s="52" t="n"/>
      <c r="D12" s="53" t="n"/>
      <c r="E12" s="53" t="n"/>
      <c r="F12" s="53" t="n"/>
      <c r="G12" s="53" t="n"/>
      <c r="H12" s="53" t="n"/>
    </row>
    <row r="13" ht="15" customHeight="1">
      <c r="A13" s="3" t="n"/>
      <c r="B13" s="51" t="n"/>
      <c r="C13" s="52" t="n"/>
      <c r="D13" s="241">
        <f>SUM(D14:D16)</f>
        <v/>
      </c>
      <c r="E13" s="241">
        <f>SUM(E14:E16)</f>
        <v/>
      </c>
      <c r="F13" s="241">
        <f>SUM(F14:F16)</f>
        <v/>
      </c>
      <c r="G13" s="241">
        <f>SUM(G14:G16)</f>
        <v/>
      </c>
      <c r="H13" s="241">
        <f>SUM(H14:H16)</f>
        <v/>
      </c>
    </row>
    <row r="14" ht="15" customHeight="1">
      <c r="A14" s="3" t="n"/>
      <c r="B14" s="17" t="inlineStr">
        <is>
          <t>Operating Expenses (SG&amp;A)</t>
        </is>
      </c>
      <c r="C14" s="41" t="inlineStr">
        <is>
          <t>($000)</t>
        </is>
      </c>
      <c r="D14" s="233" t="n"/>
      <c r="E14" s="233" t="n">
        <v>-1948.9</v>
      </c>
      <c r="F14" s="233" t="n">
        <v>-2005</v>
      </c>
      <c r="G14" s="233" t="n">
        <v>-2283.2</v>
      </c>
      <c r="H14" s="233" t="n">
        <v>-2306.7</v>
      </c>
    </row>
    <row r="15" ht="15" customHeight="1">
      <c r="A15" s="3" t="n"/>
      <c r="B15" s="17" t="inlineStr">
        <is>
          <t>Research &amp; Development</t>
        </is>
      </c>
      <c r="C15" s="41" t="inlineStr">
        <is>
          <t>($000)</t>
        </is>
      </c>
      <c r="D15" s="233" t="n"/>
      <c r="E15" s="233" t="n">
        <v>-1063.6</v>
      </c>
      <c r="F15" s="233" t="n">
        <v>-1107.7</v>
      </c>
      <c r="G15" s="233" t="n">
        <v>-1273.7</v>
      </c>
      <c r="H15" s="233" t="n">
        <v>-1327.8</v>
      </c>
    </row>
    <row r="16" ht="15" customHeight="1">
      <c r="A16" s="3" t="n"/>
      <c r="B16" s="17" t="inlineStr">
        <is>
          <t>Depreciation &amp; Amortization</t>
        </is>
      </c>
      <c r="C16" s="41" t="inlineStr">
        <is>
          <t>($000)</t>
        </is>
      </c>
      <c r="D16" s="235" t="n"/>
      <c r="E16" s="235" t="n">
        <v>-1058.8</v>
      </c>
      <c r="F16" s="235" t="n">
        <v>-1045.1</v>
      </c>
      <c r="G16" s="235" t="n">
        <v>-1155.4</v>
      </c>
      <c r="H16" s="235" t="n">
        <v>-1087.3</v>
      </c>
    </row>
    <row r="17" ht="15" customHeight="1">
      <c r="A17" s="3" t="n"/>
      <c r="B17" s="51" t="inlineStr">
        <is>
          <t>EBIT (Operating Profit)</t>
        </is>
      </c>
      <c r="C17" s="52" t="inlineStr">
        <is>
          <t>($000)</t>
        </is>
      </c>
      <c r="D17" s="241">
        <f>D11+D13</f>
        <v/>
      </c>
      <c r="E17" s="241">
        <f>E11+E13</f>
        <v/>
      </c>
      <c r="F17" s="241">
        <f>F11+F13</f>
        <v/>
      </c>
      <c r="G17" s="241">
        <f>G11+G13</f>
        <v/>
      </c>
      <c r="H17" s="241">
        <f>H11+H13</f>
        <v/>
      </c>
    </row>
    <row r="18" ht="15" customHeight="1">
      <c r="A18" s="3" t="n"/>
      <c r="B18" s="51" t="n"/>
      <c r="C18" s="52" t="n"/>
      <c r="D18" s="53" t="n"/>
      <c r="E18" s="53" t="n"/>
      <c r="F18" s="53" t="n"/>
      <c r="G18" s="53" t="n"/>
      <c r="H18" s="53" t="n"/>
    </row>
    <row r="19" ht="15" customHeight="1">
      <c r="A19" s="3" t="n"/>
      <c r="B19" s="51" t="n"/>
      <c r="C19" s="52" t="n"/>
      <c r="D19" s="241">
        <f>D17+D20+D21</f>
        <v/>
      </c>
      <c r="E19" s="241">
        <f>E17+E20+E21</f>
        <v/>
      </c>
      <c r="F19" s="241">
        <f>F17+F20+F21</f>
        <v/>
      </c>
      <c r="G19" s="241">
        <f>G17+G20+G21</f>
        <v/>
      </c>
      <c r="H19" s="241">
        <f>H17+H20+H21</f>
        <v/>
      </c>
    </row>
    <row r="20" ht="15" customHeight="1">
      <c r="A20" s="3" t="n"/>
      <c r="B20" s="17" t="inlineStr">
        <is>
          <t>Interest Expense</t>
        </is>
      </c>
      <c r="C20" s="41" t="inlineStr">
        <is>
          <t>($000)</t>
        </is>
      </c>
      <c r="D20" s="233" t="n"/>
      <c r="E20" s="233" t="n">
        <v>-104.4</v>
      </c>
      <c r="F20" s="233" t="n">
        <v>-230.4</v>
      </c>
      <c r="G20" s="233" t="n">
        <v>-319.3</v>
      </c>
      <c r="H20" s="233" t="n">
        <v>-285.1</v>
      </c>
    </row>
    <row r="21" ht="15" customHeight="1">
      <c r="A21" s="3" t="n"/>
      <c r="B21" s="17" t="inlineStr">
        <is>
          <t>Interest Income</t>
        </is>
      </c>
      <c r="C21" s="41" t="inlineStr">
        <is>
          <t>($000)</t>
        </is>
      </c>
      <c r="D21" s="235" t="n"/>
      <c r="E21" s="235" t="n">
        <v>25.8</v>
      </c>
      <c r="F21" s="235" t="n">
        <v>161.4</v>
      </c>
      <c r="G21" s="235" t="n">
        <v>123.5</v>
      </c>
      <c r="H21" s="235" t="n">
        <v>116.8</v>
      </c>
    </row>
    <row r="22" ht="15" customHeight="1">
      <c r="A22" s="3" t="n"/>
      <c r="B22" s="51" t="inlineStr">
        <is>
          <t>Earnings Before Tax (EBT)</t>
        </is>
      </c>
      <c r="C22" s="52" t="inlineStr">
        <is>
          <t>($000)</t>
        </is>
      </c>
      <c r="D22" s="241">
        <f>D19</f>
        <v/>
      </c>
      <c r="E22" s="241">
        <f>E19</f>
        <v/>
      </c>
      <c r="F22" s="241">
        <f>F19</f>
        <v/>
      </c>
      <c r="G22" s="241">
        <f>G19</f>
        <v/>
      </c>
      <c r="H22" s="241">
        <f>H19</f>
        <v/>
      </c>
    </row>
    <row r="23" ht="15" customHeight="1">
      <c r="A23" s="3" t="n"/>
      <c r="B23" s="51" t="n"/>
      <c r="C23" s="52" t="n"/>
      <c r="D23" s="53" t="n"/>
      <c r="E23" s="53" t="n"/>
      <c r="F23" s="53" t="n"/>
      <c r="G23" s="53" t="n"/>
      <c r="H23" s="53" t="n"/>
    </row>
    <row r="24" ht="15" customHeight="1">
      <c r="A24" s="3" t="n"/>
      <c r="B24" s="51" t="n"/>
      <c r="C24" s="52" t="n"/>
      <c r="D24" s="241">
        <f>-ROUND(D22*0.21,0)</f>
        <v/>
      </c>
      <c r="E24" s="241">
        <f>-ROUND(E22*E104,0)</f>
        <v/>
      </c>
      <c r="F24" s="241">
        <f>-ROUND(F22*F104,0)</f>
        <v/>
      </c>
      <c r="G24" s="241">
        <f>-ROUND(G22*G104,0)</f>
        <v/>
      </c>
      <c r="H24" s="241">
        <f>-ROUND(H22*H104,0)</f>
        <v/>
      </c>
    </row>
    <row r="25" ht="15" customHeight="1">
      <c r="A25" s="3" t="n"/>
      <c r="B25" s="17" t="inlineStr">
        <is>
          <t>Income Tax Expense</t>
        </is>
      </c>
      <c r="C25" s="41" t="inlineStr">
        <is>
          <t>($000)</t>
        </is>
      </c>
      <c r="D25" s="233" t="n"/>
      <c r="E25" s="233" t="n">
        <v>-225.1</v>
      </c>
      <c r="F25" s="233" t="n">
        <v>-252.2</v>
      </c>
      <c r="G25" s="233" t="n">
        <v>-247.3</v>
      </c>
      <c r="H25" s="233" t="n">
        <v>-396.5</v>
      </c>
    </row>
    <row r="26" ht="15" customHeight="1" thickBot="1">
      <c r="A26" s="3" t="n"/>
      <c r="B26" s="54" t="inlineStr">
        <is>
          <t>Net Income</t>
        </is>
      </c>
      <c r="C26" s="52" t="inlineStr">
        <is>
          <t>($000)</t>
        </is>
      </c>
      <c r="D26" s="242">
        <f>D22+D24</f>
        <v/>
      </c>
      <c r="E26" s="242">
        <f>E22+E24</f>
        <v/>
      </c>
      <c r="F26" s="242">
        <f>F22+F24</f>
        <v/>
      </c>
      <c r="G26" s="242">
        <f>G22+G24</f>
        <v/>
      </c>
      <c r="H26" s="242">
        <f>H22+H24</f>
        <v/>
      </c>
    </row>
    <row r="27" ht="15" customHeight="1">
      <c r="A27" s="3" t="n"/>
      <c r="B27" s="54" t="n"/>
      <c r="C27" s="52" t="n"/>
      <c r="D27" s="53" t="n"/>
      <c r="E27" s="53" t="n"/>
      <c r="F27" s="53" t="n"/>
      <c r="G27" s="53" t="n"/>
      <c r="H27" s="53" t="n"/>
    </row>
    <row r="28" ht="15" customHeight="1">
      <c r="A28" s="3" t="n"/>
      <c r="B28" s="54" t="n"/>
      <c r="C28" s="52" t="n"/>
    </row>
    <row r="29" ht="15" customHeight="1">
      <c r="A29" s="3" t="n"/>
      <c r="B29" s="17" t="inlineStr">
        <is>
          <t>Common Dividends</t>
        </is>
      </c>
      <c r="C29" s="41" t="inlineStr">
        <is>
          <t>($000)</t>
        </is>
      </c>
      <c r="D29" s="233" t="n"/>
      <c r="E29" s="233" t="n">
        <v>-350.7</v>
      </c>
      <c r="F29" s="233" t="n">
        <v>-491</v>
      </c>
      <c r="G29" s="233" t="n">
        <v>-275.4</v>
      </c>
      <c r="H29" s="233" t="n">
        <v>-45.2</v>
      </c>
    </row>
    <row r="30" ht="15" customHeight="1">
      <c r="A30" s="3" t="n"/>
      <c r="B30" s="51" t="inlineStr">
        <is>
          <t>EBITDA</t>
        </is>
      </c>
      <c r="C30" s="52" t="inlineStr">
        <is>
          <t>($000)</t>
        </is>
      </c>
      <c r="D30" s="241">
        <f>D17-D16</f>
        <v/>
      </c>
      <c r="E30" s="241">
        <f>E17-E16</f>
        <v/>
      </c>
      <c r="F30" s="241">
        <f>F17-F16</f>
        <v/>
      </c>
      <c r="G30" s="241">
        <f>G17-G16</f>
        <v/>
      </c>
      <c r="H30" s="241">
        <f>H17-H16</f>
        <v/>
      </c>
    </row>
    <row r="31" ht="15" customHeight="1">
      <c r="A31" s="3" t="n"/>
      <c r="B31" s="14" t="n"/>
      <c r="C31" s="9" t="n"/>
      <c r="D31" s="42" t="n"/>
      <c r="E31" s="42" t="n"/>
      <c r="F31" s="42" t="n"/>
      <c r="G31" s="42" t="n"/>
      <c r="H31" s="42" t="n"/>
    </row>
    <row r="32" ht="18" customHeight="1">
      <c r="A32" s="112" t="inlineStr">
        <is>
          <t xml:space="preserve"> </t>
        </is>
      </c>
      <c r="B32" s="49" t="inlineStr">
        <is>
          <t>BALANCE SHEET</t>
        </is>
      </c>
      <c r="C32" s="44" t="n"/>
      <c r="D32" s="7" t="n"/>
      <c r="E32" s="45" t="n"/>
      <c r="F32" s="45" t="n"/>
      <c r="G32" s="45" t="n"/>
      <c r="H32" s="45" t="n"/>
    </row>
    <row r="33" ht="18" customHeight="1">
      <c r="A33" s="112" t="n"/>
      <c r="B33" s="125" t="n"/>
      <c r="C33" s="116" t="n"/>
      <c r="D33" s="126" t="n"/>
      <c r="E33" s="126" t="n"/>
      <c r="F33" s="126" t="n"/>
      <c r="G33" s="126" t="n"/>
      <c r="H33" s="126" t="n"/>
    </row>
    <row r="34" ht="15" customHeight="1">
      <c r="A34" s="3" t="n"/>
      <c r="B34" s="17" t="inlineStr">
        <is>
          <t>Cash &amp; Cash Equivalents</t>
        </is>
      </c>
      <c r="C34" s="41" t="inlineStr">
        <is>
          <t>($000)</t>
        </is>
      </c>
      <c r="D34" s="236" t="n"/>
      <c r="E34" s="236" t="n">
        <v>5099.6</v>
      </c>
      <c r="F34" s="236" t="n">
        <v>3979.9</v>
      </c>
      <c r="G34" s="236" t="n">
        <v>4767.1</v>
      </c>
      <c r="H34" s="236" t="n">
        <v>4446.5</v>
      </c>
    </row>
    <row r="35" ht="15" customHeight="1">
      <c r="A35" s="3" t="n"/>
      <c r="B35" s="17" t="inlineStr">
        <is>
          <t>Accounts Receivable</t>
        </is>
      </c>
      <c r="C35" s="41" t="inlineStr">
        <is>
          <t>($000)</t>
        </is>
      </c>
      <c r="D35" s="233" t="n"/>
      <c r="E35" s="233" t="n">
        <v>3634.8</v>
      </c>
      <c r="F35" s="233" t="n">
        <v>3858.2</v>
      </c>
      <c r="G35" s="233" t="n">
        <v>4418.4</v>
      </c>
      <c r="H35" s="233" t="n">
        <v>3969</v>
      </c>
    </row>
    <row r="36" ht="15" customHeight="1">
      <c r="A36" s="3" t="n"/>
      <c r="B36" s="17" t="inlineStr">
        <is>
          <t>Inventories</t>
        </is>
      </c>
      <c r="C36" s="41" t="inlineStr">
        <is>
          <t>($000)</t>
        </is>
      </c>
      <c r="D36" s="233" t="n"/>
      <c r="E36" s="233" t="n">
        <v>3672.3</v>
      </c>
      <c r="F36" s="233" t="n">
        <v>4250.8</v>
      </c>
      <c r="G36" s="233" t="n">
        <v>4935.5</v>
      </c>
      <c r="H36" s="233" t="n">
        <v>4964.2</v>
      </c>
    </row>
    <row r="37" ht="15" customHeight="1">
      <c r="A37" s="3" t="n"/>
      <c r="B37" s="17" t="inlineStr">
        <is>
          <t>Other Current Assets</t>
        </is>
      </c>
      <c r="C37" s="41" t="inlineStr">
        <is>
          <t>($000)</t>
        </is>
      </c>
      <c r="D37" s="235" t="n"/>
      <c r="E37" s="235" t="n">
        <v>2941</v>
      </c>
      <c r="F37" s="235" t="n">
        <v>3388</v>
      </c>
      <c r="G37" s="235" t="n">
        <v>5362</v>
      </c>
      <c r="H37" s="235" t="n">
        <v>-0.1</v>
      </c>
    </row>
    <row r="38" ht="15" customHeight="1">
      <c r="A38" s="3" t="n"/>
      <c r="B38" s="51" t="inlineStr">
        <is>
          <t>Total Current Assets</t>
        </is>
      </c>
      <c r="C38" s="52" t="inlineStr">
        <is>
          <t>($000)</t>
        </is>
      </c>
      <c r="D38" s="241">
        <f>SUM(D34:D37)</f>
        <v/>
      </c>
      <c r="E38" s="241">
        <f>SUM(E34:E37)</f>
        <v/>
      </c>
      <c r="F38" s="241">
        <f>SUM(F34:F37)</f>
        <v/>
      </c>
      <c r="G38" s="241">
        <f>SUM(G34:G37)</f>
        <v/>
      </c>
      <c r="H38" s="241">
        <f>SUM(H34:H37)</f>
        <v/>
      </c>
    </row>
    <row r="39" ht="15" customHeight="1">
      <c r="A39" s="3" t="n"/>
      <c r="B39" s="51" t="n"/>
      <c r="C39" s="52" t="n"/>
      <c r="D39" s="53" t="n"/>
      <c r="E39" s="53" t="n"/>
      <c r="F39" s="53" t="n"/>
      <c r="G39" s="53" t="n"/>
      <c r="H39" s="53" t="n"/>
    </row>
    <row r="40" ht="15" customHeight="1">
      <c r="A40" s="3" t="n"/>
      <c r="B40" s="51" t="n"/>
      <c r="C40" s="52" t="n"/>
      <c r="D40" s="53" t="n"/>
      <c r="E40" s="53" t="n"/>
      <c r="F40" s="53" t="n"/>
      <c r="G40" s="53" t="n"/>
      <c r="H40" s="53" t="n"/>
    </row>
    <row r="41" ht="15" customHeight="1">
      <c r="A41" s="3" t="n"/>
      <c r="B41" s="17" t="inlineStr">
        <is>
          <t>PP&amp;E (Net)</t>
        </is>
      </c>
      <c r="C41" s="41" t="inlineStr">
        <is>
          <t>($000)</t>
        </is>
      </c>
      <c r="D41" s="233" t="n"/>
      <c r="E41" s="233" t="n">
        <v>3478.9</v>
      </c>
      <c r="F41" s="233" t="n">
        <v>3596.1</v>
      </c>
      <c r="G41" s="233" t="n">
        <v>3715.5</v>
      </c>
      <c r="H41" s="233" t="n">
        <v>3899.2</v>
      </c>
    </row>
    <row r="42" ht="15" customHeight="1">
      <c r="A42" s="3" t="n"/>
      <c r="B42" s="17" t="inlineStr">
        <is>
          <t>Intangible Assets</t>
        </is>
      </c>
      <c r="C42" s="41" t="inlineStr">
        <is>
          <t>($000)</t>
        </is>
      </c>
      <c r="D42" s="233" t="n"/>
      <c r="E42" s="233" t="n">
        <v>7035.8</v>
      </c>
      <c r="F42" s="233" t="n">
        <v>10227.7</v>
      </c>
      <c r="G42" s="233" t="n">
        <v>11431.9</v>
      </c>
      <c r="H42" s="233" t="n">
        <v>10526.6</v>
      </c>
    </row>
    <row r="43" ht="15" customHeight="1">
      <c r="A43" s="3" t="n"/>
      <c r="B43" s="17" t="inlineStr">
        <is>
          <t>Other Long-Term Assets</t>
        </is>
      </c>
      <c r="C43" s="41" t="inlineStr">
        <is>
          <t>($000)</t>
        </is>
      </c>
      <c r="D43" s="233" t="n"/>
      <c r="E43" s="233" t="n">
        <v>3865</v>
      </c>
      <c r="F43" s="233" t="n">
        <v>4531</v>
      </c>
      <c r="G43" s="233" t="n">
        <v>-0.01</v>
      </c>
      <c r="H43" s="233" t="n">
        <v>4664</v>
      </c>
    </row>
    <row r="44" ht="15" customHeight="1" thickBot="1">
      <c r="A44" s="3" t="n"/>
      <c r="B44" s="51" t="inlineStr">
        <is>
          <t>Total Assets</t>
        </is>
      </c>
      <c r="C44" s="52" t="inlineStr">
        <is>
          <t>($000)</t>
        </is>
      </c>
      <c r="D44" s="242">
        <f>D38+SUM(D41:D43)</f>
        <v/>
      </c>
      <c r="E44" s="242">
        <f>E38+SUM(E41:E43)</f>
        <v/>
      </c>
      <c r="F44" s="242">
        <f>F38+SUM(F41:F43)</f>
        <v/>
      </c>
      <c r="G44" s="242">
        <f>G38+SUM(G41:G43)</f>
        <v/>
      </c>
      <c r="H44" s="242">
        <f>H38+SUM(H41:H43)</f>
        <v/>
      </c>
    </row>
    <row r="45" ht="15" customHeight="1">
      <c r="A45" s="3" t="n"/>
      <c r="B45" s="51" t="n"/>
      <c r="C45" s="52" t="n"/>
      <c r="D45" s="53" t="n"/>
      <c r="E45" s="53" t="n"/>
      <c r="F45" s="53" t="n"/>
      <c r="G45" s="53" t="n"/>
      <c r="H45" s="53" t="n"/>
    </row>
    <row r="46" ht="15" customHeight="1">
      <c r="A46" s="3" t="n"/>
      <c r="B46" s="51" t="n"/>
      <c r="C46" s="52" t="n"/>
      <c r="D46" s="53" t="n"/>
      <c r="E46" s="53" t="n"/>
      <c r="F46" s="53" t="n"/>
      <c r="G46" s="53" t="n"/>
      <c r="H46" s="53" t="n"/>
    </row>
    <row r="47" ht="15" customHeight="1">
      <c r="A47" s="3" t="n"/>
      <c r="B47" s="17" t="inlineStr">
        <is>
          <t>Accounts Payable</t>
        </is>
      </c>
      <c r="C47" s="41" t="inlineStr">
        <is>
          <t>($000)</t>
        </is>
      </c>
      <c r="D47" s="233" t="n"/>
      <c r="E47" s="233" t="n">
        <v>2507.6</v>
      </c>
      <c r="F47" s="233" t="n">
        <v>2741.1</v>
      </c>
      <c r="G47" s="233" t="n">
        <v>3008.4</v>
      </c>
      <c r="H47" s="233" t="n">
        <v>2952.7</v>
      </c>
    </row>
    <row r="48" ht="15" customHeight="1">
      <c r="A48" s="3" t="n"/>
      <c r="B48" s="17" t="inlineStr">
        <is>
          <t>Short-Term Debt</t>
        </is>
      </c>
      <c r="C48" s="41" t="inlineStr">
        <is>
          <t>($000)</t>
        </is>
      </c>
      <c r="D48" s="233" t="n"/>
      <c r="E48" s="233" t="n">
        <v>1480.3</v>
      </c>
      <c r="F48" s="233" t="n">
        <v>2713.3</v>
      </c>
      <c r="G48" s="233" t="n">
        <v>3272.5</v>
      </c>
      <c r="H48" s="233" t="n">
        <v>2130.1</v>
      </c>
    </row>
    <row r="49" ht="15" customHeight="1">
      <c r="A49" s="3" t="n"/>
      <c r="B49" s="17" t="inlineStr">
        <is>
          <t>Income Tax Payable</t>
        </is>
      </c>
      <c r="C49" s="41" t="inlineStr">
        <is>
          <t>($000)</t>
        </is>
      </c>
      <c r="D49" s="233" t="n"/>
      <c r="E49" s="233" t="n">
        <v>1576.3</v>
      </c>
      <c r="F49" s="233" t="n">
        <v>1882.6</v>
      </c>
      <c r="G49" s="233" t="n">
        <v>1980.5</v>
      </c>
      <c r="H49" s="233" t="n">
        <v>2143</v>
      </c>
    </row>
    <row r="50" ht="15" customHeight="1">
      <c r="A50" s="3" t="n"/>
      <c r="B50" s="17" t="inlineStr">
        <is>
          <t>Other Current Liabilities</t>
        </is>
      </c>
      <c r="C50" s="41" t="inlineStr">
        <is>
          <t>($000)</t>
        </is>
      </c>
      <c r="D50" s="235" t="n"/>
      <c r="E50" s="235" t="n">
        <v>749.2</v>
      </c>
      <c r="F50" s="235" t="n">
        <v>768.5</v>
      </c>
      <c r="G50" s="235" t="n">
        <v>876.6</v>
      </c>
      <c r="H50" s="235" t="n">
        <v>1932</v>
      </c>
    </row>
    <row r="51" ht="15" customHeight="1">
      <c r="A51" s="3" t="n"/>
      <c r="B51" s="51" t="inlineStr">
        <is>
          <t>Total Current Liabilities</t>
        </is>
      </c>
      <c r="C51" s="52" t="inlineStr">
        <is>
          <t>($000)</t>
        </is>
      </c>
      <c r="D51" s="241">
        <f>SUM(D47:D50)</f>
        <v/>
      </c>
      <c r="E51" s="241">
        <f>SUM(E47:E50)</f>
        <v/>
      </c>
      <c r="F51" s="241">
        <f>SUM(F47:F50)</f>
        <v/>
      </c>
      <c r="G51" s="241">
        <f>SUM(G47:G50)</f>
        <v/>
      </c>
      <c r="H51" s="241">
        <f>SUM(H47:H50)</f>
        <v/>
      </c>
    </row>
    <row r="52" ht="15" customHeight="1">
      <c r="A52" s="3" t="n"/>
      <c r="B52" s="51" t="n"/>
      <c r="C52" s="52" t="n"/>
      <c r="D52" s="53" t="n"/>
      <c r="E52" s="53" t="n"/>
      <c r="F52" s="53" t="n"/>
      <c r="G52" s="53" t="n"/>
      <c r="H52" s="53" t="n"/>
    </row>
    <row r="53" ht="15" customHeight="1">
      <c r="A53" s="3" t="n"/>
      <c r="B53" s="51" t="n"/>
      <c r="C53" s="52" t="n"/>
      <c r="D53" s="53" t="n"/>
      <c r="E53" s="53" t="n"/>
      <c r="F53" s="53" t="n"/>
      <c r="G53" s="53" t="n"/>
      <c r="H53" s="53" t="n"/>
    </row>
    <row r="54" ht="15" customHeight="1">
      <c r="A54" s="3" t="n"/>
      <c r="B54" s="17" t="inlineStr">
        <is>
          <t>Long-Term Debt</t>
        </is>
      </c>
      <c r="C54" s="41" t="inlineStr">
        <is>
          <t>($000)</t>
        </is>
      </c>
      <c r="D54" s="235" t="n"/>
      <c r="E54" s="235" t="n">
        <v>3991.1</v>
      </c>
      <c r="F54" s="235" t="n">
        <v>5720.3</v>
      </c>
      <c r="G54" s="235" t="n">
        <v>4550.9</v>
      </c>
      <c r="H54" s="235" t="n">
        <v>3999.4</v>
      </c>
    </row>
    <row r="55" ht="15" customHeight="1">
      <c r="A55" s="3" t="n"/>
      <c r="B55" s="54" t="inlineStr">
        <is>
          <t>Total Liabilities</t>
        </is>
      </c>
      <c r="C55" s="52" t="inlineStr">
        <is>
          <t>($000)</t>
        </is>
      </c>
      <c r="D55" s="241">
        <f>D51+D54</f>
        <v/>
      </c>
      <c r="E55" s="241">
        <f>E51+E54</f>
        <v/>
      </c>
      <c r="F55" s="241">
        <f>F51+F54</f>
        <v/>
      </c>
      <c r="G55" s="241">
        <f>G51+G54</f>
        <v/>
      </c>
      <c r="H55" s="241">
        <f>H51+H54</f>
        <v/>
      </c>
    </row>
    <row r="56" ht="15" customHeight="1">
      <c r="A56" s="3" t="n"/>
      <c r="B56" s="54" t="n"/>
      <c r="C56" s="52" t="n"/>
      <c r="D56" s="53" t="n"/>
      <c r="E56" s="53" t="n"/>
      <c r="F56" s="53" t="n"/>
      <c r="G56" s="53" t="n"/>
      <c r="H56" s="53" t="n"/>
    </row>
    <row r="57" ht="15" customHeight="1">
      <c r="A57" s="3" t="n"/>
      <c r="B57" s="54" t="n"/>
      <c r="C57" s="52" t="n"/>
      <c r="D57" s="53" t="n"/>
      <c r="E57" s="53" t="n"/>
      <c r="F57" s="53" t="n"/>
      <c r="G57" s="53" t="n"/>
      <c r="H57" s="53" t="n"/>
    </row>
    <row r="58" ht="15" customHeight="1">
      <c r="A58" s="3" t="n"/>
      <c r="B58" s="17" t="inlineStr">
        <is>
          <t>Common Equity (Paid-In Capital)</t>
        </is>
      </c>
      <c r="C58" s="41" t="inlineStr">
        <is>
          <t>($000)</t>
        </is>
      </c>
      <c r="D58" s="233" t="n"/>
      <c r="E58" s="233" t="n">
        <v>4716.8</v>
      </c>
      <c r="F58" s="233" t="n">
        <v>4336.2</v>
      </c>
      <c r="G58" s="233" t="n">
        <v>3750.4</v>
      </c>
      <c r="H58" s="233" t="n">
        <v>3750.4</v>
      </c>
    </row>
    <row r="59" ht="15" customHeight="1">
      <c r="A59" s="3" t="n"/>
      <c r="B59" s="17" t="inlineStr">
        <is>
          <t>Retained Earnings</t>
        </is>
      </c>
      <c r="C59" s="41" t="inlineStr">
        <is>
          <t>($000)</t>
        </is>
      </c>
      <c r="D59" s="243" t="n"/>
      <c r="E59" s="243" t="n">
        <v>3222.3</v>
      </c>
      <c r="F59" s="243" t="n">
        <v>3372.3</v>
      </c>
      <c r="G59" s="243" t="n">
        <v>4079.3</v>
      </c>
      <c r="H59" s="243" t="n">
        <v>5001.1</v>
      </c>
    </row>
    <row r="60" ht="15" customHeight="1">
      <c r="A60" s="3" t="n"/>
      <c r="B60" s="54" t="inlineStr">
        <is>
          <t>Total Shareholders Equity</t>
        </is>
      </c>
      <c r="C60" s="52" t="inlineStr">
        <is>
          <t>($000)</t>
        </is>
      </c>
      <c r="D60" s="241">
        <f>D58+D59</f>
        <v/>
      </c>
      <c r="E60" s="241">
        <f>E58+E59</f>
        <v/>
      </c>
      <c r="F60" s="241">
        <f>F58+F59</f>
        <v/>
      </c>
      <c r="G60" s="241">
        <f>G58+G59</f>
        <v/>
      </c>
      <c r="H60" s="241">
        <f>H58+H59</f>
        <v/>
      </c>
    </row>
    <row r="61" ht="15" customHeight="1">
      <c r="A61" s="3" t="n"/>
      <c r="B61" s="54" t="n"/>
      <c r="C61" s="52" t="n"/>
      <c r="D61" s="53" t="n"/>
      <c r="E61" s="53" t="n"/>
      <c r="F61" s="53" t="n"/>
      <c r="G61" s="53" t="n"/>
      <c r="H61" s="53" t="n"/>
    </row>
    <row r="62" ht="15" customHeight="1">
      <c r="A62" s="3" t="n"/>
      <c r="B62" s="54" t="n"/>
      <c r="C62" s="52" t="n"/>
      <c r="D62" s="53" t="n"/>
      <c r="E62" s="53" t="n"/>
      <c r="F62" s="53" t="n"/>
      <c r="G62" s="53" t="n"/>
      <c r="H62" s="53" t="n"/>
    </row>
    <row r="63" ht="15" customHeight="1" thickBot="1">
      <c r="A63" s="3" t="n"/>
      <c r="B63" s="54" t="inlineStr">
        <is>
          <t>Total Liabilities &amp; Equity</t>
        </is>
      </c>
      <c r="C63" s="52" t="inlineStr">
        <is>
          <t>($000)</t>
        </is>
      </c>
      <c r="D63" s="242">
        <f>D55+D60</f>
        <v/>
      </c>
      <c r="E63" s="242">
        <f>E55+E60</f>
        <v/>
      </c>
      <c r="F63" s="242">
        <f>F55+F60</f>
        <v/>
      </c>
      <c r="G63" s="242">
        <f>G55+G60</f>
        <v/>
      </c>
      <c r="H63" s="242">
        <f>H55+H60</f>
        <v/>
      </c>
    </row>
    <row r="64" ht="15" customHeight="1">
      <c r="A64" s="3" t="n"/>
      <c r="B64" s="54" t="n"/>
      <c r="C64" s="52" t="n"/>
      <c r="D64" s="53" t="n"/>
      <c r="E64" s="53" t="n"/>
      <c r="F64" s="53" t="n"/>
      <c r="G64" s="53" t="n"/>
      <c r="H64" s="53" t="n"/>
    </row>
    <row r="65" ht="15" customHeight="1">
      <c r="A65" s="3" t="n"/>
      <c r="B65" s="54" t="n"/>
      <c r="C65" s="52" t="n"/>
      <c r="D65" s="53" t="n"/>
      <c r="E65" s="53" t="n"/>
      <c r="F65" s="53" t="n"/>
      <c r="G65" s="53" t="n"/>
      <c r="H65" s="53" t="n"/>
    </row>
    <row r="66" ht="15" customHeight="1">
      <c r="A66" s="3" t="n"/>
      <c r="B66" s="14" t="n"/>
      <c r="C66" s="9" t="n"/>
      <c r="D66" s="42" t="n"/>
      <c r="E66" s="42" t="n"/>
      <c r="F66" s="42" t="n"/>
      <c r="G66" s="42" t="n"/>
      <c r="H66" s="42" t="n"/>
    </row>
    <row r="67" ht="18" customHeight="1">
      <c r="A67" s="112" t="n"/>
      <c r="B67" s="49" t="inlineStr">
        <is>
          <t>CASH FLOW STATEMENT</t>
        </is>
      </c>
      <c r="C67" s="44" t="n"/>
      <c r="D67" s="7" t="n"/>
      <c r="E67" s="45" t="n"/>
      <c r="F67" s="45" t="n"/>
      <c r="G67" s="45" t="n"/>
      <c r="H67" s="45" t="n"/>
    </row>
    <row r="68" ht="18" customHeight="1">
      <c r="A68" s="112" t="n"/>
      <c r="B68" s="125" t="n"/>
      <c r="C68" s="116" t="n"/>
      <c r="D68" s="126" t="n"/>
      <c r="E68" s="126" t="n"/>
      <c r="F68" s="126" t="n"/>
      <c r="G68" s="126" t="n"/>
      <c r="H68" s="126" t="n"/>
    </row>
    <row r="69" ht="15" customHeight="1">
      <c r="A69" s="3" t="n"/>
      <c r="B69" s="17" t="inlineStr">
        <is>
          <t>Net Income</t>
        </is>
      </c>
      <c r="C69" s="41" t="inlineStr">
        <is>
          <t>($000)</t>
        </is>
      </c>
      <c r="D69" s="236">
        <f>D26</f>
        <v/>
      </c>
      <c r="E69" s="236">
        <f>E26</f>
        <v/>
      </c>
      <c r="F69" s="236">
        <f>F26</f>
        <v/>
      </c>
      <c r="G69" s="236">
        <f>G26</f>
        <v/>
      </c>
      <c r="H69" s="236">
        <f>H26</f>
        <v/>
      </c>
    </row>
    <row r="70" ht="15" customHeight="1">
      <c r="A70" s="3" t="n"/>
      <c r="B70" s="17" t="inlineStr">
        <is>
          <t>Depreciation &amp; Amortization</t>
        </is>
      </c>
      <c r="C70" s="41" t="inlineStr">
        <is>
          <t>($000)</t>
        </is>
      </c>
      <c r="D70" s="236">
        <f>-D16</f>
        <v/>
      </c>
      <c r="E70" s="236">
        <f>-E16</f>
        <v/>
      </c>
      <c r="F70" s="236">
        <f>-F16</f>
        <v/>
      </c>
      <c r="G70" s="236">
        <f>-G16</f>
        <v/>
      </c>
      <c r="H70" s="236">
        <f>-H16</f>
        <v/>
      </c>
    </row>
    <row r="71" ht="15" customHeight="1">
      <c r="A71" s="3" t="n"/>
      <c r="B71" s="17" t="inlineStr">
        <is>
          <t>Change in Accounts Receivable</t>
        </is>
      </c>
      <c r="C71" s="41" t="inlineStr">
        <is>
          <t>($000)</t>
        </is>
      </c>
      <c r="D71" s="233" t="n"/>
      <c r="E71" s="233" t="n">
        <v>-412.4</v>
      </c>
      <c r="F71" s="233" t="n">
        <v>-967</v>
      </c>
      <c r="G71" s="233" t="n">
        <v>-1231.8</v>
      </c>
      <c r="H71" s="233" t="n">
        <v>-700.2</v>
      </c>
    </row>
    <row r="72" ht="15" customHeight="1">
      <c r="A72" s="3" t="n"/>
      <c r="B72" s="17" t="inlineStr">
        <is>
          <t>Change in Inventories</t>
        </is>
      </c>
      <c r="C72" s="41" t="inlineStr">
        <is>
          <t>($000)</t>
        </is>
      </c>
      <c r="D72" s="233" t="n"/>
      <c r="E72" s="233" t="n">
        <v>-346.7</v>
      </c>
      <c r="F72" s="233" t="n">
        <v>-670.1</v>
      </c>
      <c r="G72" s="233" t="n">
        <v>-602.4</v>
      </c>
      <c r="H72" s="233" t="n">
        <v>-148.4</v>
      </c>
    </row>
    <row r="73" ht="15" customHeight="1">
      <c r="A73" s="3" t="n"/>
      <c r="B73" s="17" t="inlineStr">
        <is>
          <t>Change in Accounts Payable</t>
        </is>
      </c>
      <c r="C73" s="41" t="inlineStr">
        <is>
          <t>($000)</t>
        </is>
      </c>
      <c r="D73" s="233" t="n"/>
      <c r="E73" s="233" t="n">
        <v>663.7</v>
      </c>
      <c r="F73" s="233" t="n">
        <v>713.7</v>
      </c>
      <c r="G73" s="233" t="n">
        <v>360</v>
      </c>
      <c r="H73" s="233" t="n">
        <v>269.2</v>
      </c>
    </row>
    <row r="74" ht="15" customHeight="1">
      <c r="A74" s="3" t="n"/>
      <c r="B74" s="17" t="inlineStr">
        <is>
          <t>Other Working Capital Changes</t>
        </is>
      </c>
      <c r="C74" s="41" t="inlineStr">
        <is>
          <t>($000)</t>
        </is>
      </c>
      <c r="D74" s="233" t="n"/>
      <c r="E74" s="233" t="n">
        <v>46.7</v>
      </c>
      <c r="F74" s="233" t="n">
        <v>23.4</v>
      </c>
      <c r="G74" s="233" t="n">
        <v>414.1</v>
      </c>
      <c r="H74" s="233" t="n">
        <v>164.3</v>
      </c>
    </row>
    <row r="75" ht="15" customHeight="1" thickBot="1">
      <c r="A75" s="3" t="n"/>
      <c r="B75" s="51" t="inlineStr">
        <is>
          <t>Cash from Operating Activities</t>
        </is>
      </c>
      <c r="C75" s="52" t="inlineStr">
        <is>
          <t>($000)</t>
        </is>
      </c>
      <c r="D75" s="242">
        <f>SUM(D69:D74)</f>
        <v/>
      </c>
      <c r="E75" s="242">
        <f>SUM(E69:E74)</f>
        <v/>
      </c>
      <c r="F75" s="242">
        <f>SUM(F69:F74)</f>
        <v/>
      </c>
      <c r="G75" s="242">
        <f>SUM(G69:G74)</f>
        <v/>
      </c>
      <c r="H75" s="242">
        <f>SUM(H69:H74)</f>
        <v/>
      </c>
    </row>
    <row r="76" ht="15" customHeight="1">
      <c r="A76" s="3" t="n"/>
      <c r="B76" s="51" t="n"/>
      <c r="C76" s="52" t="n"/>
      <c r="D76" s="53" t="n"/>
      <c r="E76" s="53" t="n"/>
      <c r="F76" s="53" t="n"/>
      <c r="G76" s="53" t="n"/>
      <c r="H76" s="53" t="n"/>
    </row>
    <row r="77" ht="15" customHeight="1">
      <c r="A77" s="3" t="n"/>
      <c r="B77" s="51" t="n"/>
      <c r="C77" s="52" t="n"/>
      <c r="D77" s="53" t="n"/>
      <c r="E77" s="53" t="n"/>
      <c r="F77" s="53" t="n"/>
      <c r="G77" s="53" t="n"/>
      <c r="H77" s="53" t="n"/>
    </row>
    <row r="78" ht="15" customHeight="1">
      <c r="A78" s="3" t="n"/>
      <c r="B78" s="17" t="inlineStr">
        <is>
          <t>Capital Expenditures (CapEx)</t>
        </is>
      </c>
      <c r="C78" s="41" t="inlineStr">
        <is>
          <t>($000)</t>
        </is>
      </c>
      <c r="D78" s="233" t="n"/>
      <c r="E78" s="233" t="n">
        <v>-534.6</v>
      </c>
      <c r="F78" s="233" t="n">
        <v>-625.6</v>
      </c>
      <c r="G78" s="233" t="n">
        <v>-623.1</v>
      </c>
      <c r="H78" s="233" t="n">
        <v>-756.7</v>
      </c>
    </row>
    <row r="79" ht="15" customHeight="1">
      <c r="A79" s="3" t="n"/>
      <c r="B79" s="17" t="inlineStr">
        <is>
          <t>Other Investing Activities</t>
        </is>
      </c>
      <c r="C79" s="41" t="inlineStr">
        <is>
          <t>($000)</t>
        </is>
      </c>
      <c r="D79" s="233" t="n"/>
      <c r="E79" s="233" t="n">
        <v>-213.3</v>
      </c>
      <c r="F79" s="233" t="n">
        <v>-80.90000000000001</v>
      </c>
      <c r="G79" s="233" t="n">
        <v>101.5</v>
      </c>
      <c r="H79" s="233" t="n">
        <v>-142.1</v>
      </c>
    </row>
    <row r="80" ht="15" customHeight="1" thickBot="1">
      <c r="A80" s="3" t="n"/>
      <c r="B80" s="54" t="inlineStr">
        <is>
          <t>Cash from Investing Activities</t>
        </is>
      </c>
      <c r="C80" s="52" t="inlineStr">
        <is>
          <t>($000)</t>
        </is>
      </c>
      <c r="D80" s="242">
        <f>SUM(D78:D79)</f>
        <v/>
      </c>
      <c r="E80" s="242">
        <f>SUM(E78:E79)</f>
        <v/>
      </c>
      <c r="F80" s="242">
        <f>SUM(F78:F79)</f>
        <v/>
      </c>
      <c r="G80" s="242">
        <f>SUM(G78:G79)</f>
        <v/>
      </c>
      <c r="H80" s="242">
        <f>SUM(H78:H79)</f>
        <v/>
      </c>
    </row>
    <row r="81" ht="15" customHeight="1">
      <c r="A81" s="3" t="n"/>
      <c r="B81" s="54" t="n"/>
      <c r="C81" s="52" t="n"/>
      <c r="D81" s="53" t="n"/>
      <c r="E81" s="53" t="n"/>
      <c r="F81" s="53" t="n"/>
      <c r="G81" s="53" t="n"/>
      <c r="H81" s="53" t="n"/>
    </row>
    <row r="82" ht="15" customHeight="1">
      <c r="A82" s="3" t="n"/>
      <c r="B82" s="54" t="n"/>
      <c r="C82" s="52" t="n"/>
      <c r="D82" s="53" t="n"/>
      <c r="E82" s="53" t="n"/>
      <c r="F82" s="53" t="n"/>
      <c r="G82" s="53" t="n"/>
      <c r="H82" s="53" t="n"/>
    </row>
    <row r="83" ht="15" customHeight="1">
      <c r="A83" s="3" t="n"/>
      <c r="B83" s="17" t="inlineStr">
        <is>
          <t>Change in Long-Term Debt</t>
        </is>
      </c>
      <c r="C83" s="41" t="inlineStr">
        <is>
          <t>($000)</t>
        </is>
      </c>
      <c r="D83" s="233" t="n"/>
      <c r="E83" s="233" t="n">
        <v>90.7</v>
      </c>
      <c r="F83" s="233" t="n">
        <v>3654.7</v>
      </c>
      <c r="G83" s="233" t="n">
        <v>158.2</v>
      </c>
      <c r="H83" s="233" t="n">
        <v>51.1</v>
      </c>
    </row>
    <row r="84" ht="15" customHeight="1">
      <c r="A84" s="3" t="n"/>
      <c r="B84" s="17" t="inlineStr">
        <is>
          <t>Change in Common Equity</t>
        </is>
      </c>
      <c r="C84" s="41" t="inlineStr">
        <is>
          <t>($000)</t>
        </is>
      </c>
      <c r="D84" s="233" t="n"/>
      <c r="E84" s="233" t="n">
        <v>-350.7</v>
      </c>
      <c r="F84" s="233" t="n">
        <v>-491</v>
      </c>
      <c r="G84" s="233" t="n">
        <v>-275.4</v>
      </c>
      <c r="H84" s="233" t="n">
        <v>-45.2</v>
      </c>
    </row>
    <row r="85" ht="15" customHeight="1">
      <c r="A85" s="3" t="n"/>
      <c r="B85" s="17" t="inlineStr">
        <is>
          <t>Dividends Paid</t>
        </is>
      </c>
      <c r="C85" s="41" t="inlineStr">
        <is>
          <t>($000)</t>
        </is>
      </c>
      <c r="D85" s="233" t="n"/>
      <c r="E85" s="233" t="n">
        <v>-350.7</v>
      </c>
      <c r="F85" s="233" t="n">
        <v>-491</v>
      </c>
      <c r="G85" s="233" t="n">
        <v>-275.4</v>
      </c>
      <c r="H85" s="233" t="n">
        <v>-45.2</v>
      </c>
    </row>
    <row r="86" ht="15" customHeight="1" thickBot="1">
      <c r="A86" s="3" t="n"/>
      <c r="B86" s="51" t="inlineStr">
        <is>
          <t>Cash from Financing Activities</t>
        </is>
      </c>
      <c r="C86" s="52" t="inlineStr">
        <is>
          <t>($000)</t>
        </is>
      </c>
      <c r="D86" s="242">
        <f>SUM(D83:D85)</f>
        <v/>
      </c>
      <c r="E86" s="242">
        <f>SUM(E83:E85)</f>
        <v/>
      </c>
      <c r="F86" s="242">
        <f>SUM(F83:F85)</f>
        <v/>
      </c>
      <c r="G86" s="242">
        <f>SUM(G83:G85)</f>
        <v/>
      </c>
      <c r="H86" s="242">
        <f>SUM(H83:H85)</f>
        <v/>
      </c>
    </row>
    <row r="87" ht="15" customHeight="1">
      <c r="A87" s="3" t="n"/>
      <c r="B87" s="51" t="n"/>
      <c r="C87" s="52" t="n"/>
      <c r="D87" s="53" t="n"/>
      <c r="E87" s="53" t="n"/>
      <c r="F87" s="53" t="n"/>
      <c r="G87" s="53" t="n"/>
      <c r="H87" s="53" t="n"/>
    </row>
    <row r="88" ht="15" customHeight="1">
      <c r="A88" s="3" t="n"/>
      <c r="B88" s="51" t="n"/>
      <c r="C88" s="52" t="n"/>
      <c r="D88" s="53" t="n"/>
      <c r="E88" s="53" t="n"/>
      <c r="F88" s="53" t="n"/>
      <c r="G88" s="53" t="n"/>
      <c r="H88" s="53" t="n"/>
    </row>
    <row r="89" ht="15" customHeight="1">
      <c r="A89" s="3" t="n"/>
      <c r="B89" s="54" t="inlineStr">
        <is>
          <t>Net Change in Cash</t>
        </is>
      </c>
      <c r="C89" s="52" t="inlineStr">
        <is>
          <t>($000)</t>
        </is>
      </c>
      <c r="D89" s="241">
        <f>D75+D80+D86</f>
        <v/>
      </c>
      <c r="E89" s="241">
        <f>E75+E80+E86</f>
        <v/>
      </c>
      <c r="F89" s="241">
        <f>F75+F80+F86</f>
        <v/>
      </c>
      <c r="G89" s="241">
        <f>G75+G80+G86</f>
        <v/>
      </c>
      <c r="H89" s="241">
        <f>H75+H80+H86</f>
        <v/>
      </c>
    </row>
    <row r="90" ht="15" customHeight="1">
      <c r="A90" s="3" t="n"/>
      <c r="B90" s="17" t="inlineStr">
        <is>
          <t>Beginning Cash Balance</t>
        </is>
      </c>
      <c r="C90" s="41" t="inlineStr">
        <is>
          <t>($000)</t>
        </is>
      </c>
      <c r="D90" s="233" t="n"/>
      <c r="E90" s="233" t="n">
        <v>5216.4</v>
      </c>
      <c r="F90" s="233" t="n">
        <v>5296.4</v>
      </c>
      <c r="G90" s="233" t="n">
        <v>4207.3</v>
      </c>
      <c r="H90" s="233" t="n">
        <v>4767.1</v>
      </c>
    </row>
    <row r="91" ht="15" customHeight="1" thickBot="1">
      <c r="A91" s="3" t="n"/>
      <c r="B91" s="54" t="inlineStr">
        <is>
          <t>Ending Cash Balance</t>
        </is>
      </c>
      <c r="C91" s="52" t="inlineStr">
        <is>
          <t>($000)</t>
        </is>
      </c>
      <c r="D91" s="242">
        <f>D90+D89</f>
        <v/>
      </c>
      <c r="E91" s="242">
        <f>E90+E89</f>
        <v/>
      </c>
      <c r="F91" s="242">
        <f>F90+F89</f>
        <v/>
      </c>
      <c r="G91" s="242">
        <f>G90+G89</f>
        <v/>
      </c>
      <c r="H91" s="242">
        <f>H90+H89</f>
        <v/>
      </c>
    </row>
    <row r="92" ht="15" customHeight="1">
      <c r="A92" s="3" t="n"/>
      <c r="B92" s="14" t="n"/>
      <c r="C92" s="9" t="n"/>
      <c r="D92" s="42" t="n"/>
      <c r="E92" s="42" t="n"/>
      <c r="F92" s="42" t="n"/>
      <c r="G92" s="42" t="n"/>
      <c r="H92" s="42" t="n"/>
    </row>
    <row r="93" ht="18" customHeight="1">
      <c r="A93" s="112" t="n"/>
      <c r="B93" s="49" t="inlineStr">
        <is>
          <t>MARKET &amp; VALUATION DATA</t>
        </is>
      </c>
      <c r="C93" s="44" t="n"/>
      <c r="D93" s="7" t="n"/>
      <c r="E93" s="45" t="n"/>
      <c r="F93" s="45" t="n"/>
      <c r="G93" s="45" t="n"/>
      <c r="H93" s="45" t="n"/>
    </row>
    <row r="94" ht="18" customHeight="1">
      <c r="A94" s="112" t="n"/>
      <c r="B94" s="125" t="n"/>
      <c r="C94" s="116" t="n"/>
      <c r="D94" s="126" t="n"/>
      <c r="E94" s="126" t="n"/>
      <c r="F94" s="126" t="n"/>
      <c r="G94" s="126" t="n"/>
      <c r="H94" s="126" t="n"/>
    </row>
    <row r="95" ht="15" customHeight="1">
      <c r="A95" s="3" t="n"/>
      <c r="B95" s="17" t="inlineStr">
        <is>
          <t>Share Price</t>
        </is>
      </c>
      <c r="C95" s="41" t="inlineStr">
        <is>
          <t>($)</t>
        </is>
      </c>
      <c r="D95" s="233" t="n"/>
      <c r="E95" s="233" t="n">
        <v>130</v>
      </c>
      <c r="F95" s="233" t="n">
        <v>175</v>
      </c>
      <c r="G95" s="233" t="n">
        <v>226</v>
      </c>
      <c r="H95" s="233" t="n">
        <v>267.3</v>
      </c>
    </row>
    <row r="96" ht="15" customHeight="1">
      <c r="A96" s="3" t="n"/>
      <c r="B96" s="17" t="inlineStr">
        <is>
          <t>Shares Outstanding (Diluted)</t>
        </is>
      </c>
      <c r="C96" s="41" t="inlineStr">
        <is>
          <t>(000)</t>
        </is>
      </c>
      <c r="D96" s="237" t="n"/>
      <c r="E96" s="237" t="n">
        <v>16215</v>
      </c>
      <c r="F96" s="237" t="n">
        <v>15813</v>
      </c>
      <c r="G96" s="237" t="n">
        <v>15408</v>
      </c>
      <c r="H96" s="237" t="n">
        <v>205.52</v>
      </c>
    </row>
    <row r="97" ht="15" customHeight="1">
      <c r="A97" s="3" t="n"/>
      <c r="B97" s="17" t="inlineStr">
        <is>
          <t>Market Capitalization</t>
        </is>
      </c>
      <c r="C97" s="41" t="inlineStr">
        <is>
          <t>($000)</t>
        </is>
      </c>
      <c r="D97" s="241">
        <f>D95*D96</f>
        <v/>
      </c>
      <c r="E97" s="241">
        <f>E95*E96</f>
        <v/>
      </c>
      <c r="F97" s="241">
        <f>F95*F96</f>
        <v/>
      </c>
      <c r="G97" s="241">
        <f>G95*G96</f>
        <v/>
      </c>
      <c r="H97" s="241">
        <f>H95*H96</f>
        <v/>
      </c>
    </row>
    <row r="98" ht="15" customHeight="1">
      <c r="A98" s="3" t="n"/>
      <c r="B98" s="14" t="inlineStr">
        <is>
          <t>Enterprise Value (EV)</t>
        </is>
      </c>
      <c r="C98" s="41" t="inlineStr">
        <is>
          <t>($000)</t>
        </is>
      </c>
      <c r="D98" s="241">
        <f>D97+D54+D48-D34</f>
        <v/>
      </c>
      <c r="E98" s="241">
        <f>E97+E54+E48-E34</f>
        <v/>
      </c>
      <c r="F98" s="241">
        <f>F97+F54+F48-F34</f>
        <v/>
      </c>
      <c r="G98" s="241">
        <f>G97+G54+G48-G34</f>
        <v/>
      </c>
      <c r="H98" s="241">
        <f>H97+H54+H48-H34</f>
        <v/>
      </c>
    </row>
    <row r="99" ht="15" customHeight="1">
      <c r="A99" s="3" t="n"/>
      <c r="B99" s="17" t="inlineStr">
        <is>
          <t>Beta (Levered)</t>
        </is>
      </c>
      <c r="C99" s="41" t="inlineStr">
        <is>
          <t>(x)</t>
        </is>
      </c>
      <c r="D99" s="233" t="n"/>
      <c r="E99" s="424" t="n"/>
      <c r="F99" s="424" t="n"/>
      <c r="G99" s="424" t="n"/>
      <c r="H99" s="425" t="n">
        <v>0.151</v>
      </c>
    </row>
    <row r="100" ht="15" customHeight="1">
      <c r="A100" s="3" t="n"/>
      <c r="B100" s="17" t="inlineStr">
        <is>
          <t>Risk-Free Rate</t>
        </is>
      </c>
      <c r="C100" s="41" t="inlineStr">
        <is>
          <t>(%)</t>
        </is>
      </c>
      <c r="D100" s="233" t="n"/>
      <c r="E100" s="426" t="n"/>
      <c r="F100" s="426" t="n"/>
      <c r="G100" s="426" t="n"/>
      <c r="H100" s="427" t="n">
        <v>0.0434</v>
      </c>
    </row>
    <row r="101" ht="15" customHeight="1">
      <c r="A101" s="3" t="n"/>
      <c r="B101" s="17" t="inlineStr">
        <is>
          <t>Equity Risk Premium (ERP)</t>
        </is>
      </c>
      <c r="C101" s="41" t="inlineStr">
        <is>
          <t>(%)</t>
        </is>
      </c>
      <c r="D101" s="233" t="n"/>
      <c r="E101" s="426" t="n"/>
      <c r="F101" s="426" t="n"/>
      <c r="G101" s="426" t="n"/>
      <c r="H101" s="427" t="n">
        <v>0.055</v>
      </c>
    </row>
    <row r="102" ht="15" customHeight="1">
      <c r="A102" s="3" t="n"/>
      <c r="B102" s="17" t="inlineStr">
        <is>
          <t>Cost of Equity (CAPM)</t>
        </is>
      </c>
      <c r="C102" s="41" t="inlineStr">
        <is>
          <t>(%)</t>
        </is>
      </c>
      <c r="D102" s="236" t="n">
        <v>0.1083</v>
      </c>
      <c r="E102" s="428" t="n">
        <v>0.1083</v>
      </c>
      <c r="F102" s="428" t="n">
        <v>0.1063</v>
      </c>
      <c r="G102" s="428" t="n">
        <v>0.1063</v>
      </c>
      <c r="H102" s="428" t="n">
        <v>0.1063</v>
      </c>
    </row>
    <row r="103" ht="15" customHeight="1">
      <c r="A103" s="3" t="n"/>
      <c r="B103" s="17" t="inlineStr">
        <is>
          <t>Cost of Debt (Pre-Tax)</t>
        </is>
      </c>
      <c r="C103" s="41" t="inlineStr">
        <is>
          <t>(%)</t>
        </is>
      </c>
      <c r="D103" s="233" t="n"/>
      <c r="E103" s="427" t="n"/>
      <c r="F103" s="427" t="n"/>
      <c r="G103" s="427" t="n"/>
      <c r="H103" s="427" t="n">
        <v>0.0465</v>
      </c>
    </row>
    <row r="104" ht="15" customHeight="1">
      <c r="A104" s="3" t="n"/>
      <c r="B104" s="17" t="inlineStr">
        <is>
          <t>Tax Rate</t>
        </is>
      </c>
      <c r="C104" s="41" t="inlineStr">
        <is>
          <t>(%)</t>
        </is>
      </c>
      <c r="D104" s="233" t="n"/>
      <c r="E104" s="426" t="n">
        <v>0.1684</v>
      </c>
      <c r="F104" s="426" t="n">
        <v>0.2099</v>
      </c>
      <c r="G104" s="426" t="n">
        <v>0.1971</v>
      </c>
      <c r="H104" s="427" t="n">
        <v>0.1842</v>
      </c>
    </row>
    <row r="105" ht="15" customHeight="1">
      <c r="A105" s="3" t="n"/>
      <c r="B105" s="17" t="inlineStr">
        <is>
          <t>After-Tax Cost of Debt</t>
        </is>
      </c>
      <c r="C105" s="41" t="inlineStr">
        <is>
          <t>(%)</t>
        </is>
      </c>
      <c r="D105" s="236" t="n">
        <v>0.0379</v>
      </c>
      <c r="E105" s="428" t="n">
        <v>0.0379</v>
      </c>
      <c r="F105" s="428" t="n">
        <v>0.0363</v>
      </c>
      <c r="G105" s="428" t="n">
        <v>0.0363</v>
      </c>
      <c r="H105" s="428" t="n">
        <v>0.0363</v>
      </c>
    </row>
    <row r="106" ht="15" customHeight="1">
      <c r="A106" s="3" t="n"/>
      <c r="B106" s="17" t="inlineStr">
        <is>
          <t>Weight of Equity (%)</t>
        </is>
      </c>
      <c r="C106" s="41" t="inlineStr">
        <is>
          <t>(%)</t>
        </is>
      </c>
      <c r="D106" s="233" t="n"/>
      <c r="E106" s="426" t="n"/>
      <c r="F106" s="426" t="n"/>
      <c r="G106" s="426" t="n"/>
      <c r="H106" s="427" t="n">
        <v>0.8996</v>
      </c>
    </row>
    <row r="107" ht="15" customHeight="1">
      <c r="A107" s="3" t="n"/>
      <c r="B107" s="17" t="inlineStr">
        <is>
          <t>Weight of Debt (%)</t>
        </is>
      </c>
      <c r="C107" s="41" t="inlineStr">
        <is>
          <t>(%)</t>
        </is>
      </c>
      <c r="D107" s="233" t="n"/>
      <c r="E107" s="426" t="n"/>
      <c r="F107" s="426" t="n"/>
      <c r="G107" s="426" t="n"/>
      <c r="H107" s="427" t="n">
        <v>0.1004</v>
      </c>
    </row>
    <row r="108" ht="15" customHeight="1">
      <c r="A108" s="3" t="n"/>
      <c r="B108" s="14" t="inlineStr">
        <is>
          <t>WACC</t>
        </is>
      </c>
      <c r="C108" s="41" t="inlineStr">
        <is>
          <t>(%)</t>
        </is>
      </c>
      <c r="D108" s="233">
        <f>D106*(D100+D99*D101)+D107*D103*(1-D104)</f>
        <v/>
      </c>
      <c r="E108" s="427">
        <f>E106*(E100+E99*E101)+E107*E103*(1-E104)</f>
        <v/>
      </c>
      <c r="F108" s="427">
        <f>F106*(F100+F99*F101)+F107*F103*(1-F104)</f>
        <v/>
      </c>
      <c r="G108" s="427">
        <f>G106*(G100+G99*G101)+G107*G103*(1-G104)</f>
        <v/>
      </c>
      <c r="H108" s="427">
        <f>H106*(H100+H99*H101)+H107*H103*(1-H104)</f>
        <v/>
      </c>
    </row>
    <row r="109" ht="15" customHeight="1">
      <c r="A109" s="3" t="n"/>
      <c r="B109" s="17" t="inlineStr">
        <is>
          <t>Terminal Growth Rate</t>
        </is>
      </c>
      <c r="C109" s="41" t="inlineStr">
        <is>
          <t>(%)</t>
        </is>
      </c>
      <c r="D109" s="233" t="n"/>
      <c r="E109" s="427" t="n"/>
      <c r="F109" s="427" t="n"/>
      <c r="G109" s="427" t="n"/>
      <c r="H109" s="427" t="n">
        <v>0.02</v>
      </c>
    </row>
    <row r="110" ht="15" customHeight="1">
      <c r="A110" s="3" t="n"/>
      <c r="B110" s="17" t="inlineStr">
        <is>
          <t>Days in Period</t>
        </is>
      </c>
      <c r="C110" s="41" t="inlineStr">
        <is>
          <t>(days)</t>
        </is>
      </c>
      <c r="D110" s="233" t="n"/>
      <c r="E110" s="423" t="n"/>
      <c r="F110" s="423" t="n"/>
      <c r="G110" s="423" t="n"/>
      <c r="H110" s="233" t="n">
        <v>365</v>
      </c>
    </row>
    <row r="111" ht="15" customHeight="1">
      <c r="A111" s="3" t="n"/>
      <c r="B111" s="14" t="n"/>
      <c r="C111" s="9" t="n"/>
      <c r="D111" s="42" t="n"/>
      <c r="E111" s="42" t="n"/>
      <c r="F111" s="42" t="n"/>
      <c r="G111" s="42" t="n"/>
      <c r="H111" s="42" t="n"/>
    </row>
    <row r="112" ht="18" customHeight="1">
      <c r="A112" s="112" t="n"/>
      <c r="B112" s="49" t="inlineStr">
        <is>
          <t>COMPANY INFORMATION</t>
        </is>
      </c>
      <c r="C112" s="44" t="n"/>
      <c r="D112" s="7" t="n"/>
      <c r="E112" s="45" t="n"/>
      <c r="F112" s="45" t="n"/>
      <c r="G112" s="45" t="n"/>
      <c r="H112" s="45" t="n"/>
    </row>
    <row r="113" ht="18" customHeight="1">
      <c r="A113" s="112" t="n"/>
      <c r="B113" s="125" t="n"/>
      <c r="C113" s="116" t="n"/>
      <c r="D113" s="126" t="n"/>
      <c r="E113" s="126" t="n"/>
      <c r="F113" s="126" t="n"/>
      <c r="G113" s="126" t="n"/>
      <c r="H113" s="126" t="n"/>
    </row>
    <row r="114" ht="15" customHeight="1">
      <c r="A114" s="3" t="n"/>
      <c r="B114" s="14" t="inlineStr">
        <is>
          <t>Company Name</t>
        </is>
      </c>
      <c r="C114" s="41" t="inlineStr">
        <is>
          <t>(text)</t>
        </is>
      </c>
      <c r="D114" s="233" t="inlineStr">
        <is>
          <t>Thales S.A.</t>
        </is>
      </c>
      <c r="E114" s="42" t="n"/>
      <c r="F114" s="42" t="n"/>
      <c r="G114" s="42" t="n"/>
      <c r="H114" s="42" t="n"/>
    </row>
    <row r="115" ht="15" customHeight="1">
      <c r="A115" s="3" t="n"/>
      <c r="B115" s="14" t="inlineStr">
        <is>
          <t>Ticker Symbol</t>
        </is>
      </c>
      <c r="C115" s="41" t="inlineStr">
        <is>
          <t>(text)</t>
        </is>
      </c>
      <c r="D115" s="233" t="inlineStr">
        <is>
          <t>HO.PA</t>
        </is>
      </c>
      <c r="E115" s="42" t="n"/>
      <c r="F115" s="42" t="n"/>
      <c r="G115" s="42" t="n"/>
      <c r="H115" s="42" t="n"/>
    </row>
    <row r="116" ht="15" customHeight="1">
      <c r="A116" s="3" t="n"/>
      <c r="B116" s="14" t="inlineStr">
        <is>
          <t>Sector / Industry</t>
        </is>
      </c>
      <c r="C116" s="41" t="inlineStr">
        <is>
          <t>(text)</t>
        </is>
      </c>
      <c r="D116" s="238" t="inlineStr">
        <is>
          <t>Industrials</t>
        </is>
      </c>
      <c r="E116" s="42" t="n"/>
      <c r="F116" s="42" t="n"/>
      <c r="G116" s="42" t="n"/>
      <c r="H116" s="42" t="n"/>
    </row>
    <row r="117" ht="15" customHeight="1">
      <c r="A117" s="3" t="n"/>
      <c r="B117" s="76" t="inlineStr">
        <is>
          <t>Base Year (LTM)</t>
        </is>
      </c>
      <c r="C117" s="41" t="inlineStr">
        <is>
          <t>(text)</t>
        </is>
      </c>
      <c r="D117" s="84" t="n">
        <v>2025</v>
      </c>
      <c r="E117" s="42" t="n"/>
      <c r="F117" s="42" t="n"/>
      <c r="G117" s="42" t="n"/>
      <c r="H117" s="42" t="n"/>
    </row>
    <row r="118" ht="15" customHeight="1">
      <c r="A118" s="3" t="n"/>
      <c r="B118" s="14" t="inlineStr">
        <is>
          <t>Currency</t>
        </is>
      </c>
      <c r="C118" s="41" t="inlineStr">
        <is>
          <t>(text)</t>
        </is>
      </c>
      <c r="D118" s="233" t="inlineStr">
        <is>
          <t>EUR</t>
        </is>
      </c>
      <c r="E118" s="42" t="n"/>
      <c r="F118" s="42" t="n"/>
      <c r="G118" s="42" t="n"/>
      <c r="H118" s="42" t="n"/>
    </row>
    <row r="119" ht="15" customHeight="1">
      <c r="A119" s="3" t="n"/>
      <c r="B119" s="14" t="inlineStr">
        <is>
          <t>Units</t>
        </is>
      </c>
      <c r="C119" s="41" t="inlineStr">
        <is>
          <t>(text)</t>
        </is>
      </c>
      <c r="D119" s="233" t="inlineStr">
        <is>
          <t>M</t>
        </is>
      </c>
      <c r="E119" s="42" t="n"/>
      <c r="F119" s="42" t="n"/>
      <c r="G119" s="42" t="n"/>
      <c r="H119" s="42" t="n"/>
    </row>
    <row r="120" ht="15" customHeight="1">
      <c r="A120" s="3" t="n"/>
      <c r="B120" s="14" t="inlineStr">
        <is>
          <t>Analysis Date</t>
        </is>
      </c>
      <c r="C120" s="41" t="inlineStr">
        <is>
          <t>(text)</t>
        </is>
      </c>
      <c r="D120" s="239" t="inlineStr">
        <is>
          <t>2026-04-09</t>
        </is>
      </c>
      <c r="E120" s="240" t="n"/>
      <c r="F120" s="240" t="n"/>
      <c r="G120" s="240" t="n"/>
      <c r="H120" s="240" t="n"/>
    </row>
    <row r="121" ht="15" customHeight="1">
      <c r="A121" s="3" t="n"/>
      <c r="B121" s="14" t="n"/>
      <c r="C121" s="9" t="n"/>
      <c r="D121" s="42" t="n"/>
      <c r="E121" s="42" t="n"/>
      <c r="F121" s="42" t="n"/>
      <c r="G121" s="42" t="n"/>
      <c r="H121" s="42" t="n"/>
    </row>
    <row r="122" ht="15" customHeight="1">
      <c r="A122" s="3" t="n"/>
      <c r="B122" s="50" t="inlineStr">
        <is>
          <t>NOTE: All analytical sheets reference this INPUT sheet only. Enter data in the blue cells (columns D–H).</t>
        </is>
      </c>
      <c r="C122" s="3" t="n"/>
      <c r="D122" s="22" t="n"/>
      <c r="E122" s="22" t="n"/>
      <c r="F122" s="22" t="n"/>
      <c r="G122" s="22" t="n"/>
      <c r="H122" s="22" t="n"/>
    </row>
    <row r="123" ht="15" customHeight="1">
      <c r="A123" s="3" t="n"/>
      <c r="B123" s="14" t="n"/>
      <c r="C123" s="3" t="n"/>
      <c r="D123" s="22" t="n"/>
      <c r="E123" s="22" t="n"/>
      <c r="F123" s="22" t="n"/>
      <c r="G123" s="22" t="n"/>
      <c r="H123" s="22" t="n"/>
    </row>
    <row r="124" ht="15" customHeight="1">
      <c r="A124" s="223" t="n"/>
      <c r="B124" s="32" t="inlineStr">
        <is>
          <t>© 2015 to 2024 FinSight</t>
        </is>
      </c>
      <c r="C124" s="2" t="n"/>
      <c r="D124" s="25" t="n"/>
      <c r="E124" s="25" t="n"/>
      <c r="F124" s="25" t="n"/>
      <c r="G124" s="25" t="n"/>
      <c r="H124" s="25" t="n"/>
    </row>
    <row r="125" ht="15" customHeight="1">
      <c r="A125" s="223" t="n"/>
      <c r="B125" s="32" t="inlineStr">
        <is>
          <t>This Excel model is for educational purposes only.</t>
        </is>
      </c>
      <c r="C125" s="2" t="n"/>
      <c r="D125" s="25" t="n"/>
      <c r="E125" s="25" t="n"/>
      <c r="F125" s="25" t="n"/>
      <c r="G125" s="25" t="n"/>
      <c r="H125" s="25" t="n"/>
    </row>
    <row r="126" ht="15" customHeight="1">
      <c r="A126" s="223" t="n"/>
      <c r="B126" s="32" t="inlineStr">
        <is>
          <t>https://finsight.com/</t>
        </is>
      </c>
      <c r="C126" s="2" t="n"/>
      <c r="D126" s="25" t="n"/>
      <c r="E126" s="25" t="n"/>
      <c r="F126" s="25" t="n"/>
      <c r="G126" s="25" t="n"/>
      <c r="H126" s="25" t="n"/>
    </row>
    <row r="127" ht="15" customHeight="1">
      <c r="B127" s="47" t="n"/>
    </row>
    <row r="128" ht="3" customHeight="1">
      <c r="A128" s="332" t="n"/>
      <c r="B128" s="333" t="n"/>
      <c r="C128" s="332" t="n"/>
      <c r="D128" s="334">
        <f>IF(COUNTA(D9,D10,D14,D15,D16,D20,D21,D25)=8,1,0)+IF(COUNTA(E9,E10,E14,E15,E16,E20,E21,E25)=8,1,0)+IF(COUNTA(F9,F10,F14,F15,F16,F20,F21,F25)=8,1,0)+IF(COUNTA(G9,G10,G14,G15,G16,G20,G21,G25)=8,1,0)</f>
        <v/>
      </c>
      <c r="E128" s="334" t="n"/>
      <c r="F128" s="334">
        <f>IF(D9&lt;&gt;"",1,0)+IF(E9&lt;&gt;"",1,0)+IF(F9&lt;&gt;"",1,0)+IF(G9&lt;&gt;"",1,0)+IF(H9&lt;&gt;"",1,0)</f>
        <v/>
      </c>
      <c r="G128" s="334">
        <f>IF(NOT(ISBLANK(H9)),F128,IF(NOT(ISBLANK(G9)),F128,IF(NOT(ISBLANK(F9)),F128,IF(NOT(ISBLANK(E9)),F128,IF(NOT(ISBLANK(D9)),F128,0)))))</f>
        <v/>
      </c>
      <c r="H128" s="334" t="n"/>
      <c r="I128" s="332" t="n"/>
      <c r="J128" s="332" t="n"/>
      <c r="K128" s="332" t="n"/>
    </row>
    <row r="129" ht="15" customHeight="1">
      <c r="B129" s="47" t="n"/>
    </row>
    <row r="130" ht="15" customHeight="1">
      <c r="B130" s="47" t="n"/>
    </row>
    <row r="131" ht="15" customHeight="1">
      <c r="B131" s="47" t="n"/>
    </row>
    <row r="132" ht="15" customHeight="1">
      <c r="B132" s="47" t="n"/>
      <c r="E132" t="n">
        <v>2022</v>
      </c>
      <c r="F132" t="n">
        <v>2023</v>
      </c>
      <c r="G132" t="n">
        <v>2024</v>
      </c>
      <c r="H132" t="inlineStr">
        <is>
          <t>2025 (LTM)</t>
        </is>
      </c>
    </row>
    <row r="133" ht="15" customHeight="1">
      <c r="B133" s="47" t="n"/>
    </row>
    <row r="134" ht="15" customHeight="1">
      <c r="B134" s="47" t="n"/>
    </row>
    <row r="135" ht="15" customHeight="1">
      <c r="B135" s="47" t="n"/>
    </row>
    <row r="136" ht="15" customHeight="1">
      <c r="B136" s="47" t="n"/>
    </row>
    <row r="137" ht="15" customHeight="1">
      <c r="B137" s="47" t="n"/>
    </row>
    <row r="138" ht="15" customHeight="1">
      <c r="B138" s="47" t="n"/>
    </row>
    <row r="139" ht="15" customHeight="1">
      <c r="B139" s="47" t="n"/>
    </row>
    <row r="140" ht="15" customHeight="1">
      <c r="B140" s="47" t="n"/>
    </row>
    <row r="141" ht="15" customHeight="1">
      <c r="B141" s="47" t="n"/>
    </row>
    <row r="142" ht="15" customHeight="1">
      <c r="B142" s="47" t="n"/>
    </row>
    <row r="143" ht="15" customHeight="1">
      <c r="B143" s="47" t="n"/>
    </row>
    <row r="144" ht="15" customHeight="1">
      <c r="B144" s="47" t="n"/>
    </row>
    <row r="145" ht="15" customHeight="1">
      <c r="B145" s="47" t="n"/>
    </row>
    <row r="146" ht="15" customHeight="1">
      <c r="B146" s="47" t="n"/>
    </row>
    <row r="147" ht="15" customHeight="1">
      <c r="B147" s="47" t="n"/>
    </row>
    <row r="148" ht="15" customHeight="1">
      <c r="B148" s="47" t="n"/>
    </row>
    <row r="149" ht="15" customHeight="1">
      <c r="B149" s="47" t="n"/>
    </row>
    <row r="150" ht="15" customHeight="1">
      <c r="B150" s="47" t="n"/>
    </row>
    <row r="151" ht="15" customHeight="1">
      <c r="B151" s="47" t="n"/>
    </row>
  </sheetData>
  <conditionalFormatting sqref="D1">
    <cfRule type="expression" priority="2" dxfId="0">
      <formula>$F$128&lt;4</formula>
    </cfRule>
  </conditionalFormatting>
  <conditionalFormatting sqref="D2 D4 D6 D8:D31 D33:D66 D68:D92 D94:D111 D113:D122">
    <cfRule type="expression" priority="8" dxfId="0">
      <formula>$F$128&lt;5</formula>
    </cfRule>
  </conditionalFormatting>
  <conditionalFormatting sqref="D7">
    <cfRule type="expression" priority="1" dxfId="0">
      <formula>$F$128&lt;4</formula>
    </cfRule>
  </conditionalFormatting>
  <conditionalFormatting sqref="E1:E122">
    <cfRule type="expression" priority="9" dxfId="0">
      <formula>$F$128&lt;4</formula>
    </cfRule>
  </conditionalFormatting>
  <conditionalFormatting sqref="F1:F122">
    <cfRule type="expression" priority="10" dxfId="0">
      <formula>$F$128&lt;3</formula>
    </cfRule>
  </conditionalFormatting>
  <conditionalFormatting sqref="G1:G122">
    <cfRule type="expression" priority="11" dxfId="0">
      <formula>$F$128&lt;2</formula>
    </cfRule>
  </conditionalFormatting>
  <conditionalFormatting sqref="H1:H122">
    <cfRule type="expression" priority="12" dxfId="0">
      <formula>$F$128&lt;1</formula>
    </cfRule>
  </conditionalFormatting>
  <dataValidations count="1">
    <dataValidation sqref="D116" showDropDown="0" showInputMessage="1" showErrorMessage="1" allowBlank="1" type="list">
      <formula1>"Technologie / SaaS,Industrie / Manufacturing,Consommation / Retail,Luxe / Premium,Energie / Utilities,Sante / Pharma"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2" fitToHeight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23"/>
  <sheetViews>
    <sheetView showGridLines="0" zoomScale="65" workbookViewId="0">
      <selection activeCell="G20" sqref="G20"/>
    </sheetView>
  </sheetViews>
  <sheetFormatPr baseColWidth="10" defaultRowHeight="15"/>
  <cols>
    <col width="11" customWidth="1" style="208" min="1" max="1"/>
    <col width="49.5703125" customWidth="1" style="19" min="2" max="2"/>
    <col width="12.28515625" customWidth="1" min="3" max="3"/>
    <col width="13.28515625" customWidth="1" style="465" min="4" max="8"/>
  </cols>
  <sheetData>
    <row r="1" ht="54.95" customHeight="1">
      <c r="A1" s="204" t="n"/>
      <c r="B1" s="104" t="inlineStr">
        <is>
          <t>FinSight</t>
        </is>
      </c>
      <c r="C1" s="5" t="n"/>
      <c r="D1" s="5" t="n"/>
      <c r="E1" s="29" t="n"/>
      <c r="F1" s="103" t="inlineStr">
        <is>
          <t>RATIOS — Financial Ratio Analysis</t>
        </is>
      </c>
      <c r="G1" s="29" t="n"/>
      <c r="H1" s="29" t="n"/>
    </row>
    <row r="2" ht="15" customHeight="1">
      <c r="A2" s="205" t="n"/>
      <c r="B2" s="14" t="n"/>
      <c r="C2" s="3" t="n"/>
      <c r="D2" s="468" t="n"/>
      <c r="E2" s="22" t="n"/>
      <c r="F2" s="22" t="n"/>
      <c r="G2" s="22" t="n"/>
      <c r="H2" s="22" t="n"/>
    </row>
    <row r="3" ht="18" customHeight="1">
      <c r="A3" s="206" t="n"/>
      <c r="B3" s="15" t="inlineStr">
        <is>
          <t>RATIOS</t>
        </is>
      </c>
      <c r="C3" s="7" t="n"/>
      <c r="D3" s="469" t="n"/>
      <c r="E3" s="23" t="n"/>
      <c r="F3" s="23" t="n"/>
      <c r="G3" s="23" t="n"/>
      <c r="H3" s="23" t="n"/>
    </row>
    <row r="4" ht="15" customHeight="1">
      <c r="A4" s="205" t="n"/>
      <c r="B4" s="13" t="n"/>
      <c r="C4" s="3" t="n"/>
      <c r="D4" s="468" t="n"/>
      <c r="E4" s="22" t="n"/>
      <c r="F4" s="22" t="n"/>
      <c r="G4" s="22" t="n"/>
      <c r="H4" s="22" t="n"/>
    </row>
    <row r="5" ht="15" customHeight="1">
      <c r="A5" s="207" t="inlineStr">
        <is>
          <t xml:space="preserve"> </t>
        </is>
      </c>
      <c r="B5" s="16" t="inlineStr">
        <is>
          <t>Year</t>
        </is>
      </c>
      <c r="C5" s="16" t="n"/>
      <c r="D5" s="470" t="n"/>
      <c r="E5" s="1">
        <f>IF(INPUT!E5="","",INPUT!E5)</f>
        <v/>
      </c>
      <c r="F5" s="1">
        <f>IF(INPUT!F5="","",INPUT!F5)</f>
        <v/>
      </c>
      <c r="G5" s="1">
        <f>IF(INPUT!G5="","",INPUT!G5)</f>
        <v/>
      </c>
      <c r="H5" s="1">
        <f>IF(INPUT!H5="","",INPUT!H5)</f>
        <v/>
      </c>
    </row>
    <row r="6" ht="15" customHeight="1">
      <c r="A6" s="205" t="n"/>
      <c r="B6" s="14" t="n"/>
      <c r="C6" s="3" t="n"/>
      <c r="D6" s="468" t="n"/>
      <c r="E6" s="22" t="n"/>
      <c r="F6" s="22" t="n"/>
      <c r="G6" s="22" t="n"/>
      <c r="H6" s="22" t="n"/>
    </row>
    <row r="7" ht="18" customHeight="1">
      <c r="A7" s="206" t="inlineStr">
        <is>
          <t xml:space="preserve"> </t>
        </is>
      </c>
      <c r="B7" s="15" t="inlineStr">
        <is>
          <t>VALUATION RATIOS</t>
        </is>
      </c>
      <c r="C7" s="7" t="n"/>
      <c r="D7" s="469" t="n"/>
      <c r="E7" s="23" t="n"/>
      <c r="F7" s="23" t="n"/>
      <c r="G7" s="23" t="n"/>
      <c r="H7" s="23" t="n"/>
    </row>
    <row r="8" ht="18" customHeight="1">
      <c r="A8" s="206" t="n"/>
      <c r="B8" s="110" t="n"/>
      <c r="C8" s="112" t="n"/>
      <c r="D8" s="471" t="n"/>
      <c r="E8" s="109" t="n"/>
      <c r="F8" s="109" t="n"/>
      <c r="G8" s="109" t="n"/>
      <c r="H8" s="109" t="n"/>
    </row>
    <row r="9" ht="15" customHeight="1">
      <c r="A9" s="205" t="n"/>
      <c r="B9" s="27" t="inlineStr">
        <is>
          <t>Price / Earnings (P/E)</t>
        </is>
      </c>
      <c r="C9" s="9" t="n"/>
      <c r="D9" s="497">
        <f>IFERROR(INPUT!D95/( INPUT!D26/INPUT!D96),"–")</f>
        <v/>
      </c>
      <c r="E9" s="498">
        <f>IFERROR(INPUT!E95/(INPUT!E26/INPUT!E96),"–")</f>
        <v/>
      </c>
      <c r="F9" s="498">
        <f>IFERROR(INPUT!F95/(INPUT!F26/INPUT!F96),"–")</f>
        <v/>
      </c>
      <c r="G9" s="498">
        <f>IFERROR(INPUT!G95/(INPUT!G26/INPUT!G96),"–")</f>
        <v/>
      </c>
      <c r="H9" s="498">
        <f>IFERROR(INPUT!H95/(INPUT!H26/INPUT!H96),"–")</f>
        <v/>
      </c>
    </row>
    <row r="10" ht="15" customHeight="1">
      <c r="A10" s="205" t="n"/>
      <c r="B10" s="27" t="inlineStr">
        <is>
          <t>EV / EBITDA</t>
        </is>
      </c>
      <c r="C10" s="9" t="n"/>
      <c r="D10" s="497">
        <f>IFERROR(INPUT!D98/INPUT!D30,"–")</f>
        <v/>
      </c>
      <c r="E10" s="498">
        <f>IFERROR(INPUT!E98/INPUT!E30,"–")</f>
        <v/>
      </c>
      <c r="F10" s="498">
        <f>IFERROR(INPUT!F98/INPUT!F30,"–")</f>
        <v/>
      </c>
      <c r="G10" s="498">
        <f>IFERROR(INPUT!G98/INPUT!G30,"–")</f>
        <v/>
      </c>
      <c r="H10" s="498">
        <f>IFERROR(INPUT!H98/INPUT!H30,"–")</f>
        <v/>
      </c>
    </row>
    <row r="11" ht="15" customHeight="1">
      <c r="A11" s="205" t="n"/>
      <c r="B11" s="27" t="inlineStr">
        <is>
          <t>EV / Revenue</t>
        </is>
      </c>
      <c r="C11" s="9" t="n"/>
      <c r="D11" s="497">
        <f>IFERROR(INPUT!D98/INPUT!D9,"–")</f>
        <v/>
      </c>
      <c r="E11" s="498">
        <f>IFERROR(INPUT!E98/INPUT!E9,"–")</f>
        <v/>
      </c>
      <c r="F11" s="498">
        <f>IFERROR(INPUT!F98/INPUT!F9,"–")</f>
        <v/>
      </c>
      <c r="G11" s="498">
        <f>IFERROR(INPUT!G98/INPUT!G9,"–")</f>
        <v/>
      </c>
      <c r="H11" s="498">
        <f>IFERROR(INPUT!H98/INPUT!H9,"–")</f>
        <v/>
      </c>
    </row>
    <row r="12" ht="15" customHeight="1">
      <c r="A12" s="205" t="n"/>
      <c r="B12" s="27" t="inlineStr">
        <is>
          <t>EV / EBIT</t>
        </is>
      </c>
      <c r="C12" s="9" t="n"/>
      <c r="D12" s="497">
        <f>IFERROR(INPUT!D98/INPUT!D17,"–")</f>
        <v/>
      </c>
      <c r="E12" s="498">
        <f>IFERROR(INPUT!E98/INPUT!E17,"–")</f>
        <v/>
      </c>
      <c r="F12" s="498">
        <f>IFERROR(INPUT!F98/INPUT!F17,"–")</f>
        <v/>
      </c>
      <c r="G12" s="498">
        <f>IFERROR(INPUT!G98/INPUT!G17,"–")</f>
        <v/>
      </c>
      <c r="H12" s="498">
        <f>IFERROR(INPUT!H98/INPUT!H17,"–")</f>
        <v/>
      </c>
    </row>
    <row r="13" ht="15" customHeight="1">
      <c r="A13" s="205" t="n"/>
      <c r="B13" s="27" t="inlineStr">
        <is>
          <t>Price / Book (P/B)</t>
        </is>
      </c>
      <c r="C13" s="9" t="n"/>
      <c r="D13" s="497">
        <f>IFERROR(INPUT!D97/INPUT!D60,"–")</f>
        <v/>
      </c>
      <c r="E13" s="498">
        <f>IFERROR(INPUT!E97/INPUT!E60,"–")</f>
        <v/>
      </c>
      <c r="F13" s="498">
        <f>IFERROR(INPUT!F97/INPUT!F60,"–")</f>
        <v/>
      </c>
      <c r="G13" s="498">
        <f>IFERROR(INPUT!G97/INPUT!G60,"–")</f>
        <v/>
      </c>
      <c r="H13" s="498">
        <f>IFERROR(INPUT!H97/INPUT!H60,"–")</f>
        <v/>
      </c>
    </row>
    <row r="14" ht="15" customHeight="1">
      <c r="A14" s="205" t="n"/>
      <c r="B14" s="27" t="inlineStr">
        <is>
          <t>Price / Sales (P/S)</t>
        </is>
      </c>
      <c r="C14" s="9" t="n"/>
      <c r="D14" s="497">
        <f>IFERROR(INPUT!D97/INPUT!D9,"–")</f>
        <v/>
      </c>
      <c r="E14" s="498">
        <f>IFERROR(INPUT!E97/INPUT!E9,"–")</f>
        <v/>
      </c>
      <c r="F14" s="498">
        <f>IFERROR(INPUT!F97/INPUT!F9,"–")</f>
        <v/>
      </c>
      <c r="G14" s="498">
        <f>IFERROR(INPUT!G97/INPUT!G9,"–")</f>
        <v/>
      </c>
      <c r="H14" s="498">
        <f>IFERROR(INPUT!H97/INPUT!H9,"–")</f>
        <v/>
      </c>
    </row>
    <row r="15" ht="15" customHeight="1">
      <c r="A15" s="205" t="n"/>
      <c r="B15" s="27" t="inlineStr">
        <is>
          <t>Earnings Per Share (EPS)</t>
        </is>
      </c>
      <c r="C15" s="9" t="n"/>
      <c r="D15" s="499">
        <f>IFERROR(INPUT!D26/INPUT!D96,"–")</f>
        <v/>
      </c>
      <c r="E15" s="500">
        <f>IFERROR(INPUT!E26/INPUT!E96,"–")</f>
        <v/>
      </c>
      <c r="F15" s="500">
        <f>IFERROR(INPUT!F26/INPUT!F96,"–")</f>
        <v/>
      </c>
      <c r="G15" s="500">
        <f>IFERROR(INPUT!G26/INPUT!G96,"–")</f>
        <v/>
      </c>
      <c r="H15" s="500">
        <f>IFERROR(INPUT!H26/INPUT!H96,"–")</f>
        <v/>
      </c>
    </row>
    <row r="16" ht="15" customHeight="1">
      <c r="A16" s="205" t="n"/>
      <c r="B16" s="28" t="n"/>
      <c r="C16" s="9" t="n"/>
      <c r="D16" s="468" t="n"/>
      <c r="E16" s="31" t="n"/>
      <c r="F16" s="31" t="n"/>
      <c r="G16" s="31" t="n"/>
      <c r="H16" s="31" t="n"/>
    </row>
    <row r="17" ht="18" customHeight="1">
      <c r="A17" s="206" t="inlineStr">
        <is>
          <t xml:space="preserve"> </t>
        </is>
      </c>
      <c r="B17" s="49" t="inlineStr">
        <is>
          <t>PROFITABILITY RATIOS</t>
        </is>
      </c>
      <c r="C17" s="44" t="n"/>
      <c r="D17" s="469" t="n"/>
      <c r="E17" s="23" t="n"/>
      <c r="F17" s="23" t="n"/>
      <c r="G17" s="23" t="n"/>
      <c r="H17" s="23" t="n"/>
    </row>
    <row r="18" ht="18" customHeight="1">
      <c r="A18" s="206" t="n"/>
      <c r="B18" s="125" t="n"/>
      <c r="C18" s="116" t="n"/>
      <c r="D18" s="471" t="n"/>
      <c r="E18" s="109" t="n"/>
      <c r="F18" s="109" t="n"/>
      <c r="G18" s="109" t="n"/>
      <c r="H18" s="109" t="n"/>
    </row>
    <row r="19" ht="15" customHeight="1">
      <c r="A19" s="205" t="n"/>
      <c r="B19" s="27" t="inlineStr">
        <is>
          <t>Gross Profit Margin</t>
        </is>
      </c>
      <c r="C19" s="9" t="n"/>
      <c r="D19" s="501">
        <f>IFERROR(INPUT!D11/INPUT!D9,"–")</f>
        <v/>
      </c>
      <c r="E19" s="502">
        <f>IFERROR(INPUT!E11/INPUT!E9,"–")</f>
        <v/>
      </c>
      <c r="F19" s="502">
        <f>IFERROR(INPUT!F11/INPUT!F9,"–")</f>
        <v/>
      </c>
      <c r="G19" s="502">
        <f>IFERROR(INPUT!G11/INPUT!G9,"–")</f>
        <v/>
      </c>
      <c r="H19" s="502">
        <f>IFERROR(INPUT!H11/INPUT!H9,"–")</f>
        <v/>
      </c>
    </row>
    <row r="20" ht="15" customHeight="1">
      <c r="A20" s="205" t="n"/>
      <c r="B20" s="27" t="inlineStr">
        <is>
          <t>EBITDA Margin</t>
        </is>
      </c>
      <c r="C20" s="9" t="n"/>
      <c r="D20" s="501">
        <f>IFERROR(INPUT!D30/INPUT!D9,"–")</f>
        <v/>
      </c>
      <c r="E20" s="502">
        <f>IFERROR(INPUT!E30/INPUT!E9,"–")</f>
        <v/>
      </c>
      <c r="F20" s="502">
        <f>IFERROR(INPUT!F30/INPUT!F9,"–")</f>
        <v/>
      </c>
      <c r="G20" s="502">
        <f>IFERROR(INPUT!G30/INPUT!G9,"–")</f>
        <v/>
      </c>
      <c r="H20" s="502">
        <f>IFERROR(INPUT!H30/INPUT!H9,"–")</f>
        <v/>
      </c>
    </row>
    <row r="21" ht="15" customHeight="1">
      <c r="A21" s="205" t="n"/>
      <c r="B21" s="27" t="inlineStr">
        <is>
          <t>EBIT (Operating) Margin</t>
        </is>
      </c>
      <c r="C21" s="9" t="n"/>
      <c r="D21" s="501">
        <f>IFERROR(INPUT!D17/INPUT!D9,"–")</f>
        <v/>
      </c>
      <c r="E21" s="502">
        <f>IFERROR(INPUT!E17/INPUT!E9,"–")</f>
        <v/>
      </c>
      <c r="F21" s="502">
        <f>IFERROR(INPUT!F17/INPUT!F9,"–")</f>
        <v/>
      </c>
      <c r="G21" s="502">
        <f>IFERROR(INPUT!G17/INPUT!G9,"–")</f>
        <v/>
      </c>
      <c r="H21" s="502">
        <f>IFERROR(INPUT!H17/INPUT!H9,"–")</f>
        <v/>
      </c>
    </row>
    <row r="22" ht="15" customHeight="1">
      <c r="A22" s="205" t="n"/>
      <c r="B22" s="27" t="inlineStr">
        <is>
          <t>Net Profit Margin</t>
        </is>
      </c>
      <c r="C22" s="9" t="n"/>
      <c r="D22" s="501">
        <f>IFERROR(INPUT!D26/INPUT!D9,"–")</f>
        <v/>
      </c>
      <c r="E22" s="502">
        <f>IFERROR(INPUT!E26/INPUT!E9,"–")</f>
        <v/>
      </c>
      <c r="F22" s="502">
        <f>IFERROR(INPUT!F26/INPUT!F9,"–")</f>
        <v/>
      </c>
      <c r="G22" s="502">
        <f>IFERROR(INPUT!G26/INPUT!G9,"–")</f>
        <v/>
      </c>
      <c r="H22" s="502">
        <f>IFERROR(INPUT!H26/INPUT!H9,"–")</f>
        <v/>
      </c>
    </row>
    <row r="23" ht="15" customHeight="1">
      <c r="A23" s="205" t="n"/>
      <c r="B23" s="27" t="inlineStr">
        <is>
          <t>Return on Equity (ROE)</t>
        </is>
      </c>
      <c r="C23" s="9" t="n"/>
      <c r="D23" s="501">
        <f>IFERROR(INPUT!D26/INPUT!D60,"–")</f>
        <v/>
      </c>
      <c r="E23" s="502">
        <f>IFERROR(INPUT!E26/INPUT!E60,"–")</f>
        <v/>
      </c>
      <c r="F23" s="502">
        <f>IFERROR(INPUT!F26/INPUT!F60,"–")</f>
        <v/>
      </c>
      <c r="G23" s="502">
        <f>IFERROR(INPUT!G26/INPUT!G60,"–")</f>
        <v/>
      </c>
      <c r="H23" s="502">
        <f>IFERROR(INPUT!H26/INPUT!H60,"–")</f>
        <v/>
      </c>
    </row>
    <row r="24" ht="15" customHeight="1">
      <c r="A24" s="205" t="n"/>
      <c r="B24" s="27" t="inlineStr">
        <is>
          <t>Return on Assets (ROA)</t>
        </is>
      </c>
      <c r="C24" s="9" t="n"/>
      <c r="D24" s="501">
        <f>IFERROR(INPUT!D26/INPUT!D44,"–")</f>
        <v/>
      </c>
      <c r="E24" s="502">
        <f>IFERROR(INPUT!E26/INPUT!E44,"–")</f>
        <v/>
      </c>
      <c r="F24" s="502">
        <f>IFERROR(INPUT!F26/INPUT!F44,"–")</f>
        <v/>
      </c>
      <c r="G24" s="502">
        <f>IFERROR(INPUT!G26/INPUT!G44,"–")</f>
        <v/>
      </c>
      <c r="H24" s="502">
        <f>IFERROR(INPUT!H26/INPUT!H44,"–")</f>
        <v/>
      </c>
    </row>
    <row r="25" ht="15" customHeight="1">
      <c r="A25" s="205" t="n"/>
      <c r="B25" s="27" t="inlineStr">
        <is>
          <t>Return on Invested Capital (ROIC)</t>
        </is>
      </c>
      <c r="C25" s="9" t="n"/>
      <c r="D25" s="503">
        <f>IFERROR(INPUT!D17*(1-INPUT!D104)/(INPUT!D58+INPUT!D59),"–")</f>
        <v/>
      </c>
      <c r="E25" s="504">
        <f>IFERROR(INPUT!E17*(1-INPUT!E104)/(INPUT!E58+INPUT!E59),"–")</f>
        <v/>
      </c>
      <c r="F25" s="504">
        <f>IFERROR(INPUT!F17*(1-INPUT!F104)/(INPUT!F58+INPUT!F59),"–")</f>
        <v/>
      </c>
      <c r="G25" s="504">
        <f>IFERROR(INPUT!G17*(1-INPUT!G104)/(INPUT!G58+INPUT!G59),"–")</f>
        <v/>
      </c>
      <c r="H25" s="504">
        <f>IFERROR(INPUT!H17*(1-INPUT!H104)/(INPUT!H58+INPUT!H59),"–")</f>
        <v/>
      </c>
    </row>
    <row r="26" ht="15" customHeight="1">
      <c r="A26" s="205" t="n"/>
      <c r="B26" s="28" t="n"/>
      <c r="C26" s="9" t="n"/>
      <c r="D26" s="468" t="n"/>
      <c r="E26" s="31" t="n"/>
      <c r="F26" s="31" t="n"/>
      <c r="G26" s="31" t="n"/>
      <c r="H26" s="31" t="n"/>
    </row>
    <row r="27" ht="18" customHeight="1">
      <c r="A27" s="206" t="inlineStr">
        <is>
          <t xml:space="preserve"> </t>
        </is>
      </c>
      <c r="B27" s="49" t="inlineStr">
        <is>
          <t>LIQUIDITY &amp; SOLVENCY RATIOS</t>
        </is>
      </c>
      <c r="C27" s="44" t="n"/>
      <c r="D27" s="469" t="n"/>
      <c r="E27" s="23" t="n"/>
      <c r="F27" s="23" t="n"/>
      <c r="G27" s="23" t="n"/>
      <c r="H27" s="23" t="n"/>
    </row>
    <row r="28" ht="18" customHeight="1">
      <c r="A28" s="206" t="n"/>
      <c r="B28" s="125" t="n"/>
      <c r="C28" s="116" t="n"/>
      <c r="D28" s="471" t="n"/>
      <c r="E28" s="109" t="n"/>
      <c r="F28" s="109" t="n"/>
      <c r="G28" s="109" t="n"/>
      <c r="H28" s="109" t="n"/>
    </row>
    <row r="29" ht="15" customHeight="1">
      <c r="A29" s="205" t="n"/>
      <c r="B29" s="27" t="inlineStr">
        <is>
          <t>Current Ratio</t>
        </is>
      </c>
      <c r="C29" s="9" t="n"/>
      <c r="D29" s="497">
        <f>IFERROR(INPUT!D38/INPUT!D51,"–")</f>
        <v/>
      </c>
      <c r="E29" s="498">
        <f>IFERROR(INPUT!E38/INPUT!E51,"–")</f>
        <v/>
      </c>
      <c r="F29" s="498">
        <f>IFERROR(INPUT!F38/INPUT!F51,"–")</f>
        <v/>
      </c>
      <c r="G29" s="498">
        <f>IFERROR(INPUT!G38/INPUT!G51,"–")</f>
        <v/>
      </c>
      <c r="H29" s="498">
        <f>IFERROR(INPUT!H38/INPUT!H51,"–")</f>
        <v/>
      </c>
    </row>
    <row r="30" ht="15" customHeight="1">
      <c r="A30" s="205" t="n"/>
      <c r="B30" s="27" t="inlineStr">
        <is>
          <t>Quick Ratio</t>
        </is>
      </c>
      <c r="C30" s="9" t="n"/>
      <c r="D30" s="497">
        <f>IFERROR((INPUT!D38-INPUT!D36)/INPUT!D51,"–")</f>
        <v/>
      </c>
      <c r="E30" s="498">
        <f>IFERROR((INPUT!E38-INPUT!E36)/INPUT!E51,"–")</f>
        <v/>
      </c>
      <c r="F30" s="498">
        <f>IFERROR((INPUT!F38-INPUT!F36)/INPUT!F51,"–")</f>
        <v/>
      </c>
      <c r="G30" s="498">
        <f>IFERROR((INPUT!G38-INPUT!G36)/INPUT!G51,"–")</f>
        <v/>
      </c>
      <c r="H30" s="498">
        <f>IFERROR((INPUT!H38-INPUT!H36)/INPUT!H51,"–")</f>
        <v/>
      </c>
    </row>
    <row r="31" ht="15" customHeight="1">
      <c r="A31" s="205" t="n"/>
      <c r="B31" s="27" t="inlineStr">
        <is>
          <t>Cash Ratio</t>
        </is>
      </c>
      <c r="C31" s="9" t="n"/>
      <c r="D31" s="497">
        <f>IFERROR(INPUT!D34/INPUT!D51,"–")</f>
        <v/>
      </c>
      <c r="E31" s="498">
        <f>IFERROR(INPUT!E34/INPUT!E51,"–")</f>
        <v/>
      </c>
      <c r="F31" s="498">
        <f>IFERROR(INPUT!F34/INPUT!F51,"–")</f>
        <v/>
      </c>
      <c r="G31" s="498">
        <f>IFERROR(INPUT!G34/INPUT!G51,"–")</f>
        <v/>
      </c>
      <c r="H31" s="498">
        <f>IFERROR(INPUT!H34/INPUT!H51,"–")</f>
        <v/>
      </c>
    </row>
    <row r="32" ht="15" customHeight="1">
      <c r="A32" s="205" t="n"/>
      <c r="B32" s="27" t="inlineStr">
        <is>
          <t>Debt / Equity Ratio</t>
        </is>
      </c>
      <c r="C32" s="9" t="n"/>
      <c r="D32" s="497">
        <f>IFERROR((INPUT!D49+INPUT!D55)/INPUT!D60,"–")</f>
        <v/>
      </c>
      <c r="E32" s="498">
        <f>IFERROR((INPUT!E49+INPUT!E55)/INPUT!E60,"–")</f>
        <v/>
      </c>
      <c r="F32" s="498">
        <f>IFERROR((INPUT!F49+INPUT!F55)/INPUT!F60,"–")</f>
        <v/>
      </c>
      <c r="G32" s="498">
        <f>IFERROR((INPUT!G49+INPUT!G55)/INPUT!G60,"–")</f>
        <v/>
      </c>
      <c r="H32" s="498">
        <f>IFERROR((INPUT!H49+INPUT!H55)/INPUT!H60,"–")</f>
        <v/>
      </c>
    </row>
    <row r="33" ht="15" customHeight="1">
      <c r="A33" s="205" t="n"/>
      <c r="B33" s="27" t="inlineStr">
        <is>
          <t>Net Debt / EBITDA</t>
        </is>
      </c>
      <c r="C33" s="9" t="n"/>
      <c r="D33" s="497">
        <f>IFERROR((INPUT!D49+INPUT!D55-INPUT!D34)/INPUT!D30,"–")</f>
        <v/>
      </c>
      <c r="E33" s="498">
        <f>IFERROR((INPUT!E49+INPUT!E55-INPUT!E34)/INPUT!E30,"–")</f>
        <v/>
      </c>
      <c r="F33" s="498">
        <f>IFERROR((INPUT!F49+INPUT!F55-INPUT!F34)/INPUT!F30,"–")</f>
        <v/>
      </c>
      <c r="G33" s="498">
        <f>IFERROR((INPUT!G49+INPUT!G55-INPUT!G34)/INPUT!G30,"–")</f>
        <v/>
      </c>
      <c r="H33" s="498">
        <f>IFERROR((INPUT!H49+INPUT!H55-INPUT!H34)/INPUT!H30,"–")</f>
        <v/>
      </c>
    </row>
    <row r="34" ht="15" customHeight="1">
      <c r="A34" s="205" t="n"/>
      <c r="B34" s="27" t="inlineStr">
        <is>
          <t>Interest Coverage (EBIT/Interest)</t>
        </is>
      </c>
      <c r="C34" s="9" t="n"/>
      <c r="D34" s="497">
        <f>IFERROR(INPUT!D17/ABS(INPUT!D20),"–")</f>
        <v/>
      </c>
      <c r="E34" s="498">
        <f>IFERROR(INPUT!E17/ABS(INPUT!E20),"–")</f>
        <v/>
      </c>
      <c r="F34" s="498">
        <f>IFERROR(INPUT!F17/ABS(INPUT!F20),"–")</f>
        <v/>
      </c>
      <c r="G34" s="498">
        <f>IFERROR(INPUT!G17/ABS(INPUT!G20),"–")</f>
        <v/>
      </c>
      <c r="H34" s="498">
        <f>IFERROR(INPUT!H17/ABS(INPUT!H20),"–")</f>
        <v/>
      </c>
    </row>
    <row r="35" ht="15" customHeight="1">
      <c r="A35" s="205" t="n"/>
      <c r="B35" s="27" t="inlineStr">
        <is>
          <t>Debt / Total Assets</t>
        </is>
      </c>
      <c r="C35" s="9" t="n"/>
      <c r="D35" s="497">
        <f>IFERROR((INPUT!D49+INPUT!D55)/INPUT!D44,"–")</f>
        <v/>
      </c>
      <c r="E35" s="498">
        <f>IFERROR((INPUT!E49+INPUT!E55)/INPUT!E44,"–")</f>
        <v/>
      </c>
      <c r="F35" s="498">
        <f>IFERROR((INPUT!F49+INPUT!F55)/INPUT!F44,"–")</f>
        <v/>
      </c>
      <c r="G35" s="498">
        <f>IFERROR((INPUT!G49+INPUT!G55)/INPUT!G44,"–")</f>
        <v/>
      </c>
      <c r="H35" s="498">
        <f>IFERROR((INPUT!H49+INPUT!H55)/INPUT!H44,"–")</f>
        <v/>
      </c>
    </row>
    <row r="36" ht="15" customHeight="1">
      <c r="A36" s="205" t="n"/>
      <c r="B36" s="27" t="inlineStr">
        <is>
          <t>Equity Ratio</t>
        </is>
      </c>
      <c r="C36" s="9" t="n"/>
      <c r="D36" s="505">
        <f>IFERROR(INPUT!D60/INPUT!D44,"–")</f>
        <v/>
      </c>
      <c r="E36" s="506">
        <f>IFERROR(INPUT!E60/INPUT!E44,"–")</f>
        <v/>
      </c>
      <c r="F36" s="506">
        <f>IFERROR(INPUT!F60/INPUT!F44,"–")</f>
        <v/>
      </c>
      <c r="G36" s="506">
        <f>IFERROR(INPUT!G60/INPUT!G44,"–")</f>
        <v/>
      </c>
      <c r="H36" s="506">
        <f>IFERROR(INPUT!H60/INPUT!H44,"–")</f>
        <v/>
      </c>
    </row>
    <row r="37" ht="15" customHeight="1">
      <c r="A37" s="205" t="n"/>
      <c r="B37" s="28" t="n"/>
      <c r="C37" s="9" t="n"/>
      <c r="D37" s="468" t="n"/>
      <c r="E37" s="31" t="n"/>
      <c r="F37" s="31" t="n"/>
      <c r="G37" s="31" t="n"/>
      <c r="H37" s="31" t="n"/>
    </row>
    <row r="38" ht="18" customHeight="1">
      <c r="A38" s="206" t="inlineStr">
        <is>
          <t xml:space="preserve"> </t>
        </is>
      </c>
      <c r="B38" s="49" t="inlineStr">
        <is>
          <t>OPERATIONAL EFFICIENCY RATIOS</t>
        </is>
      </c>
      <c r="C38" s="44" t="n"/>
      <c r="D38" s="469" t="n"/>
      <c r="E38" s="23" t="n"/>
      <c r="F38" s="23" t="n"/>
      <c r="G38" s="23" t="n"/>
      <c r="H38" s="23" t="n"/>
    </row>
    <row r="39" ht="18" customHeight="1">
      <c r="A39" s="206" t="n"/>
      <c r="B39" s="125" t="n"/>
      <c r="C39" s="116" t="n"/>
      <c r="D39" s="471" t="n"/>
      <c r="E39" s="109" t="n"/>
      <c r="F39" s="109" t="n"/>
      <c r="G39" s="109" t="n"/>
      <c r="H39" s="109" t="n"/>
    </row>
    <row r="40" ht="15" customHeight="1">
      <c r="A40" s="205" t="n"/>
      <c r="B40" s="27" t="inlineStr">
        <is>
          <t>Asset Turnover</t>
        </is>
      </c>
      <c r="C40" s="9" t="n"/>
      <c r="D40" s="497">
        <f>IFERROR(INPUT!D9/INPUT!D44,"–")</f>
        <v/>
      </c>
      <c r="E40" s="498">
        <f>IFERROR(INPUT!E9/INPUT!E44,"–")</f>
        <v/>
      </c>
      <c r="F40" s="498">
        <f>IFERROR(INPUT!F9/INPUT!F44,"–")</f>
        <v/>
      </c>
      <c r="G40" s="498">
        <f>IFERROR(INPUT!G9/INPUT!G44,"–")</f>
        <v/>
      </c>
      <c r="H40" s="498">
        <f>IFERROR(INPUT!H9/INPUT!H44,"–")</f>
        <v/>
      </c>
    </row>
    <row r="41" ht="15" customHeight="1">
      <c r="A41" s="205" t="n"/>
      <c r="B41" s="27" t="inlineStr">
        <is>
          <t>Inventory Turnover</t>
        </is>
      </c>
      <c r="C41" s="9" t="n"/>
      <c r="D41" s="497">
        <f>IFERROR(ABS(INPUT!D10)/INPUT!D36,"–")</f>
        <v/>
      </c>
      <c r="E41" s="498">
        <f>IFERROR(ABS(INPUT!E10)/INPUT!E36,"–")</f>
        <v/>
      </c>
      <c r="F41" s="498">
        <f>IFERROR(ABS(INPUT!F10)/INPUT!F36,"–")</f>
        <v/>
      </c>
      <c r="G41" s="498">
        <f>IFERROR(ABS(INPUT!G10)/INPUT!G36,"–")</f>
        <v/>
      </c>
      <c r="H41" s="498">
        <f>IFERROR(ABS(INPUT!H10)/INPUT!H36,"–")</f>
        <v/>
      </c>
    </row>
    <row r="42" ht="15" customHeight="1">
      <c r="A42" s="205" t="n"/>
      <c r="B42" s="27" t="inlineStr">
        <is>
          <t>Days Inventory Outstanding (DIO)</t>
        </is>
      </c>
      <c r="C42" s="9" t="n"/>
      <c r="D42" s="507">
        <f>IFERROR(INPUT!D36/ABS(INPUT!D10)*INPUT!D110,"–")</f>
        <v/>
      </c>
      <c r="E42" s="508">
        <f>IFERROR(INPUT!E36/ABS(INPUT!E10)*INPUT!E110,"–")</f>
        <v/>
      </c>
      <c r="F42" s="508">
        <f>IFERROR(INPUT!F36/ABS(INPUT!F10)*INPUT!F110,"–")</f>
        <v/>
      </c>
      <c r="G42" s="508">
        <f>IFERROR(INPUT!G36/ABS(INPUT!G10)*INPUT!G110,"–")</f>
        <v/>
      </c>
      <c r="H42" s="508">
        <f>IFERROR(INPUT!H36/ABS(INPUT!H10)*INPUT!H110,"–")</f>
        <v/>
      </c>
    </row>
    <row r="43" ht="15" customHeight="1">
      <c r="A43" s="205" t="n"/>
      <c r="B43" s="27" t="inlineStr">
        <is>
          <t>Receivables Turnover</t>
        </is>
      </c>
      <c r="C43" s="9" t="n"/>
      <c r="D43" s="497">
        <f>IFERROR(INPUT!D9/INPUT!D35,"–")</f>
        <v/>
      </c>
      <c r="E43" s="498">
        <f>IFERROR(INPUT!E9/INPUT!E35,"–")</f>
        <v/>
      </c>
      <c r="F43" s="498">
        <f>IFERROR(INPUT!F9/INPUT!F35,"–")</f>
        <v/>
      </c>
      <c r="G43" s="498">
        <f>IFERROR(INPUT!G9/INPUT!G35,"–")</f>
        <v/>
      </c>
      <c r="H43" s="498">
        <f>IFERROR(INPUT!H9/INPUT!H35,"–")</f>
        <v/>
      </c>
    </row>
    <row r="44" ht="15" customHeight="1">
      <c r="A44" s="205" t="n"/>
      <c r="B44" s="27" t="inlineStr">
        <is>
          <t>Days Sales Outstanding (DSO)</t>
        </is>
      </c>
      <c r="C44" s="9" t="n"/>
      <c r="D44" s="507">
        <f>IFERROR(INPUT!D35/INPUT!D9*INPUT!D110,"–")</f>
        <v/>
      </c>
      <c r="E44" s="508">
        <f>IFERROR(INPUT!E35/INPUT!E9*INPUT!E110,"–")</f>
        <v/>
      </c>
      <c r="F44" s="508">
        <f>IFERROR(INPUT!F35/INPUT!F9*INPUT!F110,"–")</f>
        <v/>
      </c>
      <c r="G44" s="508">
        <f>IFERROR(INPUT!G35/INPUT!G9*INPUT!G110,"–")</f>
        <v/>
      </c>
      <c r="H44" s="508">
        <f>IFERROR(INPUT!H35/INPUT!H9*INPUT!H110,"–")</f>
        <v/>
      </c>
    </row>
    <row r="45" ht="15" customHeight="1">
      <c r="A45" s="205" t="n"/>
      <c r="B45" s="27" t="inlineStr">
        <is>
          <t>Days Payable Outstanding (DPO)</t>
        </is>
      </c>
      <c r="C45" s="9" t="n"/>
      <c r="D45" s="507">
        <f>IFERROR(INPUT!D48/ABS(INPUT!D10)*INPUT!D110,"–")</f>
        <v/>
      </c>
      <c r="E45" s="508">
        <f>IFERROR(INPUT!E48/ABS(INPUT!E10)*INPUT!E110,"–")</f>
        <v/>
      </c>
      <c r="F45" s="508">
        <f>IFERROR(INPUT!F48/ABS(INPUT!F10)*INPUT!F110,"–")</f>
        <v/>
      </c>
      <c r="G45" s="508">
        <f>IFERROR(INPUT!G48/ABS(INPUT!G10)*INPUT!G110,"–")</f>
        <v/>
      </c>
      <c r="H45" s="508">
        <f>IFERROR(INPUT!H48/ABS(INPUT!H10)*INPUT!H110,"–")</f>
        <v/>
      </c>
    </row>
    <row r="46" ht="15" customHeight="1">
      <c r="A46" s="205" t="n"/>
      <c r="B46" s="27" t="inlineStr">
        <is>
          <t>Cash Conversion Cycle (CCC)</t>
        </is>
      </c>
      <c r="C46" s="9" t="n"/>
      <c r="D46" s="507">
        <f>IFERROR(D42+D44-D45,"–")</f>
        <v/>
      </c>
      <c r="E46" s="508">
        <f>IFERROR(E42+E44-E45,"–")</f>
        <v/>
      </c>
      <c r="F46" s="508">
        <f>IFERROR(F42+F44-F45,"–")</f>
        <v/>
      </c>
      <c r="G46" s="508">
        <f>IFERROR(G42+G44-G45,"–")</f>
        <v/>
      </c>
      <c r="H46" s="508">
        <f>IFERROR(H42+H44-H45,"–")</f>
        <v/>
      </c>
    </row>
    <row r="47" ht="15" customHeight="1">
      <c r="A47" s="205" t="n"/>
      <c r="B47" s="27" t="inlineStr">
        <is>
          <t>Fixed Asset Turnover</t>
        </is>
      </c>
      <c r="C47" s="9" t="n"/>
      <c r="D47" s="505">
        <f>IFERROR(INPUT!D9/INPUT!D41,"–")</f>
        <v/>
      </c>
      <c r="E47" s="506">
        <f>IFERROR(INPUT!E9/INPUT!E41,"–")</f>
        <v/>
      </c>
      <c r="F47" s="506">
        <f>IFERROR(INPUT!F9/INPUT!F41,"–")</f>
        <v/>
      </c>
      <c r="G47" s="506">
        <f>IFERROR(INPUT!G9/INPUT!G41,"–")</f>
        <v/>
      </c>
      <c r="H47" s="506">
        <f>IFERROR(INPUT!H9/INPUT!H41,"–")</f>
        <v/>
      </c>
    </row>
    <row r="48" ht="15" customHeight="1">
      <c r="A48" s="205" t="n"/>
      <c r="B48" s="28" t="n"/>
      <c r="C48" s="9" t="n"/>
      <c r="D48" s="468" t="n"/>
      <c r="E48" s="31" t="n"/>
      <c r="F48" s="31" t="n"/>
      <c r="G48" s="31" t="n"/>
      <c r="H48" s="31" t="n"/>
    </row>
    <row r="49" ht="18" customHeight="1">
      <c r="A49" s="206" t="inlineStr">
        <is>
          <t xml:space="preserve"> </t>
        </is>
      </c>
      <c r="B49" s="49" t="inlineStr">
        <is>
          <t>GROWTH RATIOS</t>
        </is>
      </c>
      <c r="C49" s="44" t="n"/>
      <c r="D49" s="469" t="n"/>
      <c r="E49" s="23" t="n"/>
      <c r="F49" s="23" t="n"/>
      <c r="G49" s="23" t="n"/>
      <c r="H49" s="23" t="n"/>
    </row>
    <row r="50" ht="18" customHeight="1">
      <c r="A50" s="206" t="n"/>
      <c r="B50" s="125" t="n"/>
      <c r="C50" s="116" t="n"/>
      <c r="D50" s="471" t="n"/>
      <c r="E50" s="109" t="n"/>
      <c r="F50" s="109" t="n"/>
      <c r="G50" s="109" t="n"/>
      <c r="H50" s="109" t="n"/>
    </row>
    <row r="51" ht="15" customHeight="1">
      <c r="A51" s="205" t="n"/>
      <c r="B51" s="27" t="inlineStr">
        <is>
          <t>Revenue Growth (YoY)</t>
        </is>
      </c>
      <c r="C51" s="9" t="n"/>
      <c r="D51" s="509" t="inlineStr">
        <is>
          <t>–</t>
        </is>
      </c>
      <c r="E51" s="502">
        <f>IFERROR(INPUT!E9/INPUT!D9-1,"–")</f>
        <v/>
      </c>
      <c r="F51" s="502">
        <f>IFERROR(INPUT!F9/INPUT!E9-1,"–")</f>
        <v/>
      </c>
      <c r="G51" s="502">
        <f>IFERROR(INPUT!G9/INPUT!F9-1,"–")</f>
        <v/>
      </c>
      <c r="H51" s="502">
        <f>IFERROR(INPUT!H9/INPUT!G9-1,"–")</f>
        <v/>
      </c>
    </row>
    <row r="52" ht="15" customHeight="1">
      <c r="A52" s="205" t="n"/>
      <c r="B52" s="27" t="inlineStr">
        <is>
          <t>Gross Profit Growth (YoY)</t>
        </is>
      </c>
      <c r="C52" s="9" t="n"/>
      <c r="D52" s="509" t="inlineStr">
        <is>
          <t>–</t>
        </is>
      </c>
      <c r="E52" s="502">
        <f>IFERROR(INPUT!E11/INPUT!D11-1,"–")</f>
        <v/>
      </c>
      <c r="F52" s="502">
        <f>IFERROR(INPUT!F11/INPUT!E11-1,"–")</f>
        <v/>
      </c>
      <c r="G52" s="502">
        <f>IFERROR(INPUT!G11/INPUT!F11-1,"–")</f>
        <v/>
      </c>
      <c r="H52" s="502">
        <f>IFERROR(INPUT!H11/INPUT!G11-1,"–")</f>
        <v/>
      </c>
    </row>
    <row r="53" ht="15" customHeight="1">
      <c r="A53" s="205" t="n"/>
      <c r="B53" s="27" t="inlineStr">
        <is>
          <t>EBITDA Growth (YoY)</t>
        </is>
      </c>
      <c r="C53" s="9" t="n"/>
      <c r="D53" s="509" t="inlineStr">
        <is>
          <t>–</t>
        </is>
      </c>
      <c r="E53" s="502">
        <f>IFERROR(INPUT!E30/INPUT!D30-1,"–")</f>
        <v/>
      </c>
      <c r="F53" s="502">
        <f>IFERROR(INPUT!F30/INPUT!E30-1,"–")</f>
        <v/>
      </c>
      <c r="G53" s="502">
        <f>IFERROR(INPUT!G30/INPUT!F30-1,"–")</f>
        <v/>
      </c>
      <c r="H53" s="502">
        <f>IFERROR(INPUT!H30/INPUT!G30-1,"–")</f>
        <v/>
      </c>
    </row>
    <row r="54" ht="15" customHeight="1">
      <c r="A54" s="205" t="n"/>
      <c r="B54" s="27" t="inlineStr">
        <is>
          <t>Net Income Growth (YoY)</t>
        </is>
      </c>
      <c r="C54" s="9" t="n"/>
      <c r="D54" s="509" t="inlineStr">
        <is>
          <t>–</t>
        </is>
      </c>
      <c r="E54" s="502">
        <f>IFERROR(INPUT!E26/INPUT!D26-1,"–")</f>
        <v/>
      </c>
      <c r="F54" s="502">
        <f>IFERROR(INPUT!F26/INPUT!E26-1,"–")</f>
        <v/>
      </c>
      <c r="G54" s="502">
        <f>IFERROR(INPUT!G26/INPUT!F26-1,"–")</f>
        <v/>
      </c>
      <c r="H54" s="502">
        <f>IFERROR(INPUT!H26/INPUT!G26-1,"–")</f>
        <v/>
      </c>
    </row>
    <row r="55" ht="15" customHeight="1">
      <c r="A55" s="205" t="n"/>
      <c r="B55" s="27" t="inlineStr">
        <is>
          <t>EPS Growth (YoY)</t>
        </is>
      </c>
      <c r="C55" s="9" t="n"/>
      <c r="D55" s="509" t="inlineStr">
        <is>
          <t>–</t>
        </is>
      </c>
      <c r="E55" s="502">
        <f>IFERROR((INPUT!E26/INPUT!E96)/(INPUT!D26/INPUT!D96)-1,"–")</f>
        <v/>
      </c>
      <c r="F55" s="502">
        <f>IFERROR((INPUT!F26/INPUT!F96)/(INPUT!E26/INPUT!E96)-1,"–")</f>
        <v/>
      </c>
      <c r="G55" s="502">
        <f>IFERROR((INPUT!G26/INPUT!G96)/(INPUT!F26/INPUT!F96)-1,"–")</f>
        <v/>
      </c>
      <c r="H55" s="502">
        <f>IFERROR((INPUT!H26/INPUT!H96)/(INPUT!G26/INPUT!G96)-1,"–")</f>
        <v/>
      </c>
    </row>
    <row r="56" ht="15" customHeight="1">
      <c r="A56" s="205" t="n"/>
      <c r="B56" s="27" t="inlineStr">
        <is>
          <t>Total Assets Growth (YoY)</t>
        </is>
      </c>
      <c r="C56" s="9" t="n"/>
      <c r="D56" s="510" t="inlineStr">
        <is>
          <t>–</t>
        </is>
      </c>
      <c r="E56" s="504">
        <f>IFERROR(INPUT!E44/INPUT!D44-1,"–")</f>
        <v/>
      </c>
      <c r="F56" s="504">
        <f>IFERROR(INPUT!F44/INPUT!E44-1,"–")</f>
        <v/>
      </c>
      <c r="G56" s="504">
        <f>IFERROR(INPUT!G44/INPUT!F44-1,"–")</f>
        <v/>
      </c>
      <c r="H56" s="504">
        <f>IFERROR(INPUT!H44/INPUT!G44-1,"–")</f>
        <v/>
      </c>
    </row>
    <row r="57" ht="15" customHeight="1">
      <c r="A57" s="205" t="n"/>
      <c r="B57" s="28" t="n"/>
      <c r="C57" s="9" t="n"/>
      <c r="D57" s="468" t="n"/>
      <c r="E57" s="31" t="n"/>
      <c r="F57" s="31" t="n"/>
      <c r="G57" s="31" t="n"/>
      <c r="H57" s="31" t="n"/>
    </row>
    <row r="58" ht="18" customHeight="1">
      <c r="A58" s="206" t="inlineStr">
        <is>
          <t xml:space="preserve"> </t>
        </is>
      </c>
      <c r="B58" s="49" t="inlineStr">
        <is>
          <t>CASH FLOW RATIOS</t>
        </is>
      </c>
      <c r="C58" s="44" t="n"/>
      <c r="D58" s="469" t="n"/>
      <c r="E58" s="23" t="n"/>
      <c r="F58" s="23" t="n"/>
      <c r="G58" s="23" t="n"/>
      <c r="H58" s="23" t="n"/>
    </row>
    <row r="59" ht="18" customHeight="1">
      <c r="A59" s="206" t="n"/>
      <c r="B59" s="125" t="n"/>
      <c r="C59" s="116" t="n"/>
      <c r="D59" s="471" t="n"/>
      <c r="E59" s="109" t="n"/>
      <c r="F59" s="109" t="n"/>
      <c r="G59" s="109" t="n"/>
      <c r="H59" s="109" t="n"/>
    </row>
    <row r="60" ht="15" customHeight="1">
      <c r="A60" s="205" t="n"/>
      <c r="B60" s="27" t="inlineStr">
        <is>
          <t>Operating Cash Flow Margin</t>
        </is>
      </c>
      <c r="C60" s="9" t="n"/>
      <c r="D60" s="501">
        <f>IFERROR(INPUT!D75/INPUT!D9,"–")</f>
        <v/>
      </c>
      <c r="E60" s="502">
        <f>IFERROR(INPUT!E75/INPUT!E9,"–")</f>
        <v/>
      </c>
      <c r="F60" s="502">
        <f>IFERROR(INPUT!F75/INPUT!F9,"–")</f>
        <v/>
      </c>
      <c r="G60" s="502">
        <f>IFERROR(INPUT!G75/INPUT!G9,"–")</f>
        <v/>
      </c>
      <c r="H60" s="502">
        <f>IFERROR(INPUT!H75/INPUT!H9,"–")</f>
        <v/>
      </c>
    </row>
    <row r="61" ht="15" customHeight="1">
      <c r="A61" s="205" t="n"/>
      <c r="B61" s="63" t="inlineStr">
        <is>
          <t>Free Cash Flow (FCF)</t>
        </is>
      </c>
      <c r="C61" s="11" t="n"/>
      <c r="D61" s="511">
        <f>IFERROR(INPUT!D75+INPUT!D78,"–")</f>
        <v/>
      </c>
      <c r="E61" s="512">
        <f>IFERROR(INPUT!E75+INPUT!E78,"–")</f>
        <v/>
      </c>
      <c r="F61" s="512">
        <f>IFERROR(INPUT!F75+INPUT!F78,"–")</f>
        <v/>
      </c>
      <c r="G61" s="512">
        <f>IFERROR(INPUT!G75+INPUT!G78,"–")</f>
        <v/>
      </c>
      <c r="H61" s="512">
        <f>IFERROR(INPUT!H75+INPUT!H78,"–")</f>
        <v/>
      </c>
    </row>
    <row r="62" ht="15" customHeight="1">
      <c r="A62" s="205" t="n"/>
      <c r="B62" s="27" t="inlineStr">
        <is>
          <t>FCF Margin</t>
        </is>
      </c>
      <c r="C62" s="9" t="n"/>
      <c r="D62" s="501">
        <f>IFERROR(D61/INPUT!D9,"–")</f>
        <v/>
      </c>
      <c r="E62" s="502">
        <f>IFERROR(E61/INPUT!E9,"–")</f>
        <v/>
      </c>
      <c r="F62" s="502">
        <f>IFERROR(F61/INPUT!F9,"–")</f>
        <v/>
      </c>
      <c r="G62" s="502">
        <f>IFERROR(G61/INPUT!G9,"–")</f>
        <v/>
      </c>
      <c r="H62" s="502">
        <f>IFERROR(H61/INPUT!H9,"–")</f>
        <v/>
      </c>
    </row>
    <row r="63" ht="15" customHeight="1">
      <c r="A63" s="205" t="n"/>
      <c r="B63" s="27" t="inlineStr">
        <is>
          <t>Cash Return on Equity</t>
        </is>
      </c>
      <c r="C63" s="9" t="n"/>
      <c r="D63" s="497">
        <f>IFERROR(INPUT!D75/INPUT!D60,"–")</f>
        <v/>
      </c>
      <c r="E63" s="498">
        <f>IFERROR(INPUT!E75/INPUT!E60,"–")</f>
        <v/>
      </c>
      <c r="F63" s="498">
        <f>IFERROR(INPUT!F75/INPUT!F60,"–")</f>
        <v/>
      </c>
      <c r="G63" s="498">
        <f>IFERROR(INPUT!G75/INPUT!G60,"–")</f>
        <v/>
      </c>
      <c r="H63" s="498">
        <f>IFERROR(INPUT!H75/INPUT!H60,"–")</f>
        <v/>
      </c>
    </row>
    <row r="64" ht="15" customHeight="1">
      <c r="A64" s="205" t="n"/>
      <c r="B64" s="27" t="inlineStr">
        <is>
          <t>CapEx / Revenue</t>
        </is>
      </c>
      <c r="C64" s="9" t="n"/>
      <c r="D64" s="501">
        <f>IFERROR(ABS(INPUT!D78)/INPUT!D9,"–")</f>
        <v/>
      </c>
      <c r="E64" s="502">
        <f>IFERROR(ABS(INPUT!E78)/INPUT!E9,"–")</f>
        <v/>
      </c>
      <c r="F64" s="502">
        <f>IFERROR(ABS(INPUT!F78)/INPUT!F9,"–")</f>
        <v/>
      </c>
      <c r="G64" s="502">
        <f>IFERROR(ABS(INPUT!G78)/INPUT!G9,"–")</f>
        <v/>
      </c>
      <c r="H64" s="502">
        <f>IFERROR(ABS(INPUT!H78)/INPUT!H9,"–")</f>
        <v/>
      </c>
    </row>
    <row r="65" ht="15" customHeight="1">
      <c r="A65" s="205" t="n"/>
      <c r="B65" s="27" t="inlineStr">
        <is>
          <t>Dividend Payout Ratio</t>
        </is>
      </c>
      <c r="C65" s="9" t="n"/>
      <c r="D65" s="501">
        <f>IFERROR(ABS(INPUT!D85)/INPUT!D26,"–")</f>
        <v/>
      </c>
      <c r="E65" s="502">
        <f>IFERROR(ABS(INPUT!E85)/INPUT!E26,"–")</f>
        <v/>
      </c>
      <c r="F65" s="502">
        <f>IFERROR(ABS(INPUT!F85)/INPUT!F26,"–")</f>
        <v/>
      </c>
      <c r="G65" s="502">
        <f>IFERROR(ABS(INPUT!G85)/INPUT!G26,"–")</f>
        <v/>
      </c>
      <c r="H65" s="502">
        <f>IFERROR(ABS(INPUT!H85)/INPUT!H26,"–")</f>
        <v/>
      </c>
    </row>
    <row r="66" ht="15" customHeight="1">
      <c r="A66" s="205" t="n"/>
      <c r="B66" s="27" t="inlineStr">
        <is>
          <t>CFO / Net Income (Accruals Ratio)</t>
        </is>
      </c>
      <c r="C66" s="9" t="n"/>
      <c r="D66" s="505">
        <f>IFERROR(INPUT!D75/INPUT!D26,"–")</f>
        <v/>
      </c>
      <c r="E66" s="506">
        <f>IFERROR(INPUT!E75/INPUT!E26,"–")</f>
        <v/>
      </c>
      <c r="F66" s="506">
        <f>IFERROR(INPUT!F75/INPUT!F26,"–")</f>
        <v/>
      </c>
      <c r="G66" s="506">
        <f>IFERROR(INPUT!G75/INPUT!G26,"–")</f>
        <v/>
      </c>
      <c r="H66" s="506">
        <f>IFERROR(INPUT!H75/INPUT!H26,"–")</f>
        <v/>
      </c>
    </row>
    <row r="67" ht="15" customHeight="1">
      <c r="A67" s="205" t="n"/>
      <c r="B67" s="14" t="n"/>
      <c r="C67" s="9" t="n"/>
      <c r="D67" s="468" t="n"/>
      <c r="E67" s="22" t="n"/>
      <c r="F67" s="22" t="n"/>
      <c r="G67" s="22" t="n"/>
      <c r="H67" s="22" t="n"/>
    </row>
    <row r="68" ht="15" customHeight="1">
      <c r="A68" s="204" t="n"/>
      <c r="B68" s="32" t="inlineStr">
        <is>
          <t>© 2015 to 2024 FinSight</t>
        </is>
      </c>
      <c r="C68" s="2" t="n"/>
      <c r="D68" s="2" t="n"/>
      <c r="E68" s="85" t="n"/>
      <c r="F68" s="85" t="n"/>
      <c r="G68" s="85" t="n"/>
      <c r="H68" s="85" t="n"/>
    </row>
    <row r="69" ht="15" customHeight="1">
      <c r="A69" s="204" t="n"/>
      <c r="B69" s="32" t="inlineStr">
        <is>
          <t>This Excel model is for educational purposes only.</t>
        </is>
      </c>
      <c r="C69" s="2" t="n"/>
      <c r="D69" s="2" t="n"/>
      <c r="E69" s="85" t="n"/>
      <c r="F69" s="85" t="n"/>
      <c r="G69" s="85" t="n"/>
      <c r="H69" s="85" t="n"/>
    </row>
    <row r="70" ht="15" customHeight="1">
      <c r="A70" s="204" t="n"/>
      <c r="B70" s="32" t="inlineStr">
        <is>
          <t>https://finsight.com/</t>
        </is>
      </c>
      <c r="C70" s="2" t="n"/>
      <c r="D70" s="2" t="n"/>
      <c r="E70" s="85" t="n"/>
      <c r="F70" s="85" t="n"/>
      <c r="G70" s="85" t="n"/>
      <c r="H70" s="85" t="n"/>
    </row>
    <row r="71" ht="15" customHeight="1">
      <c r="B71" s="47" t="n"/>
      <c r="D71" s="231" t="n"/>
    </row>
    <row r="72" ht="15" customHeight="1">
      <c r="B72" s="47" t="n"/>
      <c r="D72" s="231" t="n"/>
    </row>
    <row r="73" ht="15" customHeight="1">
      <c r="B73" s="105" t="inlineStr">
        <is>
          <t>CHART DATA</t>
        </is>
      </c>
      <c r="C73" s="107" t="n"/>
      <c r="D73" s="20" t="n"/>
      <c r="E73" s="108" t="n"/>
      <c r="F73" s="108" t="n"/>
      <c r="G73" s="108" t="n"/>
      <c r="H73" s="108" t="n"/>
    </row>
    <row r="74" ht="15" customHeight="1">
      <c r="B74" s="91" t="inlineStr">
        <is>
          <t>Year</t>
        </is>
      </c>
      <c r="C74" s="91" t="n"/>
      <c r="D74" s="481">
        <f>IF(INPUT!D9="","",D5)</f>
        <v/>
      </c>
      <c r="E74" s="91">
        <f>IF(INPUT!E9="",NA(),E5)</f>
        <v/>
      </c>
      <c r="F74" s="91">
        <f>IF(INPUT!F9="",NA(),F5)</f>
        <v/>
      </c>
      <c r="G74" s="91">
        <f>IF(INPUT!G9="",NA(),G5)</f>
        <v/>
      </c>
      <c r="H74" s="91">
        <f>IF(INPUT!H9="",NA(),H5)</f>
        <v/>
      </c>
    </row>
    <row r="75" ht="15" customHeight="1">
      <c r="B75" s="47" t="inlineStr">
        <is>
          <t>Revenue ($000)</t>
        </is>
      </c>
      <c r="D75" s="482">
        <f>IF(INPUT!D9="","",INPUT!D9)</f>
        <v/>
      </c>
      <c r="E75" s="251">
        <f>IF(INPUT!E9="",NA(),INPUT!E9)</f>
        <v/>
      </c>
      <c r="F75" s="251">
        <f>IF(INPUT!F9="",NA(),INPUT!F9)</f>
        <v/>
      </c>
      <c r="G75" s="251">
        <f>IF(INPUT!G9="",NA(),INPUT!G9)</f>
        <v/>
      </c>
      <c r="H75" s="251">
        <f>IF(INPUT!H9="",NA(),INPUT!H9)</f>
        <v/>
      </c>
    </row>
    <row r="76" ht="15" customHeight="1">
      <c r="B76" s="47" t="inlineStr">
        <is>
          <t>EBITDA ($000)</t>
        </is>
      </c>
      <c r="D76" s="482">
        <f>IF(INPUT!E9="",NA(),INPUT!E30)</f>
        <v/>
      </c>
      <c r="E76" s="251">
        <f>IF(INPUT!F9="",NA(),INPUT!F30)</f>
        <v/>
      </c>
      <c r="F76" s="251">
        <f>IF(INPUT!G9="",NA(),INPUT!G30)</f>
        <v/>
      </c>
      <c r="G76" s="251">
        <f>IF(INPUT!G9="",NA(),INPUT!G30)</f>
        <v/>
      </c>
      <c r="H76" s="251">
        <f>IF(INPUT!H9="",NA(),INPUT!H30)</f>
        <v/>
      </c>
    </row>
    <row r="77" ht="15" customHeight="1">
      <c r="B77" s="47" t="inlineStr">
        <is>
          <t>Net Income ($000)</t>
        </is>
      </c>
      <c r="D77" s="482">
        <f>IF(INPUT!E9="",NA(),INPUT!E26)</f>
        <v/>
      </c>
      <c r="E77" s="251">
        <f>IF(INPUT!F9="",NA(),INPUT!F26)</f>
        <v/>
      </c>
      <c r="F77" s="251">
        <f>IF(INPUT!G9="",NA(),INPUT!G26)</f>
        <v/>
      </c>
      <c r="G77" s="251">
        <f>IF(INPUT!G9="",NA(),INPUT!G26)</f>
        <v/>
      </c>
      <c r="H77" s="251">
        <f>IF(INPUT!H9="",NA(),INPUT!H26)</f>
        <v/>
      </c>
    </row>
    <row r="78" ht="15" customHeight="1">
      <c r="B78" s="47" t="inlineStr">
        <is>
          <t>Cumul. Revenue ($000)</t>
        </is>
      </c>
      <c r="D78" s="482">
        <f>IF(INPUT!E9="",NA(),INPUT!D9+INPUT!E9)</f>
        <v/>
      </c>
      <c r="E78" s="251">
        <f>IF(INPUT!F9="",NA(),INPUT!D9+INPUT!E9+INPUT!F9)</f>
        <v/>
      </c>
      <c r="F78" s="251">
        <f>IF(INPUT!G9="",NA(),INPUT!D9+INPUT!E9+INPUT!F9+INPUT!G9)</f>
        <v/>
      </c>
      <c r="G78" s="251">
        <f>IF(INPUT!H9="",NA(),INPUT!D9+INPUT!E9+INPUT!F9+INPUT!G9+INPUT!H9)</f>
        <v/>
      </c>
      <c r="H78" s="251">
        <f>IF(INPUT!H9="",NA(),INPUT!D9+INPUT!E9+INPUT!F9+INPUT!G9+INPUT!H9)</f>
        <v/>
      </c>
    </row>
    <row r="79" ht="15" customHeight="1">
      <c r="B79" s="47" t="n"/>
      <c r="D79" s="231" t="n"/>
    </row>
    <row r="80" ht="15" customHeight="1">
      <c r="B80" s="47" t="inlineStr">
        <is>
          <t>Gross Profit Margin</t>
        </is>
      </c>
      <c r="D80" s="483">
        <f>IF(INPUT!D9="","",D19)</f>
        <v/>
      </c>
      <c r="E80" s="252">
        <f>IF(INPUT!E9="",NA(),E19)</f>
        <v/>
      </c>
      <c r="F80" s="252">
        <f>IF(INPUT!F9="",NA(),F19)</f>
        <v/>
      </c>
      <c r="G80" s="252">
        <f>IF(INPUT!G9="",NA(),G19)</f>
        <v/>
      </c>
      <c r="H80" s="252">
        <f>IF(INPUT!H9="",NA(),H19)</f>
        <v/>
      </c>
    </row>
    <row r="81" ht="15" customHeight="1">
      <c r="B81" s="47" t="inlineStr">
        <is>
          <t>EBITDA Margin</t>
        </is>
      </c>
      <c r="D81" s="483">
        <f>IF(INPUT!D9="","",D20)</f>
        <v/>
      </c>
      <c r="E81" s="252">
        <f>IF(INPUT!E9="",NA(),E20)</f>
        <v/>
      </c>
      <c r="F81" s="252">
        <f>IF(INPUT!F9="",NA(),F20)</f>
        <v/>
      </c>
      <c r="G81" s="252">
        <f>IF(INPUT!G9="",NA(),G20)</f>
        <v/>
      </c>
      <c r="H81" s="252">
        <f>IF(INPUT!H9="",NA(),H20)</f>
        <v/>
      </c>
    </row>
    <row r="82" ht="15" customHeight="1">
      <c r="B82" s="47" t="inlineStr">
        <is>
          <t>Net Profit Margin</t>
        </is>
      </c>
      <c r="D82" s="483">
        <f>IF(INPUT!D9="","",D22)</f>
        <v/>
      </c>
      <c r="E82" s="252">
        <f>IF(INPUT!E9="",NA(),E22)</f>
        <v/>
      </c>
      <c r="F82" s="252">
        <f>IF(INPUT!F9="",NA(),F22)</f>
        <v/>
      </c>
      <c r="G82" s="252">
        <f>IF(INPUT!G9="",NA(),G22)</f>
        <v/>
      </c>
      <c r="H82" s="252">
        <f>IF(INPUT!H9="",NA(),H22)</f>
        <v/>
      </c>
    </row>
    <row r="83" ht="15" customHeight="1">
      <c r="B83" s="47" t="n"/>
      <c r="D83" s="231" t="n"/>
    </row>
    <row r="84" ht="15" customHeight="1">
      <c r="D84" s="484">
        <f>IF(INPUT!D9="","",D5)</f>
        <v/>
      </c>
      <c r="E84" s="254">
        <f>IF(INPUT!E9="",NA(),E5)</f>
        <v/>
      </c>
      <c r="F84" s="254">
        <f>IF(INPUT!F9="",NA(),F5)</f>
        <v/>
      </c>
      <c r="G84" s="254">
        <f>IF(INPUT!G9="",NA(),G5)</f>
        <v/>
      </c>
      <c r="H84" s="254">
        <f>IF(INPUT!H9="",NA(),H5)</f>
        <v/>
      </c>
    </row>
    <row r="85" ht="15" customHeight="1">
      <c r="B85" s="47" t="inlineStr">
        <is>
          <t>SG&amp;A ($000)</t>
        </is>
      </c>
      <c r="D85" s="484">
        <f>IF(INPUT!D9="","",ABS(INPUT!D14))</f>
        <v/>
      </c>
      <c r="E85" s="254">
        <f>IF(INPUT!E9="",NA(),ABS(INPUT!E14))</f>
        <v/>
      </c>
      <c r="F85" s="254">
        <f>IF(INPUT!F9="",NA(),ABS(INPUT!F14))</f>
        <v/>
      </c>
      <c r="G85" s="254">
        <f>IF(INPUT!G9="",NA(),ABS(INPUT!G14))</f>
        <v/>
      </c>
      <c r="H85" s="254">
        <f>IF(INPUT!H9="",NA(),ABS(INPUT!H14))</f>
        <v/>
      </c>
    </row>
    <row r="86" ht="15" customHeight="1">
      <c r="B86" s="47" t="inlineStr">
        <is>
          <t>R&amp;D ($000)</t>
        </is>
      </c>
      <c r="D86" s="484">
        <f>IF(INPUT!D9="","",ABS(INPUT!D15))</f>
        <v/>
      </c>
      <c r="E86" s="254">
        <f>IF(INPUT!E9="",NA(),ABS(INPUT!E15))</f>
        <v/>
      </c>
      <c r="F86" s="254">
        <f>IF(INPUT!F9="",NA(),ABS(INPUT!F15))</f>
        <v/>
      </c>
      <c r="G86" s="254">
        <f>IF(INPUT!G9="",NA(),ABS(INPUT!G15))</f>
        <v/>
      </c>
      <c r="H86" s="254">
        <f>IF(INPUT!H9="",NA(),ABS(INPUT!H15))</f>
        <v/>
      </c>
    </row>
    <row r="87" ht="15" customHeight="1">
      <c r="B87" s="47" t="inlineStr">
        <is>
          <t>D&amp;A ($000)</t>
        </is>
      </c>
      <c r="D87" s="484">
        <f>IF(INPUT!D9="","",ABS(INPUT!D16))</f>
        <v/>
      </c>
      <c r="E87" s="254">
        <f>IF(INPUT!E9="",NA(),ABS(INPUT!E16))</f>
        <v/>
      </c>
      <c r="F87" s="254">
        <f>IF(INPUT!F9="",NA(),ABS(INPUT!F16))</f>
        <v/>
      </c>
      <c r="G87" s="254">
        <f>IF(INPUT!G9="",NA(),ABS(INPUT!G16))</f>
        <v/>
      </c>
      <c r="H87" s="254">
        <f>IF(INPUT!H9="",NA(),ABS(INPUT!H16))</f>
        <v/>
      </c>
    </row>
    <row r="88" ht="15" customHeight="1">
      <c r="B88" s="47" t="inlineStr">
        <is>
          <t>Interest ($000)</t>
        </is>
      </c>
      <c r="D88" s="484">
        <f>IF(INPUT!D9="","",ABS(INPUT!D20))</f>
        <v/>
      </c>
      <c r="E88" s="254">
        <f>IF(INPUT!E9="",NA(),ABS(INPUT!E20))</f>
        <v/>
      </c>
      <c r="F88" s="254">
        <f>IF(INPUT!F9="",NA(),ABS(INPUT!F20))</f>
        <v/>
      </c>
      <c r="G88" s="254">
        <f>IF(INPUT!G9="",NA(),ABS(INPUT!G20))</f>
        <v/>
      </c>
      <c r="H88" s="254">
        <f>IF(INPUT!H9="",NA(),ABS(INPUT!H20))</f>
        <v/>
      </c>
    </row>
    <row r="89" ht="15" customHeight="1">
      <c r="B89" s="47" t="n"/>
      <c r="D89" s="231" t="n"/>
    </row>
    <row r="90" ht="15" customHeight="1">
      <c r="D90" s="468">
        <f>IF(INPUT!D9="","",D5)</f>
        <v/>
      </c>
      <c r="E90" s="22">
        <f>IF(INPUT!E9="",NA(),E5)</f>
        <v/>
      </c>
      <c r="F90" s="22">
        <f>IF(INPUT!F9="",NA(),F5)</f>
        <v/>
      </c>
      <c r="G90" s="22">
        <f>IF(INPUT!G9="",NA(),G5)</f>
        <v/>
      </c>
      <c r="H90" s="22">
        <f>IF(INPUT!H9="",NA(),H5)</f>
        <v/>
      </c>
    </row>
    <row r="91" ht="15" customHeight="1">
      <c r="B91" s="47" t="inlineStr">
        <is>
          <t>SG&amp;A ($M)</t>
        </is>
      </c>
      <c r="D91" s="513">
        <f>IF(INPUT!D9="","",D85/1000)</f>
        <v/>
      </c>
      <c r="E91" s="514">
        <f>E85/1000</f>
        <v/>
      </c>
      <c r="F91" s="514">
        <f>F85/1000</f>
        <v/>
      </c>
      <c r="G91" s="514">
        <f>G85/1000</f>
        <v/>
      </c>
      <c r="H91" s="514">
        <f>H85/1000</f>
        <v/>
      </c>
    </row>
    <row r="92" ht="15" customHeight="1">
      <c r="B92" s="47" t="inlineStr">
        <is>
          <t>R&amp;D ($M)</t>
        </is>
      </c>
      <c r="D92" s="513">
        <f>IF(INPUT!D9="","",D86/1000)</f>
        <v/>
      </c>
      <c r="E92" s="514">
        <f>E86/1000</f>
        <v/>
      </c>
      <c r="F92" s="514">
        <f>F86/1000</f>
        <v/>
      </c>
      <c r="G92" s="514">
        <f>G86/1000</f>
        <v/>
      </c>
      <c r="H92" s="514">
        <f>H86/1000</f>
        <v/>
      </c>
    </row>
    <row r="93" ht="15" customHeight="1">
      <c r="B93" s="47" t="inlineStr">
        <is>
          <t>D&amp;A ($M)</t>
        </is>
      </c>
      <c r="D93" s="513">
        <f>IF(INPUT!D9="","",D87/1000)</f>
        <v/>
      </c>
      <c r="E93" s="514">
        <f>E87/1000</f>
        <v/>
      </c>
      <c r="F93" s="514">
        <f>F87/1000</f>
        <v/>
      </c>
      <c r="G93" s="514">
        <f>G87/1000</f>
        <v/>
      </c>
      <c r="H93" s="514">
        <f>H87/1000</f>
        <v/>
      </c>
    </row>
    <row r="94" ht="15" customHeight="1">
      <c r="B94" s="47" t="inlineStr">
        <is>
          <t>Interest ($M)</t>
        </is>
      </c>
      <c r="D94" s="513">
        <f>IF(INPUT!D9="","",D88/1000)</f>
        <v/>
      </c>
      <c r="E94" s="514">
        <f>E88/1000</f>
        <v/>
      </c>
      <c r="F94" s="514">
        <f>F88/1000</f>
        <v/>
      </c>
      <c r="G94" s="514">
        <f>G88/1000</f>
        <v/>
      </c>
      <c r="H94" s="514">
        <f>H88/1000</f>
        <v/>
      </c>
    </row>
    <row r="95" ht="15" customHeight="1">
      <c r="B95" s="47" t="n"/>
      <c r="D95" s="231" t="n"/>
      <c r="G95" s="254">
        <f>G88/1000</f>
        <v/>
      </c>
      <c r="H95" s="254">
        <f>H88/1000</f>
        <v/>
      </c>
    </row>
    <row r="96" ht="15" customHeight="1">
      <c r="B96" s="47" t="n"/>
      <c r="D96" s="231" t="n"/>
    </row>
    <row r="97" ht="15" customHeight="1">
      <c r="B97" s="47" t="inlineStr">
        <is>
          <t>Cumul. Revenue ($M)</t>
        </is>
      </c>
      <c r="D97" s="484">
        <f>D78/1000</f>
        <v/>
      </c>
      <c r="E97" s="254">
        <f>E78/1000</f>
        <v/>
      </c>
      <c r="F97" s="254">
        <f>F78/1000</f>
        <v/>
      </c>
      <c r="G97" s="254">
        <f>G78/1000</f>
        <v/>
      </c>
      <c r="H97" s="254">
        <f>H78/1000</f>
        <v/>
      </c>
    </row>
    <row r="98" ht="15" customHeight="1">
      <c r="B98" s="47" t="n"/>
      <c r="D98" s="231" t="n"/>
    </row>
    <row r="99" ht="15" customHeight="1">
      <c r="B99" s="47" t="n"/>
      <c r="D99" s="231" t="n"/>
      <c r="G99" s="254">
        <f>G78/1000</f>
        <v/>
      </c>
      <c r="H99" s="254">
        <f>H78/1000</f>
        <v/>
      </c>
    </row>
    <row r="100" ht="15" customHeight="1">
      <c r="B100" s="91" t="inlineStr">
        <is>
          <t>FCF &amp; CapEx Trend ($000)</t>
        </is>
      </c>
      <c r="C100" s="91" t="n"/>
      <c r="D100" s="481" t="n"/>
      <c r="E100" s="91" t="n"/>
      <c r="F100" s="91" t="n"/>
      <c r="G100" s="91" t="n"/>
      <c r="H100" s="91" t="n"/>
    </row>
    <row r="101" ht="15" customHeight="1">
      <c r="B101" s="335" t="inlineStr">
        <is>
          <t>Metric</t>
        </is>
      </c>
      <c r="D101" s="231" t="n"/>
      <c r="E101" s="465">
        <f>INPUT!E5</f>
        <v/>
      </c>
      <c r="F101" s="465">
        <f>INPUT!F5</f>
        <v/>
      </c>
      <c r="G101" s="465">
        <f>INPUT!G5</f>
        <v/>
      </c>
      <c r="H101" s="465">
        <f>INPUT!H5</f>
        <v/>
      </c>
    </row>
    <row r="102" ht="15" customHeight="1">
      <c r="B102" s="47" t="inlineStr">
        <is>
          <t>Free Cash Flow ($000)</t>
        </is>
      </c>
      <c r="D102" s="231" t="n"/>
      <c r="E102" s="515">
        <f>E61</f>
        <v/>
      </c>
      <c r="F102" s="515">
        <f>F61</f>
        <v/>
      </c>
      <c r="G102" s="515">
        <f>G61</f>
        <v/>
      </c>
      <c r="H102" s="515">
        <f>H61</f>
        <v/>
      </c>
    </row>
    <row r="103" ht="15" customHeight="1">
      <c r="B103" s="47" t="inlineStr">
        <is>
          <t>CapEx ($000)</t>
        </is>
      </c>
      <c r="D103" s="231" t="n"/>
      <c r="E103" s="465">
        <f>ABS(INPUT!E78)</f>
        <v/>
      </c>
      <c r="F103" s="465">
        <f>ABS(INPUT!F78)</f>
        <v/>
      </c>
      <c r="G103" s="465">
        <f>ABS(INPUT!G78)</f>
        <v/>
      </c>
      <c r="H103" s="465">
        <f>ABS(INPUT!H78)</f>
        <v/>
      </c>
    </row>
    <row r="104" ht="15" customHeight="1">
      <c r="B104" s="47" t="inlineStr">
        <is>
          <t>Cash from Operations ($000)</t>
        </is>
      </c>
      <c r="D104" s="231" t="n"/>
      <c r="E104" s="338">
        <f>INPUT!E75</f>
        <v/>
      </c>
      <c r="F104" s="338">
        <f>INPUT!F75</f>
        <v/>
      </c>
      <c r="G104" s="338">
        <f>INPUT!G75</f>
        <v/>
      </c>
      <c r="H104" s="338">
        <f>INPUT!H75</f>
        <v/>
      </c>
    </row>
    <row r="105" ht="15" customHeight="1">
      <c r="B105" s="47" t="n"/>
      <c r="D105" s="231" t="n"/>
    </row>
    <row r="106" ht="15" customHeight="1">
      <c r="B106" s="91" t="inlineStr">
        <is>
          <t>Returns Chart Data</t>
        </is>
      </c>
      <c r="C106" s="91" t="n"/>
      <c r="D106" s="481" t="n"/>
      <c r="E106" s="91" t="n"/>
      <c r="F106" s="91" t="n"/>
      <c r="G106" s="91" t="n"/>
      <c r="H106" s="91" t="n"/>
    </row>
    <row r="107" ht="15" customHeight="1">
      <c r="B107" s="335" t="inlineStr">
        <is>
          <t>Metric</t>
        </is>
      </c>
      <c r="D107" s="231" t="n"/>
      <c r="E107" s="465">
        <f>INPUT!E5</f>
        <v/>
      </c>
      <c r="F107" s="465">
        <f>INPUT!F5</f>
        <v/>
      </c>
      <c r="G107" s="465">
        <f>INPUT!G5</f>
        <v/>
      </c>
      <c r="H107" s="465">
        <f>INPUT!H5</f>
        <v/>
      </c>
    </row>
    <row r="108" ht="15" customHeight="1">
      <c r="B108" s="47" t="inlineStr">
        <is>
          <t>Return on Equity (ROE)</t>
        </is>
      </c>
      <c r="D108" s="231" t="n"/>
      <c r="E108" s="516">
        <f>E23</f>
        <v/>
      </c>
      <c r="F108" s="516">
        <f>F23</f>
        <v/>
      </c>
      <c r="G108" s="516">
        <f>G23</f>
        <v/>
      </c>
      <c r="H108" s="516">
        <f>H23</f>
        <v/>
      </c>
    </row>
    <row r="109" ht="15" customHeight="1">
      <c r="B109" s="47" t="inlineStr">
        <is>
          <t>Return on Assets (ROA)</t>
        </is>
      </c>
      <c r="D109" s="231" t="n"/>
      <c r="E109" s="516">
        <f>E24</f>
        <v/>
      </c>
      <c r="F109" s="516">
        <f>F24</f>
        <v/>
      </c>
      <c r="G109" s="516">
        <f>G24</f>
        <v/>
      </c>
      <c r="H109" s="516">
        <f>H24</f>
        <v/>
      </c>
    </row>
    <row r="110" ht="15" customHeight="1">
      <c r="B110" s="47" t="inlineStr">
        <is>
          <t>Return on Invested Capital (ROIC)</t>
        </is>
      </c>
      <c r="D110" s="231" t="n"/>
      <c r="E110" s="516">
        <f>E25</f>
        <v/>
      </c>
      <c r="F110" s="516">
        <f>F25</f>
        <v/>
      </c>
      <c r="G110" s="516">
        <f>G25</f>
        <v/>
      </c>
      <c r="H110" s="516">
        <f>H25</f>
        <v/>
      </c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  <row r="121" ht="15" customHeight="1">
      <c r="B121" s="47" t="n"/>
    </row>
    <row r="122" ht="15" customHeight="1">
      <c r="B122" s="47" t="n"/>
    </row>
    <row r="123" ht="15" customHeight="1">
      <c r="B123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2" fitToHeight="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20"/>
  <sheetViews>
    <sheetView showGridLines="0" zoomScale="80" workbookViewId="0">
      <selection activeCell="D30" sqref="D30"/>
    </sheetView>
  </sheetViews>
  <sheetFormatPr baseColWidth="10" defaultRowHeight="15"/>
  <cols>
    <col width="11" customWidth="1" min="1" max="1"/>
    <col width="53" customWidth="1" style="19" min="2" max="2"/>
    <col width="7.42578125" customWidth="1" min="3" max="3"/>
    <col width="15.140625" customWidth="1" style="465" min="4" max="4"/>
    <col width="13.28515625" customWidth="1" style="465" min="5" max="8"/>
    <col width="1" customWidth="1" style="465" min="9" max="9"/>
    <col width="11.5703125" customWidth="1" style="465" min="10" max="14"/>
  </cols>
  <sheetData>
    <row r="1" ht="54.95" customHeight="1">
      <c r="A1" s="6" t="n"/>
      <c r="B1" s="104" t="inlineStr">
        <is>
          <t>FinSight</t>
        </is>
      </c>
      <c r="C1" s="5" t="n"/>
      <c r="D1" s="5" t="n"/>
      <c r="E1" s="29" t="n"/>
      <c r="F1" s="103" t="inlineStr">
        <is>
          <t>ALTMAN Z-SCORE — Bankruptcy Risk</t>
        </is>
      </c>
      <c r="G1" s="29" t="n"/>
      <c r="H1" s="29" t="n"/>
      <c r="I1" s="29" t="n"/>
      <c r="J1" s="20" t="n"/>
      <c r="K1" s="29" t="n"/>
      <c r="L1" s="29" t="n"/>
      <c r="M1" s="29" t="n"/>
      <c r="N1" s="29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</row>
    <row r="3" ht="18" customHeight="1">
      <c r="A3" s="7" t="n"/>
      <c r="B3" s="15" t="inlineStr">
        <is>
          <t>ALTMAN Z-SCORE</t>
        </is>
      </c>
      <c r="C3" s="7" t="n"/>
      <c r="D3" s="7" t="n"/>
      <c r="E3" s="23" t="n"/>
      <c r="F3" s="23" t="n"/>
      <c r="G3" s="23" t="n"/>
      <c r="H3" s="23" t="n"/>
      <c r="I3" s="23" t="n"/>
      <c r="J3" s="43" t="n"/>
      <c r="K3" s="43" t="n"/>
      <c r="L3" s="43" t="n"/>
      <c r="M3" s="43" t="n"/>
      <c r="N3" s="43" t="n"/>
    </row>
    <row r="4" ht="15" customHeight="1">
      <c r="A4" s="3" t="n"/>
      <c r="B4" s="13" t="n"/>
      <c r="C4" s="3" t="n"/>
      <c r="D4" s="22" t="n"/>
      <c r="E4" s="22" t="n"/>
      <c r="F4" s="22" t="n"/>
      <c r="G4" s="22" t="n"/>
      <c r="H4" s="22" t="n"/>
      <c r="I4" s="22" t="n"/>
    </row>
    <row r="5" ht="15" customHeight="1">
      <c r="A5" s="1" t="n"/>
      <c r="B5" s="124" t="inlineStr">
        <is>
          <t>COMPONENT</t>
        </is>
      </c>
      <c r="C5" s="124" t="n"/>
      <c r="D5" s="124" t="n"/>
      <c r="E5" s="124">
        <f>IF(INPUT!E5="","",INPUT!E5)</f>
        <v/>
      </c>
      <c r="F5" s="124">
        <f>IF(INPUT!F5="","",INPUT!F5)</f>
        <v/>
      </c>
      <c r="G5" s="124">
        <f>IF(INPUT!G5="","",INPUT!G5)</f>
        <v/>
      </c>
      <c r="H5" s="124">
        <f>IF(INPUT!H5="","",INPUT!H5)</f>
        <v/>
      </c>
      <c r="I5" s="24" t="n"/>
      <c r="J5" s="1" t="n"/>
      <c r="K5" s="1" t="n"/>
      <c r="L5" s="1" t="n"/>
      <c r="M5" s="1" t="n"/>
      <c r="N5" s="1" t="n"/>
    </row>
    <row r="6" ht="15" customHeight="1">
      <c r="A6" s="3" t="n"/>
      <c r="B6" s="14" t="n"/>
      <c r="C6" s="3" t="n"/>
      <c r="D6" s="22" t="n"/>
      <c r="E6" s="22" t="n"/>
      <c r="F6" s="22" t="n"/>
      <c r="G6" s="22" t="n"/>
      <c r="H6" s="22" t="n"/>
      <c r="I6" s="22" t="n"/>
    </row>
    <row r="7" ht="18" customHeight="1">
      <c r="A7" s="7" t="inlineStr">
        <is>
          <t xml:space="preserve"> </t>
        </is>
      </c>
      <c r="B7" s="120" t="inlineStr">
        <is>
          <t>INTERMEDIATE CALCULATIONS</t>
        </is>
      </c>
      <c r="C7" s="121" t="n"/>
      <c r="D7" s="7" t="n"/>
      <c r="E7" s="122" t="n"/>
      <c r="F7" s="122" t="n"/>
      <c r="G7" s="122" t="n"/>
      <c r="H7" s="122" t="n"/>
      <c r="I7" s="23" t="n"/>
      <c r="J7" s="43" t="n"/>
      <c r="K7" s="43" t="n"/>
      <c r="L7" s="43" t="n"/>
      <c r="M7" s="43" t="n"/>
      <c r="N7" s="43" t="n"/>
    </row>
    <row r="8" ht="15" customHeight="1">
      <c r="A8" s="3" t="n"/>
      <c r="B8" s="113" t="inlineStr">
        <is>
          <t>Working Capital</t>
        </is>
      </c>
      <c r="C8" s="114" t="n"/>
      <c r="D8" s="517">
        <f>IFERROR(INPUT!D38-INPUT!D51,"–")</f>
        <v/>
      </c>
      <c r="E8" s="517">
        <f>IFERROR(INPUT!E38-INPUT!E51,"–")</f>
        <v/>
      </c>
      <c r="F8" s="517">
        <f>IFERROR(INPUT!F38-INPUT!F51,"–")</f>
        <v/>
      </c>
      <c r="G8" s="517">
        <f>IFERROR(INPUT!G38-INPUT!G51,"–")</f>
        <v/>
      </c>
      <c r="H8" s="517">
        <f>IFERROR(INPUT!H38-INPUT!H51,"–")</f>
        <v/>
      </c>
      <c r="I8" s="30" t="n"/>
    </row>
    <row r="9" ht="15" customHeight="1">
      <c r="A9" s="3" t="n"/>
      <c r="B9" s="113" t="inlineStr">
        <is>
          <t>Total Assets</t>
        </is>
      </c>
      <c r="C9" s="114" t="n"/>
      <c r="D9" s="517">
        <f>INPUT!D44</f>
        <v/>
      </c>
      <c r="E9" s="517">
        <f>INPUT!E44</f>
        <v/>
      </c>
      <c r="F9" s="517">
        <f>INPUT!F44</f>
        <v/>
      </c>
      <c r="G9" s="517">
        <f>INPUT!G44</f>
        <v/>
      </c>
      <c r="H9" s="517">
        <f>INPUT!H44</f>
        <v/>
      </c>
      <c r="I9" s="30" t="n"/>
    </row>
    <row r="10" ht="15" customHeight="1">
      <c r="A10" s="3" t="n"/>
      <c r="B10" s="113" t="inlineStr">
        <is>
          <t>Retained Earnings</t>
        </is>
      </c>
      <c r="C10" s="114" t="n"/>
      <c r="D10" s="517">
        <f>INPUT!D59</f>
        <v/>
      </c>
      <c r="E10" s="517">
        <f>INPUT!E59</f>
        <v/>
      </c>
      <c r="F10" s="517">
        <f>INPUT!F59</f>
        <v/>
      </c>
      <c r="G10" s="517">
        <f>INPUT!G59</f>
        <v/>
      </c>
      <c r="H10" s="517">
        <f>INPUT!H59</f>
        <v/>
      </c>
      <c r="I10" s="30" t="n"/>
    </row>
    <row r="11" ht="15" customHeight="1">
      <c r="A11" s="3" t="n"/>
      <c r="B11" s="113" t="inlineStr">
        <is>
          <t>EBIT</t>
        </is>
      </c>
      <c r="C11" s="114" t="n"/>
      <c r="D11" s="517">
        <f>INPUT!D17</f>
        <v/>
      </c>
      <c r="E11" s="517">
        <f>INPUT!E17</f>
        <v/>
      </c>
      <c r="F11" s="517">
        <f>INPUT!F17</f>
        <v/>
      </c>
      <c r="G11" s="517">
        <f>INPUT!G17</f>
        <v/>
      </c>
      <c r="H11" s="517">
        <f>INPUT!H17</f>
        <v/>
      </c>
      <c r="I11" s="30" t="n"/>
    </row>
    <row r="12" ht="15" customHeight="1">
      <c r="A12" s="3" t="n"/>
      <c r="B12" s="113" t="inlineStr">
        <is>
          <t>Market Cap (Book Value of Equity)</t>
        </is>
      </c>
      <c r="C12" s="114" t="n"/>
      <c r="D12" s="517">
        <f>INPUT!D60</f>
        <v/>
      </c>
      <c r="E12" s="517">
        <f>INPUT!E60</f>
        <v/>
      </c>
      <c r="F12" s="517">
        <f>INPUT!F60</f>
        <v/>
      </c>
      <c r="G12" s="517">
        <f>INPUT!G60</f>
        <v/>
      </c>
      <c r="H12" s="517">
        <f>INPUT!H60</f>
        <v/>
      </c>
      <c r="I12" s="30" t="n"/>
    </row>
    <row r="13" ht="15" customHeight="1">
      <c r="A13" s="3" t="n"/>
      <c r="B13" s="113" t="inlineStr">
        <is>
          <t>Total Liabilities</t>
        </is>
      </c>
      <c r="C13" s="114" t="n"/>
      <c r="D13" s="517">
        <f>INPUT!D55</f>
        <v/>
      </c>
      <c r="E13" s="517">
        <f>INPUT!E55</f>
        <v/>
      </c>
      <c r="F13" s="517">
        <f>INPUT!F55</f>
        <v/>
      </c>
      <c r="G13" s="517">
        <f>INPUT!G55</f>
        <v/>
      </c>
      <c r="H13" s="517">
        <f>INPUT!H55</f>
        <v/>
      </c>
      <c r="I13" s="30" t="n"/>
    </row>
    <row r="14" ht="15" customHeight="1">
      <c r="A14" s="3" t="n"/>
      <c r="B14" s="113" t="inlineStr">
        <is>
          <t>Revenue</t>
        </is>
      </c>
      <c r="C14" s="114" t="n"/>
      <c r="D14" s="518">
        <f>INPUT!D9</f>
        <v/>
      </c>
      <c r="E14" s="518">
        <f>INPUT!E9</f>
        <v/>
      </c>
      <c r="F14" s="518">
        <f>INPUT!F9</f>
        <v/>
      </c>
      <c r="G14" s="518">
        <f>INPUT!G9</f>
        <v/>
      </c>
      <c r="H14" s="518">
        <f>INPUT!H9</f>
        <v/>
      </c>
      <c r="I14" s="30" t="n"/>
    </row>
    <row r="15" ht="15" customHeight="1">
      <c r="A15" s="3" t="n"/>
      <c r="B15" s="99" t="n"/>
      <c r="C15" s="114" t="n"/>
      <c r="D15" s="115" t="n"/>
      <c r="E15" s="115" t="n"/>
      <c r="F15" s="115" t="n"/>
      <c r="G15" s="115" t="n"/>
      <c r="H15" s="115" t="n"/>
      <c r="I15" s="22" t="n"/>
    </row>
    <row r="16" ht="18" customHeight="1">
      <c r="A16" s="7" t="inlineStr">
        <is>
          <t xml:space="preserve"> </t>
        </is>
      </c>
      <c r="B16" s="120" t="inlineStr">
        <is>
          <t>5 ALTMAN Z-SCORE COMPONENTS</t>
        </is>
      </c>
      <c r="C16" s="123" t="n"/>
      <c r="D16" s="7" t="n"/>
      <c r="E16" s="122" t="n"/>
      <c r="F16" s="122" t="n"/>
      <c r="G16" s="122" t="n"/>
      <c r="H16" s="122" t="n"/>
      <c r="I16" s="23" t="n"/>
      <c r="J16" s="43" t="n"/>
      <c r="K16" s="43" t="n"/>
      <c r="L16" s="43" t="n"/>
      <c r="M16" s="43" t="n"/>
      <c r="N16" s="43" t="n"/>
    </row>
    <row r="17" ht="15" customHeight="1">
      <c r="A17" s="3" t="n"/>
      <c r="B17" s="113" t="inlineStr">
        <is>
          <t>X1 = Working Capital / Total Assets</t>
        </is>
      </c>
      <c r="C17" s="114" t="n"/>
      <c r="D17" s="519">
        <f>IFERROR(D8/D9,"–")</f>
        <v/>
      </c>
      <c r="E17" s="519">
        <f>IFERROR(E8/E9,"–")</f>
        <v/>
      </c>
      <c r="F17" s="519">
        <f>IFERROR(F8/F9,"–")</f>
        <v/>
      </c>
      <c r="G17" s="519">
        <f>IFERROR(G8/G9,"–")</f>
        <v/>
      </c>
      <c r="H17" s="519">
        <f>IFERROR(H8/H9,"–")</f>
        <v/>
      </c>
      <c r="I17" s="30" t="n"/>
    </row>
    <row r="18" ht="15" customHeight="1">
      <c r="A18" s="3" t="n"/>
      <c r="B18" s="113" t="inlineStr">
        <is>
          <t>X2 = Retained Earnings / Total Assets</t>
        </is>
      </c>
      <c r="C18" s="114" t="n"/>
      <c r="D18" s="519">
        <f>IFERROR(D10/D9,"–")</f>
        <v/>
      </c>
      <c r="E18" s="519">
        <f>IFERROR(E10/E9,"–")</f>
        <v/>
      </c>
      <c r="F18" s="519">
        <f>IFERROR(F10/F9,"–")</f>
        <v/>
      </c>
      <c r="G18" s="519">
        <f>IFERROR(G10/G9,"–")</f>
        <v/>
      </c>
      <c r="H18" s="519">
        <f>IFERROR(H10/H9,"–")</f>
        <v/>
      </c>
      <c r="I18" s="30" t="n"/>
    </row>
    <row r="19" ht="15" customHeight="1">
      <c r="A19" s="3" t="n"/>
      <c r="B19" s="113" t="inlineStr">
        <is>
          <t>X3 = EBIT / Total Assets</t>
        </is>
      </c>
      <c r="C19" s="114" t="n"/>
      <c r="D19" s="519">
        <f>IFERROR(D11/D9,"–")</f>
        <v/>
      </c>
      <c r="E19" s="519">
        <f>IFERROR(E11/E9,"–")</f>
        <v/>
      </c>
      <c r="F19" s="519">
        <f>IFERROR(F11/F9,"–")</f>
        <v/>
      </c>
      <c r="G19" s="519">
        <f>IFERROR(G11/G9,"–")</f>
        <v/>
      </c>
      <c r="H19" s="519">
        <f>IFERROR(H11/H9,"–")</f>
        <v/>
      </c>
      <c r="I19" s="30" t="n"/>
    </row>
    <row r="20" ht="15" customHeight="1">
      <c r="A20" s="3" t="n"/>
      <c r="B20" s="113" t="inlineStr">
        <is>
          <t>X4 = Equity / Total Liabilities</t>
        </is>
      </c>
      <c r="C20" s="114" t="n"/>
      <c r="D20" s="519">
        <f>IFERROR(D12/D13,"–")</f>
        <v/>
      </c>
      <c r="E20" s="519">
        <f>IFERROR(E12/E13,"–")</f>
        <v/>
      </c>
      <c r="F20" s="519">
        <f>IFERROR(F12/F13,"–")</f>
        <v/>
      </c>
      <c r="G20" s="519">
        <f>IFERROR(G12/G13,"–")</f>
        <v/>
      </c>
      <c r="H20" s="519">
        <f>IFERROR(H12/H13,"–")</f>
        <v/>
      </c>
      <c r="I20" s="30" t="n"/>
    </row>
    <row r="21" ht="15" customHeight="1">
      <c r="A21" s="3" t="n"/>
      <c r="B21" s="113" t="inlineStr">
        <is>
          <t>X5 = Revenue / Total Assets</t>
        </is>
      </c>
      <c r="C21" s="114" t="n"/>
      <c r="D21" s="520">
        <f>IFERROR(D14/D9,"–")</f>
        <v/>
      </c>
      <c r="E21" s="520">
        <f>IFERROR(E14/E9,"–")</f>
        <v/>
      </c>
      <c r="F21" s="520">
        <f>IFERROR(F14/F9,"–")</f>
        <v/>
      </c>
      <c r="G21" s="520">
        <f>IFERROR(G14/G9,"–")</f>
        <v/>
      </c>
      <c r="H21" s="520">
        <f>IFERROR(H14/H9,"–")</f>
        <v/>
      </c>
      <c r="I21" s="30" t="n"/>
    </row>
    <row r="22" ht="15" customHeight="1">
      <c r="A22" s="3" t="n"/>
      <c r="B22" s="99" t="n"/>
      <c r="C22" s="114" t="n"/>
      <c r="D22" s="115" t="n"/>
      <c r="E22" s="115" t="n"/>
      <c r="F22" s="115" t="n"/>
      <c r="G22" s="115" t="n"/>
      <c r="H22" s="115" t="n"/>
      <c r="I22" s="22" t="n"/>
    </row>
    <row r="23" ht="18" customHeight="1">
      <c r="A23" s="7" t="inlineStr">
        <is>
          <t xml:space="preserve"> </t>
        </is>
      </c>
      <c r="B23" s="120" t="inlineStr">
        <is>
          <t>ALTMAN Z-SCORE CALCULATION</t>
        </is>
      </c>
      <c r="C23" s="123" t="n"/>
      <c r="D23" s="7" t="n"/>
      <c r="E23" s="122" t="n"/>
      <c r="F23" s="122" t="n"/>
      <c r="G23" s="122" t="n"/>
      <c r="H23" s="122" t="n"/>
      <c r="I23" s="23" t="n"/>
      <c r="J23" s="43" t="n"/>
      <c r="K23" s="43" t="n"/>
      <c r="L23" s="43" t="n"/>
      <c r="M23" s="43" t="n"/>
      <c r="N23" s="43" t="n"/>
    </row>
    <row r="24" ht="15" customHeight="1">
      <c r="A24" s="3" t="n"/>
      <c r="B24" s="113" t="inlineStr">
        <is>
          <t>1.2 × X1</t>
        </is>
      </c>
      <c r="C24" s="114" t="n"/>
      <c r="D24" s="519">
        <f>IFERROR(1.2*D17,"–")</f>
        <v/>
      </c>
      <c r="E24" s="519">
        <f>IFERROR(1.2*E17,"–")</f>
        <v/>
      </c>
      <c r="F24" s="519">
        <f>IFERROR(1.2*F17,"–")</f>
        <v/>
      </c>
      <c r="G24" s="519">
        <f>IFERROR(1.2*G17,"–")</f>
        <v/>
      </c>
      <c r="H24" s="519">
        <f>IFERROR(1.2*H17,"–")</f>
        <v/>
      </c>
      <c r="I24" s="30" t="n"/>
    </row>
    <row r="25" ht="15" customHeight="1">
      <c r="A25" s="3" t="n"/>
      <c r="B25" s="113" t="inlineStr">
        <is>
          <t>1.4 × X2</t>
        </is>
      </c>
      <c r="C25" s="114" t="n"/>
      <c r="D25" s="519">
        <f>IFERROR(1.4*D18,"–")</f>
        <v/>
      </c>
      <c r="E25" s="519">
        <f>IFERROR(1.4*E18,"–")</f>
        <v/>
      </c>
      <c r="F25" s="519">
        <f>IFERROR(1.4*F18,"–")</f>
        <v/>
      </c>
      <c r="G25" s="519">
        <f>IFERROR(1.4*G18,"–")</f>
        <v/>
      </c>
      <c r="H25" s="519">
        <f>IFERROR(1.4*H18,"–")</f>
        <v/>
      </c>
      <c r="I25" s="30" t="n"/>
    </row>
    <row r="26" ht="15" customHeight="1">
      <c r="A26" s="3" t="n"/>
      <c r="B26" s="113" t="inlineStr">
        <is>
          <t>3.3 × X3</t>
        </is>
      </c>
      <c r="C26" s="114" t="n"/>
      <c r="D26" s="519">
        <f>IFERROR(3.3*D19,"–")</f>
        <v/>
      </c>
      <c r="E26" s="519">
        <f>IFERROR(3.3*E19,"–")</f>
        <v/>
      </c>
      <c r="F26" s="519">
        <f>IFERROR(3.3*F19,"–")</f>
        <v/>
      </c>
      <c r="G26" s="519">
        <f>IFERROR(3.3*G19,"–")</f>
        <v/>
      </c>
      <c r="H26" s="519">
        <f>IFERROR(3.3*H19,"–")</f>
        <v/>
      </c>
      <c r="I26" s="30" t="n"/>
    </row>
    <row r="27" ht="15" customHeight="1">
      <c r="A27" s="3" t="n"/>
      <c r="B27" s="113" t="inlineStr">
        <is>
          <t>0.6 × X4</t>
        </is>
      </c>
      <c r="C27" s="114" t="n"/>
      <c r="D27" s="519">
        <f>IFERROR(0.6*D20,"–")</f>
        <v/>
      </c>
      <c r="E27" s="519">
        <f>IFERROR(0.6*E20,"–")</f>
        <v/>
      </c>
      <c r="F27" s="519">
        <f>IFERROR(0.6*F20,"–")</f>
        <v/>
      </c>
      <c r="G27" s="519">
        <f>IFERROR(0.6*G20,"–")</f>
        <v/>
      </c>
      <c r="H27" s="519">
        <f>IFERROR(0.6*H20,"–")</f>
        <v/>
      </c>
      <c r="I27" s="30" t="n"/>
    </row>
    <row r="28" ht="15" customHeight="1">
      <c r="A28" s="3" t="n"/>
      <c r="B28" s="113" t="inlineStr">
        <is>
          <t>1.0 × X5</t>
        </is>
      </c>
      <c r="C28" s="114" t="n"/>
      <c r="D28" s="520">
        <f>IFERROR(1*D21,"–")</f>
        <v/>
      </c>
      <c r="E28" s="520">
        <f>IFERROR(1*E21,"–")</f>
        <v/>
      </c>
      <c r="F28" s="520">
        <f>IFERROR(1*F21,"–")</f>
        <v/>
      </c>
      <c r="G28" s="520">
        <f>IFERROR(1*G21,"–")</f>
        <v/>
      </c>
      <c r="H28" s="520">
        <f>IFERROR(1*H21,"–")</f>
        <v/>
      </c>
      <c r="I28" s="30" t="n"/>
    </row>
    <row r="29" ht="15" customHeight="1">
      <c r="A29" s="3" t="n"/>
      <c r="B29" s="99" t="n"/>
      <c r="C29" s="114" t="n"/>
      <c r="D29" s="31" t="n"/>
      <c r="E29" s="115" t="n"/>
      <c r="F29" s="115" t="n"/>
      <c r="G29" s="115" t="n"/>
      <c r="H29" s="115" t="n"/>
      <c r="I29" s="22" t="n"/>
    </row>
    <row r="30" ht="18" customHeight="1" thickBot="1">
      <c r="A30" s="112" t="inlineStr">
        <is>
          <t xml:space="preserve"> </t>
        </is>
      </c>
      <c r="B30" s="111" t="inlineStr">
        <is>
          <t>Z-SCORE (FINAL)</t>
        </is>
      </c>
      <c r="C30" s="117" t="n"/>
      <c r="D30" s="521">
        <f>IFERROR(D24+D25+D26+D27+D28,"–")</f>
        <v/>
      </c>
      <c r="E30" s="521">
        <f>IFERROR(E24+E25+E26+E27+E28,"–")</f>
        <v/>
      </c>
      <c r="F30" s="521">
        <f>IFERROR(F24+F25+F26+F27+F28,"–")</f>
        <v/>
      </c>
      <c r="G30" s="521">
        <f>IFERROR(G24+G25+G26+G27+G28,"–")</f>
        <v/>
      </c>
      <c r="H30" s="521">
        <f>IFERROR(H24+H25+H26+H27+H28,"–")</f>
        <v/>
      </c>
      <c r="I30" s="109" t="n"/>
      <c r="J30" s="95" t="n"/>
      <c r="K30" s="95" t="n"/>
      <c r="L30" s="95" t="n"/>
      <c r="M30" s="95" t="n"/>
      <c r="N30" s="95" t="n"/>
    </row>
    <row r="31" ht="15" customHeight="1">
      <c r="A31" s="3" t="n"/>
      <c r="B31" s="99" t="n"/>
      <c r="C31" s="114" t="n"/>
      <c r="D31" s="115" t="n"/>
      <c r="E31" s="115" t="n"/>
      <c r="F31" s="115" t="n"/>
      <c r="G31" s="115" t="n"/>
      <c r="H31" s="115" t="n"/>
      <c r="I31" s="22" t="n"/>
    </row>
    <row r="32" ht="18" customHeight="1">
      <c r="A32" s="7" t="inlineStr">
        <is>
          <t xml:space="preserve"> </t>
        </is>
      </c>
      <c r="B32" s="120" t="inlineStr">
        <is>
          <t>ZONE INTERPRETATION</t>
        </is>
      </c>
      <c r="C32" s="123" t="n"/>
      <c r="D32" s="7" t="n"/>
      <c r="E32" s="122" t="n"/>
      <c r="F32" s="122" t="n"/>
      <c r="G32" s="122" t="n"/>
      <c r="H32" s="122" t="n"/>
      <c r="I32" s="23" t="n"/>
      <c r="J32" s="43" t="n"/>
      <c r="K32" s="43" t="n"/>
      <c r="L32" s="43" t="n"/>
      <c r="M32" s="43" t="n"/>
      <c r="N32" s="43" t="n"/>
    </row>
    <row r="33" ht="15" customHeight="1">
      <c r="A33" s="3" t="n"/>
      <c r="B33" s="99" t="inlineStr">
        <is>
          <t>ZONE</t>
        </is>
      </c>
      <c r="C33" s="114" t="n"/>
      <c r="D33" s="261">
        <f>IFERROR(IF(D30&gt;2.99,"SAFE",IF(D30&gt;=1.81,"GREY","DISTRESS")),"–")</f>
        <v/>
      </c>
      <c r="E33" s="261">
        <f>IFERROR(IF(E30&gt;2.99,"SAFE",IF(E30&gt;=1.81,"GREY","DISTRESS")),"–")</f>
        <v/>
      </c>
      <c r="F33" s="261">
        <f>IFERROR(IF(F30&gt;2.99,"SAFE",IF(F30&gt;=1.81,"GREY","DISTRESS")),"–")</f>
        <v/>
      </c>
      <c r="G33" s="261">
        <f>IFERROR(IF(G30&gt;2.99,"SAFE",IF(G30&gt;=1.81,"GREY","DISTRESS")),"–")</f>
        <v/>
      </c>
      <c r="H33" s="261">
        <f>IFERROR(IF(H30&gt;2.99,"SAFE",IF(H30&gt;=1.81,"GREY","DISTRESS")),"–")</f>
        <v/>
      </c>
      <c r="I33" s="22" t="n"/>
    </row>
    <row r="34" ht="15" customHeight="1">
      <c r="A34" s="3" t="n"/>
      <c r="B34" s="99" t="n"/>
      <c r="C34" s="114" t="n"/>
      <c r="D34" s="115" t="n"/>
      <c r="E34" s="115" t="n"/>
      <c r="F34" s="115" t="n"/>
      <c r="G34" s="115" t="n"/>
      <c r="H34" s="115" t="n"/>
      <c r="I34" s="22" t="n"/>
    </row>
    <row r="35" ht="15" customHeight="1">
      <c r="A35" s="3" t="n"/>
      <c r="B35" s="99" t="inlineStr">
        <is>
          <t>SAFE ZONE</t>
        </is>
      </c>
      <c r="C35" s="114" t="n"/>
      <c r="D35" s="119" t="inlineStr">
        <is>
          <t>Low probability of bankruptcy</t>
        </is>
      </c>
      <c r="E35" s="115" t="n"/>
      <c r="F35" s="115" t="n"/>
      <c r="G35" s="115" t="n"/>
      <c r="H35" s="115" t="n"/>
      <c r="I35" s="57" t="n"/>
    </row>
    <row r="36" ht="15" customHeight="1">
      <c r="A36" s="3" t="n"/>
      <c r="B36" s="99" t="inlineStr">
        <is>
          <t>GREY ZONE</t>
        </is>
      </c>
      <c r="C36" s="114" t="n"/>
      <c r="D36" s="119" t="inlineStr">
        <is>
          <t>Some risk — monitor closely</t>
        </is>
      </c>
      <c r="E36" s="115" t="n"/>
      <c r="F36" s="115" t="n"/>
      <c r="G36" s="115" t="n"/>
      <c r="H36" s="115" t="n"/>
      <c r="I36" s="57" t="n"/>
    </row>
    <row r="37" ht="15" customHeight="1">
      <c r="A37" s="3" t="n"/>
      <c r="B37" s="99" t="inlineStr">
        <is>
          <t>DISTRESS ZONE</t>
        </is>
      </c>
      <c r="C37" s="114" t="n"/>
      <c r="D37" s="119" t="inlineStr">
        <is>
          <t>High probability of bankruptcy</t>
        </is>
      </c>
      <c r="E37" s="115" t="n"/>
      <c r="F37" s="115" t="n"/>
      <c r="G37" s="115" t="n"/>
      <c r="H37" s="115" t="n"/>
      <c r="I37" s="57" t="n"/>
    </row>
    <row r="38" ht="15" customHeight="1">
      <c r="A38" s="3" t="n"/>
      <c r="B38" s="99" t="n"/>
      <c r="C38" s="114" t="n"/>
      <c r="D38" s="115" t="n"/>
      <c r="E38" s="115" t="n"/>
      <c r="F38" s="115" t="n"/>
      <c r="G38" s="115" t="n"/>
      <c r="H38" s="115" t="n"/>
      <c r="I38" s="22" t="n"/>
    </row>
    <row r="39" ht="15" customHeight="1">
      <c r="A39" s="3" t="n"/>
      <c r="B39" s="118" t="inlineStr">
        <is>
          <t>NOTE: Altman Z-Score was developed by Edward Altman (1968) for publicly traded manufacturing companies.</t>
        </is>
      </c>
      <c r="C39" s="114" t="n"/>
      <c r="D39" s="115" t="n"/>
      <c r="E39" s="115" t="n"/>
      <c r="F39" s="115" t="n"/>
      <c r="G39" s="115" t="n"/>
      <c r="H39" s="115" t="n"/>
      <c r="I39" s="22" t="n"/>
    </row>
    <row r="40" ht="15" customHeight="1">
      <c r="A40" s="3" t="n"/>
      <c r="B40" s="118" t="inlineStr">
        <is>
          <t>Modified versions exist for private companies (Z') and non-manufacturing firms (Z'').</t>
        </is>
      </c>
      <c r="C40" s="114" t="n"/>
      <c r="D40" s="115" t="n"/>
      <c r="E40" s="115" t="n"/>
      <c r="F40" s="115" t="n"/>
      <c r="G40" s="115" t="n"/>
      <c r="H40" s="115" t="n"/>
      <c r="I40" s="22" t="n"/>
    </row>
    <row r="41" ht="15" customHeight="1">
      <c r="A41" s="3" t="n"/>
      <c r="B41" s="99" t="n"/>
      <c r="C41" s="119" t="n"/>
      <c r="D41" s="115" t="n"/>
      <c r="E41" s="115" t="n"/>
      <c r="F41" s="115" t="n"/>
      <c r="G41" s="115" t="n"/>
      <c r="H41" s="115" t="n"/>
      <c r="I41" s="22" t="n"/>
    </row>
    <row r="42" ht="15" customHeight="1">
      <c r="A42" s="4" t="n"/>
      <c r="B42" s="85" t="n"/>
      <c r="C42" s="85" t="n"/>
      <c r="D42" s="85" t="n"/>
      <c r="E42" s="85" t="n"/>
      <c r="F42" s="85" t="n"/>
      <c r="G42" s="85" t="n"/>
      <c r="H42" s="85" t="n"/>
      <c r="I42" s="33" t="n"/>
      <c r="J42" s="85" t="n"/>
      <c r="K42" s="85" t="n"/>
      <c r="L42" s="85" t="n"/>
      <c r="M42" s="85" t="n"/>
      <c r="N42" s="85" t="n"/>
    </row>
    <row r="43" ht="15" customHeight="1">
      <c r="A43" s="4" t="n"/>
      <c r="B43" s="85" t="n"/>
      <c r="C43" s="85" t="n"/>
      <c r="D43" s="85" t="n"/>
      <c r="E43" s="85" t="n"/>
      <c r="F43" s="85" t="n"/>
      <c r="G43" s="85" t="n"/>
      <c r="H43" s="85" t="n"/>
      <c r="I43" s="33" t="n"/>
      <c r="J43" s="85" t="n"/>
      <c r="K43" s="85" t="n"/>
      <c r="L43" s="85" t="n"/>
      <c r="M43" s="85" t="n"/>
      <c r="N43" s="85" t="n"/>
    </row>
    <row r="44" ht="15" customHeight="1">
      <c r="A44" s="4" t="n"/>
      <c r="B44" s="85" t="n"/>
      <c r="C44" s="85" t="n"/>
      <c r="D44" s="85" t="n"/>
      <c r="E44" s="85" t="n"/>
      <c r="F44" s="85" t="n"/>
      <c r="G44" s="85" t="n"/>
      <c r="H44" s="85" t="n"/>
      <c r="I44" s="33" t="n"/>
      <c r="J44" s="85" t="n"/>
      <c r="K44" s="85" t="n"/>
      <c r="L44" s="85" t="n"/>
      <c r="M44" s="85" t="n"/>
      <c r="N44" s="85" t="n"/>
    </row>
    <row r="45" ht="15" customHeight="1">
      <c r="B45" s="47" t="n"/>
    </row>
    <row r="46" ht="15" customHeight="1">
      <c r="B46" s="47" t="n"/>
    </row>
    <row r="47" ht="15" customHeight="1">
      <c r="B47" s="47" t="n"/>
    </row>
    <row r="48" ht="15" customHeight="1">
      <c r="B48" s="47" t="n"/>
    </row>
    <row r="49" ht="15" customHeight="1">
      <c r="B49" s="47" t="n"/>
    </row>
    <row r="50" ht="15" customHeight="1">
      <c r="B50" s="47" t="n"/>
    </row>
    <row r="51" ht="15" customHeight="1">
      <c r="B51" s="47" t="n"/>
    </row>
    <row r="52" ht="15" customHeight="1">
      <c r="B52" s="47" t="n"/>
    </row>
    <row r="53" ht="15" customHeight="1">
      <c r="B53" s="47" t="n"/>
    </row>
    <row r="54" ht="15" customHeight="1">
      <c r="B54" s="47" t="n"/>
    </row>
    <row r="55" ht="15" customHeight="1">
      <c r="B55" s="47" t="n"/>
    </row>
    <row r="56" ht="15" customHeight="1">
      <c r="B56" s="47" t="n"/>
    </row>
    <row r="57" ht="15" customHeight="1">
      <c r="B57" s="47" t="n"/>
    </row>
    <row r="58" ht="15" customHeight="1">
      <c r="B58" s="47" t="n"/>
    </row>
    <row r="59" ht="15" customHeight="1">
      <c r="B59" s="47" t="n"/>
    </row>
    <row r="60" ht="15" customHeight="1">
      <c r="B60" s="47" t="n"/>
    </row>
    <row r="61" ht="15" customHeight="1">
      <c r="B61" s="47" t="n"/>
    </row>
    <row r="62" ht="15" customHeight="1">
      <c r="B62" s="47" t="n"/>
    </row>
    <row r="63" ht="15" customHeight="1">
      <c r="B63" s="47" t="n"/>
    </row>
    <row r="64" ht="15" customHeight="1">
      <c r="B64" s="47" t="n"/>
    </row>
    <row r="65" ht="15" customHeight="1">
      <c r="B65" s="47" t="n"/>
    </row>
    <row r="66" ht="15" customHeight="1">
      <c r="B66" s="47" t="n"/>
    </row>
    <row r="67" ht="15" customHeight="1">
      <c r="B67" s="47" t="n"/>
    </row>
    <row r="68" ht="15" customHeight="1">
      <c r="B68" s="47" t="n"/>
    </row>
    <row r="69" ht="15" customHeight="1">
      <c r="B69" s="47" t="n"/>
    </row>
    <row r="70" ht="15" customHeight="1">
      <c r="B70" s="47" t="n"/>
    </row>
    <row r="71" ht="15" customHeight="1">
      <c r="B71" s="47" t="n"/>
    </row>
    <row r="72" ht="15" customHeight="1">
      <c r="B72" s="47" t="n"/>
    </row>
    <row r="73" ht="15" customHeight="1">
      <c r="B73" s="47" t="n"/>
    </row>
    <row r="74" ht="15" customHeight="1">
      <c r="B74" s="47" t="n"/>
    </row>
    <row r="75" ht="15" customHeight="1">
      <c r="B75" s="47" t="n"/>
    </row>
    <row r="76" ht="15" customHeight="1">
      <c r="B76" s="47" t="n"/>
    </row>
    <row r="77" ht="15" customHeight="1">
      <c r="B77" s="47" t="n"/>
    </row>
    <row r="78" ht="15" customHeight="1">
      <c r="B78" s="47" t="n"/>
    </row>
    <row r="79" ht="15" customHeight="1">
      <c r="B79" s="47" t="n"/>
    </row>
    <row r="80" ht="15" customHeight="1">
      <c r="B80" s="47" t="n"/>
    </row>
    <row r="81" ht="15" customHeight="1">
      <c r="B81" s="47" t="n"/>
    </row>
    <row r="82" ht="15" customHeight="1">
      <c r="B82" s="47" t="n"/>
    </row>
    <row r="83" ht="15" customHeight="1">
      <c r="B83" s="47" t="n"/>
    </row>
    <row r="84" ht="15" customHeight="1">
      <c r="B84" s="47" t="n"/>
    </row>
    <row r="85" ht="15" customHeight="1">
      <c r="B85" s="47" t="n"/>
    </row>
    <row r="86" ht="15" customHeight="1">
      <c r="B86" s="47" t="n"/>
    </row>
    <row r="87" ht="15" customHeight="1">
      <c r="B87" s="47" t="n"/>
    </row>
    <row r="88" ht="15" customHeight="1">
      <c r="B88" s="47" t="n"/>
    </row>
    <row r="89" ht="15" customHeight="1">
      <c r="B89" s="47" t="n"/>
    </row>
    <row r="90" ht="15" customHeight="1">
      <c r="B90" s="47" t="n"/>
    </row>
    <row r="91" ht="15" customHeight="1">
      <c r="B91" s="47" t="n"/>
    </row>
    <row r="92" ht="15" customHeight="1">
      <c r="B92" s="47" t="n"/>
    </row>
    <row r="93" ht="15" customHeight="1">
      <c r="B93" s="47" t="n"/>
    </row>
    <row r="94" ht="15" customHeight="1">
      <c r="B94" s="47" t="n"/>
    </row>
    <row r="95" ht="15" customHeight="1">
      <c r="B95" s="4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8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23"/>
  <sheetViews>
    <sheetView showGridLines="0" zoomScaleNormal="100" workbookViewId="0">
      <selection activeCell="E20" sqref="E20"/>
    </sheetView>
  </sheetViews>
  <sheetFormatPr baseColWidth="10" defaultRowHeight="15"/>
  <cols>
    <col width="11" customWidth="1" min="1" max="1"/>
    <col width="53" customWidth="1" style="19" min="2" max="2"/>
    <col width="1" customWidth="1" style="19" min="3" max="3"/>
    <col width="13.28515625" customWidth="1" style="465" min="4" max="5"/>
    <col width="15.5703125" bestFit="1" customWidth="1" style="465" min="6" max="6"/>
    <col width="31" bestFit="1" customWidth="1" style="465" min="7" max="7"/>
    <col width="11.5703125" customWidth="1" style="465" min="8" max="8"/>
    <col width="31" bestFit="1" customWidth="1" style="465" min="9" max="9"/>
    <col width="11.5703125" customWidth="1" style="465" min="10" max="10"/>
    <col width="31" bestFit="1" customWidth="1" style="465" min="11" max="12"/>
  </cols>
  <sheetData>
    <row r="1" ht="54.95" customHeight="1">
      <c r="A1" s="6" t="n"/>
      <c r="B1" s="104" t="inlineStr">
        <is>
          <t>FinSight</t>
        </is>
      </c>
      <c r="C1" s="26" t="n"/>
      <c r="D1" s="104" t="n"/>
      <c r="E1" s="29" t="n"/>
      <c r="F1" s="103" t="inlineStr">
        <is>
          <t>BENEISH M-SCORE — Earnings Manipulation</t>
        </is>
      </c>
    </row>
    <row r="2" ht="15" customHeight="1">
      <c r="A2" s="3" t="n"/>
      <c r="B2" s="14" t="n"/>
      <c r="C2" s="14" t="n"/>
      <c r="D2" s="22" t="n"/>
      <c r="E2" s="22" t="n"/>
      <c r="F2" s="22" t="n"/>
    </row>
    <row r="3" ht="18" customHeight="1">
      <c r="A3" s="7" t="n"/>
      <c r="B3" s="15" t="inlineStr">
        <is>
          <t>BENEISH M-SCORE</t>
        </is>
      </c>
      <c r="C3" s="15" t="n"/>
      <c r="D3" s="23" t="n"/>
      <c r="E3" s="23" t="n"/>
      <c r="F3" s="23" t="n"/>
    </row>
    <row r="4" ht="15" customHeight="1">
      <c r="A4" s="3" t="n"/>
      <c r="B4" s="13" t="n"/>
      <c r="C4" s="13" t="n"/>
      <c r="D4" s="22" t="n"/>
      <c r="E4" s="22" t="n"/>
      <c r="F4" s="22" t="n"/>
    </row>
    <row r="5" ht="15" customHeight="1">
      <c r="A5" s="1" t="n"/>
      <c r="B5" s="16" t="inlineStr">
        <is>
          <t>INDEX / COMPONENT</t>
        </is>
      </c>
      <c r="C5" s="16" t="n"/>
      <c r="D5" s="16" t="n"/>
      <c r="E5" s="16">
        <f>IF(INPUT!H5="","",INPUT!H5)</f>
        <v/>
      </c>
      <c r="F5" s="16" t="inlineStr">
        <is>
          <t>Year t (Current)</t>
        </is>
      </c>
    </row>
    <row r="6" ht="15" customHeight="1">
      <c r="A6" s="3" t="n"/>
      <c r="B6" s="14" t="n"/>
      <c r="C6" s="429" t="n"/>
      <c r="D6" s="429" t="n"/>
      <c r="E6" s="22" t="n"/>
      <c r="F6" s="22" t="n"/>
    </row>
    <row r="7" ht="18" customHeight="1">
      <c r="A7" s="7" t="inlineStr">
        <is>
          <t xml:space="preserve"> </t>
        </is>
      </c>
      <c r="B7" s="15" t="inlineStr">
        <is>
          <t>BASE FINANCIAL DATA (from INPUT)</t>
        </is>
      </c>
      <c r="C7" s="15" t="n"/>
      <c r="D7" s="430" t="n"/>
      <c r="E7" s="23" t="n"/>
      <c r="F7" s="23" t="n"/>
    </row>
    <row r="8" ht="18" customHeight="1">
      <c r="A8" s="112" t="n"/>
      <c r="B8" s="110" t="n"/>
      <c r="C8" s="431" t="n"/>
      <c r="D8" s="431" t="n"/>
      <c r="E8" s="109" t="n"/>
      <c r="F8" s="109" t="n"/>
    </row>
    <row r="9" ht="15" customHeight="1">
      <c r="A9" s="3" t="n"/>
      <c r="B9" s="17" t="inlineStr">
        <is>
          <t>Net Sales (Revenue)</t>
        </is>
      </c>
      <c r="C9" s="432" t="n"/>
      <c r="D9" s="432" t="n"/>
      <c r="E9" s="522">
        <f>INPUT!E9</f>
        <v/>
      </c>
      <c r="F9" s="522">
        <f>INPUT!F9</f>
        <v/>
      </c>
    </row>
    <row r="10" ht="15" customHeight="1">
      <c r="A10" s="3" t="n"/>
      <c r="B10" s="17" t="inlineStr">
        <is>
          <t>Cost of Goods Sold</t>
        </is>
      </c>
      <c r="C10" s="432" t="n"/>
      <c r="D10" s="432" t="n"/>
      <c r="E10" s="522">
        <f>ABS(INPUT!E10)</f>
        <v/>
      </c>
      <c r="F10" s="522">
        <f>ABS(INPUT!F10)</f>
        <v/>
      </c>
    </row>
    <row r="11" ht="15" customHeight="1">
      <c r="A11" s="3" t="n"/>
      <c r="B11" s="17" t="inlineStr">
        <is>
          <t>Gross Profit</t>
        </is>
      </c>
      <c r="C11" s="432" t="n"/>
      <c r="D11" s="432" t="n"/>
      <c r="E11" s="522">
        <f>INPUT!E11</f>
        <v/>
      </c>
      <c r="F11" s="522">
        <f>INPUT!F11</f>
        <v/>
      </c>
    </row>
    <row r="12" ht="15" customHeight="1">
      <c r="A12" s="3" t="n"/>
      <c r="B12" s="17" t="inlineStr">
        <is>
          <t>Total Current Assets</t>
        </is>
      </c>
      <c r="C12" s="432" t="n"/>
      <c r="D12" s="432" t="n"/>
      <c r="E12" s="522">
        <f>INPUT!E38</f>
        <v/>
      </c>
      <c r="F12" s="522">
        <f>INPUT!F38</f>
        <v/>
      </c>
    </row>
    <row r="13" ht="15" customHeight="1">
      <c r="A13" s="3" t="n"/>
      <c r="B13" s="17" t="inlineStr">
        <is>
          <t>PP&amp;E (Net)</t>
        </is>
      </c>
      <c r="C13" s="432" t="n"/>
      <c r="D13" s="432" t="n"/>
      <c r="E13" s="522">
        <f>INPUT!E41</f>
        <v/>
      </c>
      <c r="F13" s="522">
        <f>INPUT!F41</f>
        <v/>
      </c>
    </row>
    <row r="14" ht="15" customHeight="1">
      <c r="A14" s="3" t="n"/>
      <c r="B14" s="17" t="inlineStr">
        <is>
          <t>Total Assets</t>
        </is>
      </c>
      <c r="C14" s="432" t="n"/>
      <c r="D14" s="432" t="n"/>
      <c r="E14" s="522">
        <f>INPUT!E44</f>
        <v/>
      </c>
      <c r="F14" s="522">
        <f>INPUT!F44</f>
        <v/>
      </c>
    </row>
    <row r="15" ht="15" customHeight="1">
      <c r="A15" s="3" t="n"/>
      <c r="B15" s="17" t="inlineStr">
        <is>
          <t>Total Current Liabilities</t>
        </is>
      </c>
      <c r="C15" s="432" t="n"/>
      <c r="D15" s="432" t="n"/>
      <c r="E15" s="522">
        <f>INPUT!E51</f>
        <v/>
      </c>
      <c r="F15" s="522">
        <f>INPUT!F51</f>
        <v/>
      </c>
    </row>
    <row r="16" ht="15" customHeight="1">
      <c r="A16" s="3" t="n"/>
      <c r="B16" s="17" t="inlineStr">
        <is>
          <t>Long-Term Debt</t>
        </is>
      </c>
      <c r="C16" s="432" t="n"/>
      <c r="D16" s="432" t="n"/>
      <c r="E16" s="522">
        <f>INPUT!E54</f>
        <v/>
      </c>
      <c r="F16" s="522">
        <f>INPUT!F54</f>
        <v/>
      </c>
    </row>
    <row r="17" ht="15" customHeight="1">
      <c r="A17" s="3" t="n"/>
      <c r="B17" s="17" t="inlineStr">
        <is>
          <t>Net Income</t>
        </is>
      </c>
      <c r="C17" s="432" t="n"/>
      <c r="D17" s="432" t="n"/>
      <c r="E17" s="522">
        <f>INPUT!E26</f>
        <v/>
      </c>
      <c r="F17" s="522">
        <f>INPUT!F26</f>
        <v/>
      </c>
    </row>
    <row r="18" ht="15" customHeight="1">
      <c r="A18" s="3" t="n"/>
      <c r="B18" s="17" t="inlineStr">
        <is>
          <t>Cash from Operations (CFO)</t>
        </is>
      </c>
      <c r="C18" s="432" t="n"/>
      <c r="D18" s="432" t="n"/>
      <c r="E18" s="522">
        <f>INPUT!E75</f>
        <v/>
      </c>
      <c r="F18" s="522">
        <f>INPUT!F75</f>
        <v/>
      </c>
    </row>
    <row r="19" ht="15" customHeight="1">
      <c r="A19" s="3" t="n"/>
      <c r="B19" s="17" t="inlineStr">
        <is>
          <t>Depreciation &amp; Amortization</t>
        </is>
      </c>
      <c r="C19" s="432" t="n"/>
      <c r="D19" s="432" t="n"/>
      <c r="E19" s="522">
        <f>INPUT!E16</f>
        <v/>
      </c>
      <c r="F19" s="522">
        <f>INPUT!F16</f>
        <v/>
      </c>
    </row>
    <row r="20" ht="15" customHeight="1">
      <c r="A20" s="3" t="n"/>
      <c r="B20" s="17" t="inlineStr">
        <is>
          <t>SG&amp;A Expense</t>
        </is>
      </c>
      <c r="C20" s="432" t="n"/>
      <c r="D20" s="432" t="n"/>
      <c r="E20" s="523">
        <f>ABS(INPUT!E14)</f>
        <v/>
      </c>
      <c r="F20" s="523">
        <f>ABS(INPUT!F14)</f>
        <v/>
      </c>
    </row>
    <row r="21" ht="15" customHeight="1">
      <c r="A21" s="3" t="n"/>
      <c r="B21" s="14" t="n"/>
      <c r="C21" s="429" t="n"/>
      <c r="D21" s="57" t="n"/>
      <c r="E21" s="57" t="n"/>
      <c r="F21" s="57" t="n"/>
    </row>
    <row r="22" ht="18" customHeight="1">
      <c r="A22" s="7" t="inlineStr">
        <is>
          <t xml:space="preserve"> </t>
        </is>
      </c>
      <c r="B22" s="49" t="inlineStr">
        <is>
          <t>8 BENEISH INDICES</t>
        </is>
      </c>
      <c r="C22" s="49" t="n"/>
      <c r="D22" s="49" t="n"/>
      <c r="E22" s="23" t="n"/>
      <c r="F22" s="23" t="n"/>
    </row>
    <row r="23" ht="18" customHeight="1">
      <c r="A23" s="112" t="n"/>
      <c r="B23" s="125" t="n"/>
      <c r="C23" s="137" t="n"/>
      <c r="D23" s="106" t="n"/>
      <c r="E23" s="109" t="n"/>
      <c r="F23" s="109" t="n"/>
    </row>
    <row r="24" ht="15" customHeight="1">
      <c r="A24" s="3" t="n"/>
      <c r="B24" s="17" t="inlineStr">
        <is>
          <t>DSRI — Days Sales Receivable Index</t>
        </is>
      </c>
      <c r="C24" s="432" t="n"/>
      <c r="D24" s="464" t="n"/>
      <c r="F24" s="524">
        <f>IFERROR((INPUT!F35/INPUT!F9)/(INPUT!E35/INPUT!E9),"–")</f>
        <v/>
      </c>
    </row>
    <row r="25" ht="15" customHeight="1">
      <c r="A25" s="3" t="n"/>
      <c r="B25" s="17" t="inlineStr">
        <is>
          <t>GMI — Gross Margin Index</t>
        </is>
      </c>
      <c r="C25" s="432" t="n"/>
      <c r="D25" s="464" t="n"/>
      <c r="F25" s="524">
        <f>IFERROR((E11/E9)/(F11/F9),"–")</f>
        <v/>
      </c>
    </row>
    <row r="26" ht="15" customHeight="1">
      <c r="A26" s="3" t="n"/>
      <c r="B26" s="17" t="inlineStr">
        <is>
          <t>AQI — Asset Quality Index</t>
        </is>
      </c>
      <c r="C26" s="432" t="n"/>
      <c r="D26" s="464" t="n"/>
      <c r="F26" s="524">
        <f>IFERROR((1-(F12+F13)/F14)/(1-(E12+E13)/E14),"–")</f>
        <v/>
      </c>
    </row>
    <row r="27" ht="15" customHeight="1">
      <c r="A27" s="3" t="n"/>
      <c r="B27" s="17" t="inlineStr">
        <is>
          <t>SGI — Sales Growth Index</t>
        </is>
      </c>
      <c r="C27" s="432" t="n"/>
      <c r="D27" s="464" t="n"/>
      <c r="F27" s="524">
        <f>IFERROR(F9/E9,"–")</f>
        <v/>
      </c>
    </row>
    <row r="28" ht="15" customHeight="1">
      <c r="A28" s="3" t="n"/>
      <c r="B28" s="17" t="inlineStr">
        <is>
          <t>DEPI — Depreciation Index</t>
        </is>
      </c>
      <c r="C28" s="432" t="n"/>
      <c r="D28" s="464" t="n"/>
      <c r="F28" s="524">
        <f>IFERROR((E19/(E19+E13))/(F19/(F19+F13)),"–")</f>
        <v/>
      </c>
    </row>
    <row r="29" ht="15" customHeight="1">
      <c r="A29" s="3" t="n"/>
      <c r="B29" s="17" t="inlineStr">
        <is>
          <t>SGAI — SG&amp;A Expense Index</t>
        </is>
      </c>
      <c r="C29" s="432" t="n"/>
      <c r="D29" s="464" t="n"/>
      <c r="F29" s="524">
        <f>IFERROR((F20/F9)/(E20/E9),"–")</f>
        <v/>
      </c>
    </row>
    <row r="30" ht="15" customHeight="1">
      <c r="A30" s="3" t="n"/>
      <c r="B30" s="17" t="inlineStr">
        <is>
          <t>TATA — Total Accruals to Total Assets</t>
        </is>
      </c>
      <c r="C30" s="432" t="n"/>
      <c r="D30" s="464" t="n"/>
      <c r="F30" s="524">
        <f>IFERROR((F17-F18)/F14,"–")</f>
        <v/>
      </c>
    </row>
    <row r="31" ht="15" customHeight="1">
      <c r="A31" s="3" t="n"/>
      <c r="B31" s="17" t="inlineStr">
        <is>
          <t>LVGI — Leverage Index</t>
        </is>
      </c>
      <c r="C31" s="432" t="n"/>
      <c r="D31" s="464" t="n"/>
      <c r="F31" s="525">
        <f>IFERROR(((F16+F15)/F14)/((E16+E15)/E14),"–")</f>
        <v/>
      </c>
    </row>
    <row r="32" ht="15" customHeight="1">
      <c r="A32" s="3" t="n"/>
      <c r="B32" s="14" t="n"/>
      <c r="C32" s="429" t="n"/>
      <c r="D32" s="57" t="n"/>
      <c r="E32" s="57" t="n"/>
      <c r="F32" s="57" t="n"/>
    </row>
    <row r="33" ht="18" customHeight="1">
      <c r="A33" s="7" t="inlineStr">
        <is>
          <t xml:space="preserve"> </t>
        </is>
      </c>
      <c r="B33" s="49" t="inlineStr">
        <is>
          <t>M-SCORE WEIGHTED CALCULATION</t>
        </is>
      </c>
      <c r="C33" s="49" t="n"/>
      <c r="D33" s="49" t="n"/>
      <c r="E33" s="23" t="n"/>
      <c r="F33" s="23" t="n"/>
    </row>
    <row r="34" ht="18" customHeight="1">
      <c r="A34" s="112" t="n"/>
      <c r="B34" s="125" t="n"/>
      <c r="C34" s="137" t="n"/>
      <c r="D34" s="106" t="n"/>
      <c r="E34" s="109" t="n"/>
      <c r="F34" s="109" t="n"/>
    </row>
    <row r="35" ht="15" customHeight="1">
      <c r="A35" s="3" t="n"/>
      <c r="B35" s="17" t="inlineStr">
        <is>
          <t>Constant</t>
        </is>
      </c>
      <c r="C35" s="432" t="n"/>
      <c r="D35" s="464" t="n"/>
      <c r="F35" s="524">
        <f>-4.84</f>
        <v/>
      </c>
    </row>
    <row r="36" ht="15" customHeight="1">
      <c r="A36" s="3" t="n"/>
      <c r="B36" s="17" t="inlineStr">
        <is>
          <t>0.920 × DSRI</t>
        </is>
      </c>
      <c r="C36" s="432" t="n"/>
      <c r="D36" s="464" t="n"/>
      <c r="F36" s="524">
        <f>IFERROR(0.92*F24,"–")</f>
        <v/>
      </c>
    </row>
    <row r="37" ht="15" customHeight="1">
      <c r="A37" s="3" t="n"/>
      <c r="B37" s="17" t="inlineStr">
        <is>
          <t>0.528 × GMI</t>
        </is>
      </c>
      <c r="C37" s="432" t="n"/>
      <c r="D37" s="464" t="n"/>
      <c r="F37" s="524">
        <f>IFERROR(0.528*F25,"–")</f>
        <v/>
      </c>
    </row>
    <row r="38" ht="15" customHeight="1">
      <c r="A38" s="3" t="n"/>
      <c r="B38" s="17" t="inlineStr">
        <is>
          <t>0.404 × AQI</t>
        </is>
      </c>
      <c r="C38" s="432" t="n"/>
      <c r="D38" s="464" t="n"/>
      <c r="F38" s="524">
        <f>IFERROR(0.404*F26,"–")</f>
        <v/>
      </c>
    </row>
    <row r="39" ht="15" customHeight="1">
      <c r="A39" s="3" t="n"/>
      <c r="B39" s="17" t="inlineStr">
        <is>
          <t>0.892 × SGI</t>
        </is>
      </c>
      <c r="C39" s="432" t="n"/>
      <c r="D39" s="464" t="n"/>
      <c r="F39" s="524">
        <f>IFERROR(0.892*F27,"–")</f>
        <v/>
      </c>
    </row>
    <row r="40" ht="15" customHeight="1">
      <c r="A40" s="3" t="n"/>
      <c r="B40" s="17" t="inlineStr">
        <is>
          <t>0.115 × DEPI</t>
        </is>
      </c>
      <c r="C40" s="432" t="n"/>
      <c r="D40" s="464" t="n"/>
      <c r="F40" s="524">
        <f>IFERROR(0.115*F28,"–")</f>
        <v/>
      </c>
    </row>
    <row r="41" ht="15" customHeight="1">
      <c r="A41" s="3" t="n"/>
      <c r="B41" s="17" t="inlineStr">
        <is>
          <t>-0.172 × SGAI</t>
        </is>
      </c>
      <c r="C41" s="432" t="n"/>
      <c r="D41" s="464" t="n"/>
      <c r="F41" s="524">
        <f>IFERROR(-0.172*F29,"–")</f>
        <v/>
      </c>
    </row>
    <row r="42" ht="15" customHeight="1">
      <c r="A42" s="3" t="n"/>
      <c r="B42" s="17" t="inlineStr">
        <is>
          <t>4.679 × TATA</t>
        </is>
      </c>
      <c r="C42" s="432" t="n"/>
      <c r="D42" s="464" t="n"/>
      <c r="F42" s="524">
        <f>IFERROR(4.679*F30,"–")</f>
        <v/>
      </c>
    </row>
    <row r="43" ht="15" customHeight="1">
      <c r="A43" s="3" t="n"/>
      <c r="B43" s="17" t="inlineStr">
        <is>
          <t>-0.327 × LVGI</t>
        </is>
      </c>
      <c r="C43" s="432" t="n"/>
      <c r="D43" s="464" t="n"/>
      <c r="F43" s="525">
        <f>IFERROR(-0.327*F31,"–")</f>
        <v/>
      </c>
    </row>
    <row r="44" ht="15" customHeight="1">
      <c r="A44" s="3" t="n"/>
      <c r="B44" s="14" t="n"/>
      <c r="C44" s="429" t="n"/>
      <c r="D44" s="57" t="n"/>
      <c r="E44" s="57" t="n"/>
      <c r="F44" s="57" t="n"/>
    </row>
    <row r="45" ht="18" customHeight="1">
      <c r="A45" s="7" t="inlineStr">
        <is>
          <t xml:space="preserve"> </t>
        </is>
      </c>
      <c r="B45" s="65" t="inlineStr">
        <is>
          <t>M-SCORE (FINAL)</t>
        </is>
      </c>
      <c r="C45" s="49" t="n"/>
      <c r="D45" s="49" t="n"/>
      <c r="E45" s="49" t="n"/>
      <c r="F45" s="434">
        <f>IFERROR(F35+F36+F37+F38+F39+F40+F41+F42+F43,"–")</f>
        <v/>
      </c>
    </row>
    <row r="46" ht="15" customHeight="1">
      <c r="A46" s="3" t="n"/>
      <c r="B46" s="14" t="n"/>
      <c r="C46" s="429" t="n"/>
      <c r="D46" s="464" t="n"/>
      <c r="E46" s="464" t="n"/>
      <c r="F46" s="22" t="n"/>
    </row>
    <row r="47" ht="18" customHeight="1">
      <c r="A47" s="7" t="inlineStr">
        <is>
          <t xml:space="preserve"> </t>
        </is>
      </c>
      <c r="B47" s="49" t="inlineStr">
        <is>
          <t>INTERPRETATION</t>
        </is>
      </c>
      <c r="C47" s="49" t="n"/>
      <c r="D47" s="49" t="n"/>
      <c r="E47" s="86" t="n"/>
      <c r="F47" s="23" t="n"/>
    </row>
    <row r="48" ht="15" customHeight="1">
      <c r="A48" s="3" t="n"/>
      <c r="B48" s="14" t="inlineStr">
        <is>
          <t>RESULT</t>
        </is>
      </c>
      <c r="C48" s="429" t="n"/>
      <c r="D48" s="466" t="n"/>
      <c r="F48" s="467">
        <f>IF(ISNUMBER(F45),IF(F45&gt;-2.22,"⚠ POSSIBLE MANIPULATOR (M &gt; -2.22)","✓ NOT LIKELY MANIPULATOR (M ≤ -2.22)"),"–")</f>
        <v/>
      </c>
    </row>
    <row r="49" ht="15" customHeight="1">
      <c r="A49" s="3" t="n"/>
      <c r="B49" s="14" t="n"/>
      <c r="C49" s="429" t="n"/>
      <c r="D49" s="57" t="n"/>
      <c r="E49" s="22" t="n"/>
    </row>
    <row r="50" ht="15" customHeight="1">
      <c r="A50" s="3" t="n"/>
      <c r="B50" s="58" t="inlineStr">
        <is>
          <t>NOT LIKELY MANIPULATOR</t>
        </is>
      </c>
      <c r="C50" s="58" t="n"/>
      <c r="D50" s="57" t="n"/>
      <c r="E50" s="57" t="n"/>
      <c r="F50" s="57" t="n"/>
    </row>
    <row r="51" ht="15" customHeight="1">
      <c r="A51" s="3" t="n"/>
      <c r="B51" s="59" t="inlineStr">
        <is>
          <t>POSSIBLE MANIPULATOR</t>
        </is>
      </c>
      <c r="C51" s="59" t="n"/>
      <c r="D51" s="57" t="n"/>
      <c r="E51" s="57" t="n"/>
      <c r="F51" s="57" t="n"/>
    </row>
    <row r="52" ht="15" customHeight="1">
      <c r="A52" s="3" t="n"/>
      <c r="B52" s="14" t="n"/>
      <c r="C52" s="429" t="n"/>
      <c r="D52" s="57" t="n"/>
      <c r="E52" s="22" t="n"/>
      <c r="F52" s="22" t="n"/>
    </row>
    <row r="53" ht="15" customHeight="1">
      <c r="A53" s="3" t="n"/>
      <c r="B53" s="18" t="inlineStr">
        <is>
          <t>NOTE: Beneish M-Score (1999) uses current year (t) vs. prior year (t-1) data. Requires 2+ years of data.</t>
        </is>
      </c>
      <c r="C53" s="433" t="n"/>
      <c r="D53" s="57" t="n"/>
      <c r="E53" s="22" t="n"/>
      <c r="F53" s="22" t="n"/>
    </row>
    <row r="54" ht="15" customHeight="1">
      <c r="A54" s="3" t="n"/>
      <c r="B54" s="14" t="n"/>
      <c r="C54" s="429" t="n"/>
      <c r="D54" s="57" t="n"/>
      <c r="E54" s="22" t="n"/>
      <c r="F54" s="22" t="n"/>
    </row>
    <row r="55" ht="15" customHeight="1">
      <c r="A55" s="4" t="n"/>
      <c r="B55" s="32" t="inlineStr">
        <is>
          <t>© 2015 to 2024 FinSight</t>
        </is>
      </c>
      <c r="C55" s="33" t="n"/>
      <c r="D55" s="33" t="n"/>
      <c r="E55" s="33" t="n"/>
      <c r="F55" s="33" t="n"/>
    </row>
    <row r="56" ht="15" customHeight="1">
      <c r="A56" s="4" t="n"/>
      <c r="B56" s="32" t="inlineStr">
        <is>
          <t>This Excel model is for educational purposes only.</t>
        </is>
      </c>
      <c r="C56" s="33" t="n"/>
      <c r="D56" s="33" t="n"/>
      <c r="E56" s="33" t="n"/>
      <c r="F56" s="33" t="n"/>
    </row>
    <row r="57" ht="15" customHeight="1">
      <c r="A57" s="4" t="n"/>
      <c r="B57" s="32" t="inlineStr">
        <is>
          <t>https://finsight.com/</t>
        </is>
      </c>
      <c r="C57" s="33" t="n"/>
      <c r="D57" s="33" t="n"/>
      <c r="E57" s="33" t="n"/>
      <c r="F57" s="33" t="n"/>
    </row>
    <row r="58" ht="15" customHeight="1">
      <c r="B58" s="47" t="n"/>
      <c r="C58" s="47" t="n"/>
    </row>
    <row r="59" ht="15" customHeight="1">
      <c r="B59" s="47" t="n"/>
      <c r="C59" s="47" t="n"/>
    </row>
    <row r="60" ht="15" customHeight="1">
      <c r="B60" s="47" t="n"/>
      <c r="C60" s="47" t="n"/>
    </row>
    <row r="61" ht="15" customHeight="1">
      <c r="B61" s="47" t="n"/>
      <c r="C61" s="47" t="n"/>
    </row>
    <row r="62" ht="15" customHeight="1">
      <c r="B62" s="47" t="n"/>
      <c r="C62" s="47" t="n"/>
    </row>
    <row r="63" ht="15" customHeight="1">
      <c r="B63" s="47" t="n"/>
      <c r="C63" s="47" t="n"/>
    </row>
    <row r="64" ht="15" customHeight="1">
      <c r="B64" s="47" t="n"/>
      <c r="C64" s="47" t="n"/>
    </row>
    <row r="65" ht="15" customHeight="1">
      <c r="B65" s="47" t="n"/>
      <c r="C65" s="47" t="n"/>
    </row>
    <row r="66" ht="15" customHeight="1">
      <c r="B66" s="47" t="n"/>
      <c r="C66" s="47" t="n"/>
    </row>
    <row r="67" ht="15" customHeight="1">
      <c r="B67" s="47" t="n"/>
      <c r="C67" s="47" t="n"/>
    </row>
    <row r="68" ht="15" customHeight="1">
      <c r="B68" s="47" t="n"/>
      <c r="C68" s="47" t="n"/>
    </row>
    <row r="69" ht="15" customHeight="1">
      <c r="B69" s="47" t="n"/>
      <c r="C69" s="47" t="n"/>
    </row>
    <row r="70" ht="15" customHeight="1">
      <c r="B70" s="47" t="n"/>
      <c r="C70" s="47" t="n"/>
    </row>
    <row r="71" ht="15" customHeight="1">
      <c r="B71" s="47" t="n"/>
      <c r="C71" s="47" t="n"/>
    </row>
    <row r="72" ht="15" customHeight="1">
      <c r="B72" s="47" t="n"/>
      <c r="C72" s="47" t="n"/>
    </row>
    <row r="73" ht="15" customHeight="1">
      <c r="B73" s="47" t="n"/>
      <c r="C73" s="47" t="n"/>
    </row>
    <row r="74" ht="15" customHeight="1">
      <c r="B74" s="47" t="n"/>
      <c r="C74" s="47" t="n"/>
    </row>
    <row r="75" ht="15" customHeight="1">
      <c r="B75" s="47" t="n"/>
      <c r="C75" s="47" t="n"/>
    </row>
    <row r="76" ht="15" customHeight="1">
      <c r="B76" s="47" t="n"/>
      <c r="C76" s="47" t="n"/>
    </row>
    <row r="77" ht="15" customHeight="1">
      <c r="B77" s="47" t="n"/>
      <c r="C77" s="47" t="n"/>
    </row>
    <row r="78" ht="15" customHeight="1">
      <c r="B78" s="47" t="n"/>
      <c r="C78" s="47" t="n"/>
    </row>
    <row r="79" ht="15" customHeight="1">
      <c r="B79" s="47" t="n"/>
      <c r="C79" s="47" t="n"/>
    </row>
    <row r="80" ht="15" customHeight="1">
      <c r="B80" s="47" t="n"/>
      <c r="C80" s="47" t="n"/>
    </row>
    <row r="81" ht="15" customHeight="1">
      <c r="B81" s="47" t="n"/>
      <c r="C81" s="47" t="n"/>
    </row>
    <row r="82" ht="15" customHeight="1">
      <c r="B82" s="47" t="n"/>
      <c r="C82" s="47" t="n"/>
    </row>
    <row r="83" ht="15" customHeight="1">
      <c r="B83" s="47" t="n"/>
      <c r="C83" s="47" t="n"/>
    </row>
    <row r="84" ht="15" customHeight="1">
      <c r="B84" s="47" t="n"/>
      <c r="C84" s="47" t="n"/>
    </row>
    <row r="85" ht="15" customHeight="1">
      <c r="B85" s="47" t="n"/>
      <c r="C85" s="47" t="n"/>
    </row>
    <row r="86" ht="15" customHeight="1">
      <c r="B86" s="47" t="n"/>
      <c r="C86" s="47" t="n"/>
    </row>
    <row r="87" ht="15" customHeight="1">
      <c r="B87" s="47" t="n"/>
      <c r="C87" s="47" t="n"/>
    </row>
    <row r="88" ht="15" customHeight="1">
      <c r="B88" s="47" t="n"/>
      <c r="C88" s="47" t="n"/>
    </row>
    <row r="89" ht="15" customHeight="1">
      <c r="B89" s="47" t="n"/>
      <c r="C89" s="47" t="n"/>
    </row>
    <row r="90" ht="15" customHeight="1">
      <c r="B90" s="47" t="n"/>
      <c r="C90" s="47" t="n"/>
    </row>
    <row r="91" ht="15" customHeight="1">
      <c r="B91" s="47" t="n"/>
      <c r="C91" s="47" t="n"/>
    </row>
    <row r="92" ht="15" customHeight="1">
      <c r="B92" s="47" t="n"/>
      <c r="C92" s="47" t="n"/>
    </row>
    <row r="93" ht="15" customHeight="1">
      <c r="B93" s="47" t="n"/>
      <c r="C93" s="47" t="n"/>
    </row>
    <row r="94" ht="15" customHeight="1">
      <c r="B94" s="47" t="n"/>
      <c r="C94" s="47" t="n"/>
    </row>
    <row r="95" ht="15" customHeight="1">
      <c r="B95" s="47" t="n"/>
      <c r="C95" s="47" t="n"/>
    </row>
    <row r="96" ht="15" customHeight="1">
      <c r="B96" s="47" t="n"/>
      <c r="C96" s="47" t="n"/>
    </row>
    <row r="97" ht="15" customHeight="1">
      <c r="B97" s="47" t="n"/>
      <c r="C97" s="47" t="n"/>
    </row>
    <row r="98" ht="15" customHeight="1">
      <c r="B98" s="47" t="n"/>
      <c r="C98" s="47" t="n"/>
    </row>
    <row r="99" ht="15" customHeight="1">
      <c r="B99" s="47" t="n"/>
      <c r="C99" s="47" t="n"/>
    </row>
    <row r="100" ht="15" customHeight="1">
      <c r="B100" s="47" t="n"/>
      <c r="C100" s="47" t="n"/>
    </row>
    <row r="101" ht="15" customHeight="1">
      <c r="B101" s="47" t="n"/>
      <c r="C101" s="47" t="n"/>
    </row>
    <row r="102" ht="15" customHeight="1">
      <c r="B102" s="47" t="n"/>
      <c r="C102" s="47" t="n"/>
    </row>
    <row r="103" ht="15" customHeight="1">
      <c r="B103" s="47" t="n"/>
      <c r="C103" s="47" t="n"/>
    </row>
    <row r="104" ht="15" customHeight="1">
      <c r="B104" s="47" t="n"/>
      <c r="C104" s="47" t="n"/>
    </row>
    <row r="105" ht="15" customHeight="1">
      <c r="B105" s="47" t="n"/>
      <c r="C105" s="47" t="n"/>
    </row>
    <row r="106" ht="15" customHeight="1">
      <c r="B106" s="47" t="n"/>
      <c r="C106" s="47" t="n"/>
    </row>
    <row r="107" ht="15" customHeight="1">
      <c r="B107" s="47" t="n"/>
      <c r="C107" s="47" t="n"/>
    </row>
    <row r="108" ht="15" customHeight="1">
      <c r="B108" s="47" t="n"/>
      <c r="C108" s="47" t="n"/>
    </row>
    <row r="109" ht="15" customHeight="1">
      <c r="B109" s="47" t="n"/>
      <c r="C109" s="47" t="n"/>
    </row>
    <row r="110" ht="15" customHeight="1">
      <c r="B110" s="47" t="n"/>
      <c r="C110" s="47" t="n"/>
    </row>
    <row r="111" ht="15" customHeight="1">
      <c r="B111" s="47" t="n"/>
      <c r="C111" s="47" t="n"/>
    </row>
    <row r="112" ht="15" customHeight="1">
      <c r="B112" s="47" t="n"/>
      <c r="C112" s="47" t="n"/>
    </row>
    <row r="113" ht="15" customHeight="1">
      <c r="B113" s="47" t="n"/>
      <c r="C113" s="47" t="n"/>
    </row>
    <row r="114" ht="15" customHeight="1">
      <c r="B114" s="47" t="n"/>
      <c r="C114" s="47" t="n"/>
    </row>
    <row r="115" ht="15" customHeight="1">
      <c r="B115" s="47" t="n"/>
      <c r="C115" s="47" t="n"/>
    </row>
    <row r="116" ht="15" customHeight="1">
      <c r="B116" s="47" t="n"/>
      <c r="C116" s="47" t="n"/>
    </row>
    <row r="117" ht="15" customHeight="1">
      <c r="B117" s="47" t="n"/>
      <c r="C117" s="47" t="n"/>
    </row>
    <row r="118" ht="15" customHeight="1">
      <c r="B118" s="47" t="n"/>
      <c r="C118" s="47" t="n"/>
    </row>
    <row r="119" ht="15" customHeight="1">
      <c r="B119" s="47" t="n"/>
      <c r="C119" s="47" t="n"/>
    </row>
    <row r="120" ht="15" customHeight="1">
      <c r="B120" s="47" t="n"/>
      <c r="C120" s="47" t="n"/>
    </row>
    <row r="121" ht="15" customHeight="1">
      <c r="B121" s="47" t="n"/>
      <c r="C121" s="47" t="n"/>
    </row>
    <row r="122" ht="15" customHeight="1">
      <c r="B122" s="47" t="n"/>
      <c r="C122" s="47" t="n"/>
    </row>
    <row r="123" ht="15" customHeight="1">
      <c r="B123" s="47" t="n"/>
      <c r="C123" s="47" t="n"/>
    </row>
  </sheetData>
  <mergeCells count="19">
    <mergeCell ref="D40:E40"/>
    <mergeCell ref="D36:E36"/>
    <mergeCell ref="D31:E31"/>
    <mergeCell ref="D27:E27"/>
    <mergeCell ref="D41:E41"/>
    <mergeCell ref="D48:E48"/>
    <mergeCell ref="D43:E43"/>
    <mergeCell ref="D37:E37"/>
    <mergeCell ref="D28:E28"/>
    <mergeCell ref="D39:E39"/>
    <mergeCell ref="D25:E25"/>
    <mergeCell ref="F48:F49"/>
    <mergeCell ref="D24:E24"/>
    <mergeCell ref="D30:E30"/>
    <mergeCell ref="D42:E42"/>
    <mergeCell ref="D29:E29"/>
    <mergeCell ref="D38:E38"/>
    <mergeCell ref="D26:E26"/>
    <mergeCell ref="D35:E35"/>
  </mergeCells>
  <printOptions horizontalCentered="1"/>
  <pageMargins left="0.005555555555555556" right="0.005555555555555556" top="0.006944444444444444" bottom="0.006944444444444444" header="0.002777777777777778" footer="0.002777777777777778"/>
  <pageSetup orientation="portrait" paperSize="9" scale="84"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Q124"/>
  <sheetViews>
    <sheetView showGridLines="0" topLeftCell="A24" zoomScale="85" zoomScaleNormal="85" workbookViewId="0">
      <selection activeCell="Q46" sqref="Q46"/>
    </sheetView>
  </sheetViews>
  <sheetFormatPr baseColWidth="10" defaultRowHeight="15"/>
  <cols>
    <col width="11" customWidth="1" min="1" max="1"/>
    <col width="49.5703125" customWidth="1" style="19" min="2" max="2"/>
    <col width="10.85546875" customWidth="1" min="3" max="3"/>
    <col width="11" customWidth="1" style="465" min="4" max="5"/>
    <col width="11.7109375" bestFit="1" customWidth="1" style="465" min="6" max="6"/>
    <col width="11" customWidth="1" style="465" min="7" max="14"/>
  </cols>
  <sheetData>
    <row r="1" ht="54.95" customHeight="1">
      <c r="A1" s="6" t="n"/>
      <c r="B1" s="104" t="inlineStr">
        <is>
          <t>FinSight</t>
        </is>
      </c>
      <c r="C1" s="5" t="n"/>
      <c r="D1" s="5" t="n"/>
      <c r="E1" s="29" t="n"/>
      <c r="F1" s="29" t="n"/>
      <c r="G1" s="29" t="n"/>
      <c r="H1" s="29" t="n"/>
      <c r="I1" s="29" t="n"/>
      <c r="J1" s="29" t="n"/>
      <c r="K1" s="103" t="inlineStr">
        <is>
          <t>DCF — Discounted Cash Flow Valuation</t>
        </is>
      </c>
      <c r="L1" s="29" t="n"/>
      <c r="M1" s="29" t="n"/>
      <c r="N1" s="29" t="n"/>
    </row>
    <row r="2" ht="15" customHeight="1">
      <c r="A2" s="3" t="n"/>
      <c r="B2" s="14" t="n"/>
      <c r="C2" s="3" t="n"/>
      <c r="D2" s="3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</row>
    <row r="3" ht="18" customHeight="1">
      <c r="A3" s="7" t="inlineStr">
        <is>
          <t xml:space="preserve"> </t>
        </is>
      </c>
      <c r="B3" s="15" t="inlineStr">
        <is>
          <t>DCF</t>
        </is>
      </c>
      <c r="C3" s="7" t="n"/>
      <c r="D3" s="7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</row>
    <row r="4" ht="15" customHeight="1">
      <c r="A4" s="3" t="inlineStr">
        <is>
          <t xml:space="preserve"> </t>
        </is>
      </c>
      <c r="B4" s="12" t="inlineStr">
        <is>
          <t>All figures in USD thousands unless stated</t>
        </is>
      </c>
      <c r="C4" s="3" t="n"/>
      <c r="D4" s="3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</row>
    <row r="5" ht="15" customHeight="1">
      <c r="A5" s="1" t="inlineStr">
        <is>
          <t xml:space="preserve"> </t>
        </is>
      </c>
      <c r="B5" s="16" t="inlineStr">
        <is>
          <t>METRIC</t>
        </is>
      </c>
      <c r="C5" s="1" t="inlineStr">
        <is>
          <t>(Units)</t>
        </is>
      </c>
      <c r="D5" s="1">
        <f>IF(INPUT!D5="","",INPUT!D5)</f>
        <v/>
      </c>
      <c r="E5" s="24">
        <f>IF(INPUT!E5="","",INPUT!E5)</f>
        <v/>
      </c>
      <c r="F5" s="24">
        <f>IF(INPUT!F5="","",INPUT!F5)</f>
        <v/>
      </c>
      <c r="G5" s="24">
        <f>IF(INPUT!G5="","",INPUT!G5)</f>
        <v/>
      </c>
      <c r="H5" s="24">
        <f>IF(INPUT!H5="","",INPUT!H5)</f>
        <v/>
      </c>
      <c r="I5" s="24">
        <f>TEXT(INPUT!D117+1,"0")&amp;"F"</f>
        <v/>
      </c>
      <c r="J5" s="24">
        <f>TEXT(INPUT!D117+2,"0")&amp;"F"</f>
        <v/>
      </c>
      <c r="K5" s="24">
        <f>TEXT(INPUT!D117+3,"0")&amp;"F"</f>
        <v/>
      </c>
      <c r="L5" s="24">
        <f>TEXT(INPUT!D117+4,"0")&amp;"F"</f>
        <v/>
      </c>
      <c r="M5" s="24">
        <f>TEXT(INPUT!D117+5,"0")&amp;"F"</f>
        <v/>
      </c>
      <c r="N5" s="24" t="inlineStr">
        <is>
          <t>Terminal</t>
        </is>
      </c>
    </row>
    <row r="6" ht="15" customHeight="1">
      <c r="A6" s="3" t="n"/>
      <c r="B6" s="14" t="n"/>
      <c r="C6" s="3" t="n"/>
      <c r="D6" s="3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</row>
    <row r="7" ht="18" customHeight="1">
      <c r="A7" s="7" t="inlineStr">
        <is>
          <t xml:space="preserve"> </t>
        </is>
      </c>
      <c r="B7" s="15" t="inlineStr">
        <is>
          <t>INCOME STATEMENT</t>
        </is>
      </c>
      <c r="C7" s="7" t="n"/>
      <c r="D7" s="7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</row>
    <row r="8" ht="18" customHeight="1">
      <c r="A8" s="128" t="n"/>
      <c r="B8" s="129" t="n"/>
      <c r="C8" s="128" t="n"/>
      <c r="D8" s="345" t="n"/>
      <c r="E8" s="130" t="n"/>
      <c r="F8" s="130" t="n"/>
      <c r="G8" s="130" t="n"/>
      <c r="H8" s="130" t="n"/>
      <c r="I8" s="130" t="n"/>
      <c r="J8" s="130" t="n"/>
      <c r="K8" s="130" t="n"/>
      <c r="L8" s="130" t="n"/>
      <c r="M8" s="130" t="n"/>
      <c r="N8" s="130" t="n"/>
    </row>
    <row r="9" ht="15" customHeight="1">
      <c r="A9" s="3" t="n"/>
      <c r="B9" s="17" t="inlineStr">
        <is>
          <t>Revenue</t>
        </is>
      </c>
      <c r="C9" s="526" t="n"/>
      <c r="D9" s="527">
        <f>INPUT!D9</f>
        <v/>
      </c>
      <c r="E9" s="528">
        <f>INPUT!E9</f>
        <v/>
      </c>
      <c r="F9" s="528">
        <f>INPUT!F9</f>
        <v/>
      </c>
      <c r="G9" s="528">
        <f>INPUT!G9</f>
        <v/>
      </c>
      <c r="H9" s="528">
        <f>IF(INPUT!H9&lt;&gt;"",INPUT!H9,INPUT!G9)</f>
        <v/>
      </c>
      <c r="I9" s="529">
        <f>H9*(1+$I$29)</f>
        <v/>
      </c>
      <c r="J9" s="529">
        <f>I9*(1+$I$29)</f>
        <v/>
      </c>
      <c r="K9" s="529">
        <f>J9*(1+$I$29)</f>
        <v/>
      </c>
      <c r="L9" s="530">
        <f>K9*(1+$I$29)</f>
        <v/>
      </c>
      <c r="M9" s="530">
        <f>L9*(1+$I$29)</f>
        <v/>
      </c>
      <c r="N9" s="531" t="n"/>
    </row>
    <row r="10" ht="15" customHeight="1">
      <c r="A10" s="3" t="n"/>
      <c r="B10" s="17" t="inlineStr">
        <is>
          <t>Cost of Goods Sold</t>
        </is>
      </c>
      <c r="C10" s="526" t="n"/>
      <c r="D10" s="527">
        <f>INPUT!D10</f>
        <v/>
      </c>
      <c r="E10" s="532">
        <f>INPUT!E10</f>
        <v/>
      </c>
      <c r="F10" s="532">
        <f>INPUT!F10</f>
        <v/>
      </c>
      <c r="G10" s="533">
        <f>INPUT!G10</f>
        <v/>
      </c>
      <c r="H10" s="533">
        <f>IF(INPUT!H10&lt;&gt;"",INPUT!H10,INPUT!G10)</f>
        <v/>
      </c>
      <c r="I10" s="533">
        <f>-I9*(1-$I$30)</f>
        <v/>
      </c>
      <c r="J10" s="533">
        <f>-J9*(1-$I$30)</f>
        <v/>
      </c>
      <c r="K10" s="533">
        <f>-K9*(1-$I$30)</f>
        <v/>
      </c>
      <c r="L10" s="534">
        <f>-L9*(1-$I$30)</f>
        <v/>
      </c>
      <c r="M10" s="534">
        <f>-M9*(1-$I$30)</f>
        <v/>
      </c>
      <c r="N10" s="531" t="n"/>
    </row>
    <row r="11" ht="15" customHeight="1">
      <c r="A11" s="3" t="n"/>
      <c r="B11" s="54" t="inlineStr">
        <is>
          <t>Gross Profit</t>
        </is>
      </c>
      <c r="C11" s="535" t="n"/>
      <c r="D11" s="536">
        <f>SUM(D9:D10)</f>
        <v/>
      </c>
      <c r="E11" s="537">
        <f>SUM(E9:E10)</f>
        <v/>
      </c>
      <c r="F11" s="537">
        <f>SUM(F9:F10)</f>
        <v/>
      </c>
      <c r="G11" s="512">
        <f>SUM(G9:G10)</f>
        <v/>
      </c>
      <c r="H11" s="512">
        <f>SUM(H9:H10)</f>
        <v/>
      </c>
      <c r="I11" s="512">
        <f>SUM(I9:I10)</f>
        <v/>
      </c>
      <c r="J11" s="512">
        <f>SUM(J9:J10)</f>
        <v/>
      </c>
      <c r="K11" s="512">
        <f>SUM(K9:K10)</f>
        <v/>
      </c>
      <c r="L11" s="538">
        <f>SUM(L9:L10)</f>
        <v/>
      </c>
      <c r="M11" s="538">
        <f>SUM(M9:M10)</f>
        <v/>
      </c>
      <c r="N11" s="539" t="n"/>
    </row>
    <row r="12" ht="15" customHeight="1">
      <c r="A12" s="133" t="n"/>
      <c r="B12" s="134" t="n"/>
      <c r="C12" s="540" t="n"/>
      <c r="D12" s="541" t="n"/>
      <c r="E12" s="542" t="n"/>
      <c r="F12" s="542" t="n"/>
      <c r="G12" s="542" t="n"/>
      <c r="H12" s="542" t="n"/>
      <c r="I12" s="542" t="n"/>
      <c r="J12" s="542" t="n"/>
      <c r="K12" s="542" t="n"/>
      <c r="L12" s="136" t="n"/>
      <c r="M12" s="136" t="n"/>
      <c r="N12" s="136" t="n"/>
    </row>
    <row r="13" ht="15" customHeight="1">
      <c r="A13" s="3" t="n"/>
      <c r="B13" s="17" t="inlineStr">
        <is>
          <t>SG&amp;A Expenses</t>
        </is>
      </c>
      <c r="C13" s="526" t="n"/>
      <c r="D13" s="527">
        <f>INPUT!D14</f>
        <v/>
      </c>
      <c r="E13" s="528">
        <f>INPUT!E14</f>
        <v/>
      </c>
      <c r="F13" s="528">
        <f>INPUT!F14</f>
        <v/>
      </c>
      <c r="G13" s="529">
        <f>INPUT!G14</f>
        <v/>
      </c>
      <c r="H13" s="529">
        <f>IF(INPUT!H14&lt;&gt;"",INPUT!H14,INPUT!G14)</f>
        <v/>
      </c>
      <c r="I13" s="529">
        <f>-I9*$I$31</f>
        <v/>
      </c>
      <c r="J13" s="529">
        <f>-J9*$I$31</f>
        <v/>
      </c>
      <c r="K13" s="529">
        <f>-K9*$I$31</f>
        <v/>
      </c>
      <c r="L13" s="530">
        <f>-L9*$I$31</f>
        <v/>
      </c>
      <c r="M13" s="530">
        <f>-M9*$I$31</f>
        <v/>
      </c>
      <c r="N13" s="531" t="n"/>
    </row>
    <row r="14" ht="15" customHeight="1">
      <c r="A14" s="3" t="n"/>
      <c r="B14" s="17" t="inlineStr">
        <is>
          <t>Research &amp; Development</t>
        </is>
      </c>
      <c r="C14" s="526" t="n"/>
      <c r="D14" s="527">
        <f>INPUT!D15</f>
        <v/>
      </c>
      <c r="E14" s="532">
        <f>INPUT!E15</f>
        <v/>
      </c>
      <c r="F14" s="532">
        <f>INPUT!F15</f>
        <v/>
      </c>
      <c r="G14" s="533">
        <f>INPUT!G15</f>
        <v/>
      </c>
      <c r="H14" s="533">
        <f>IF(INPUT!H15&lt;&gt;"",INPUT!H15,INPUT!G15)</f>
        <v/>
      </c>
      <c r="I14" s="533">
        <f>-I9*$I$32</f>
        <v/>
      </c>
      <c r="J14" s="533">
        <f>-J9*$I$32</f>
        <v/>
      </c>
      <c r="K14" s="533">
        <f>-K9*$I$32</f>
        <v/>
      </c>
      <c r="L14" s="534">
        <f>-L9*$I$32</f>
        <v/>
      </c>
      <c r="M14" s="534">
        <f>-M9*$I$32</f>
        <v/>
      </c>
      <c r="N14" s="531" t="n"/>
    </row>
    <row r="15" ht="15" customHeight="1">
      <c r="A15" s="3" t="n"/>
      <c r="B15" s="54" t="inlineStr">
        <is>
          <t>EBITDA</t>
        </is>
      </c>
      <c r="C15" s="535" t="n"/>
      <c r="D15" s="536">
        <f>INPUT!D30</f>
        <v/>
      </c>
      <c r="E15" s="537">
        <f>INPUT!E30</f>
        <v/>
      </c>
      <c r="F15" s="537">
        <f>INPUT!F30</f>
        <v/>
      </c>
      <c r="G15" s="512">
        <f>INPUT!G30</f>
        <v/>
      </c>
      <c r="H15" s="512">
        <f>IF(INPUT!H30&lt;&gt;"",INPUT!H30,INPUT!G30)</f>
        <v/>
      </c>
      <c r="I15" s="512">
        <f>I11+I13+I14</f>
        <v/>
      </c>
      <c r="J15" s="512">
        <f>J11+J13+J14</f>
        <v/>
      </c>
      <c r="K15" s="512">
        <f>K11+K13+K14</f>
        <v/>
      </c>
      <c r="L15" s="538">
        <f>L11+L13+L14</f>
        <v/>
      </c>
      <c r="M15" s="538">
        <f>M11+M13+M14</f>
        <v/>
      </c>
      <c r="N15" s="539" t="n"/>
    </row>
    <row r="16" ht="15" customHeight="1">
      <c r="A16" s="133" t="n"/>
      <c r="B16" s="134" t="n"/>
      <c r="C16" s="540" t="n"/>
      <c r="D16" s="541" t="n"/>
      <c r="E16" s="542" t="n"/>
      <c r="F16" s="542" t="n"/>
      <c r="G16" s="542" t="n"/>
      <c r="H16" s="542" t="n"/>
      <c r="I16" s="542" t="n"/>
      <c r="J16" s="542" t="n"/>
      <c r="K16" s="542" t="n"/>
      <c r="L16" s="136" t="n"/>
      <c r="M16" s="136" t="n"/>
      <c r="N16" s="136" t="n"/>
    </row>
    <row r="17" ht="15" customHeight="1">
      <c r="A17" s="3" t="n"/>
      <c r="B17" s="17" t="inlineStr">
        <is>
          <t>Depreciation &amp; Amortization</t>
        </is>
      </c>
      <c r="C17" s="526" t="n"/>
      <c r="D17" s="527">
        <f>INPUT!D16</f>
        <v/>
      </c>
      <c r="E17" s="532">
        <f>INPUT!E16</f>
        <v/>
      </c>
      <c r="F17" s="532">
        <f>INPUT!F16</f>
        <v/>
      </c>
      <c r="G17" s="533">
        <f>INPUT!G16</f>
        <v/>
      </c>
      <c r="H17" s="533">
        <f>IF(INPUT!H16&lt;&gt;"",INPUT!H16,INPUT!G16)</f>
        <v/>
      </c>
      <c r="I17" s="533">
        <f>-I9*$I$33</f>
        <v/>
      </c>
      <c r="J17" s="533">
        <f>-J9*$I$33</f>
        <v/>
      </c>
      <c r="K17" s="533">
        <f>-K9*$I$33</f>
        <v/>
      </c>
      <c r="L17" s="534">
        <f>-L9*$I$33</f>
        <v/>
      </c>
      <c r="M17" s="534">
        <f>-M9*$I$33</f>
        <v/>
      </c>
      <c r="N17" s="531" t="n"/>
    </row>
    <row r="18" ht="15" customHeight="1">
      <c r="A18" s="3" t="n"/>
      <c r="B18" s="54" t="inlineStr">
        <is>
          <t>EBIT (Operating Profit)</t>
        </is>
      </c>
      <c r="C18" s="535" t="n"/>
      <c r="D18" s="536">
        <f>D15+D17</f>
        <v/>
      </c>
      <c r="E18" s="537">
        <f>E15+E17</f>
        <v/>
      </c>
      <c r="F18" s="537">
        <f>F15+F17</f>
        <v/>
      </c>
      <c r="G18" s="512">
        <f>G15+G17</f>
        <v/>
      </c>
      <c r="H18" s="512">
        <f>H15+H17</f>
        <v/>
      </c>
      <c r="I18" s="512">
        <f>I15+I17</f>
        <v/>
      </c>
      <c r="J18" s="512">
        <f>J15+J17</f>
        <v/>
      </c>
      <c r="K18" s="512">
        <f>K15+K17</f>
        <v/>
      </c>
      <c r="L18" s="538">
        <f>L15+L17</f>
        <v/>
      </c>
      <c r="M18" s="538">
        <f>M15+M17</f>
        <v/>
      </c>
      <c r="N18" s="539" t="n"/>
    </row>
    <row r="19" ht="15" customHeight="1">
      <c r="A19" s="133" t="n"/>
      <c r="B19" s="134" t="n"/>
      <c r="C19" s="540" t="n"/>
      <c r="D19" s="541" t="n"/>
      <c r="E19" s="542" t="n"/>
      <c r="F19" s="542" t="n"/>
      <c r="G19" s="542" t="n"/>
      <c r="H19" s="542" t="n"/>
      <c r="I19" s="542" t="n"/>
      <c r="J19" s="542" t="n"/>
      <c r="K19" s="542" t="n"/>
      <c r="L19" s="136" t="n"/>
      <c r="M19" s="136" t="n"/>
      <c r="N19" s="136" t="n"/>
    </row>
    <row r="20" ht="15" customHeight="1">
      <c r="A20" s="3" t="n"/>
      <c r="B20" s="17" t="inlineStr">
        <is>
          <t>Interest Expense</t>
        </is>
      </c>
      <c r="C20" s="526" t="n"/>
      <c r="D20" s="527">
        <f>INPUT!D20</f>
        <v/>
      </c>
      <c r="E20" s="532">
        <f>INPUT!E20</f>
        <v/>
      </c>
      <c r="F20" s="532">
        <f>INPUT!F20</f>
        <v/>
      </c>
      <c r="G20" s="533">
        <f>INPUT!G20</f>
        <v/>
      </c>
      <c r="H20" s="533">
        <f>IF(INPUT!H20&lt;&gt;"",INPUT!H20,INPUT!G20)</f>
        <v/>
      </c>
      <c r="I20" s="533">
        <f>-I18*(INPUT!H103)/(1-$I$34)</f>
        <v/>
      </c>
      <c r="J20" s="533">
        <f>-J18*(INPUT!H103)/(1-$I$34)</f>
        <v/>
      </c>
      <c r="K20" s="533">
        <f>-K18*(INPUT!H103)/(1-$I$34)</f>
        <v/>
      </c>
      <c r="L20" s="534">
        <f>-L18*(INPUT!H103)/(1-$I$34)</f>
        <v/>
      </c>
      <c r="M20" s="534">
        <f>-M18*(INPUT!H103)/(1-$I$34)</f>
        <v/>
      </c>
      <c r="N20" s="531" t="n"/>
    </row>
    <row r="21" ht="15" customHeight="1">
      <c r="A21" s="3" t="n"/>
      <c r="B21" s="54" t="inlineStr">
        <is>
          <t>Earnings Before Tax (EBT)</t>
        </is>
      </c>
      <c r="C21" s="535" t="n"/>
      <c r="D21" s="536">
        <f>D18+D20</f>
        <v/>
      </c>
      <c r="E21" s="537">
        <f>E18+E20</f>
        <v/>
      </c>
      <c r="F21" s="537">
        <f>F18+F20</f>
        <v/>
      </c>
      <c r="G21" s="512">
        <f>G18+G20</f>
        <v/>
      </c>
      <c r="H21" s="512">
        <f>H18+H20</f>
        <v/>
      </c>
      <c r="I21" s="512">
        <f>I18+I20</f>
        <v/>
      </c>
      <c r="J21" s="512">
        <f>J18+J20</f>
        <v/>
      </c>
      <c r="K21" s="512">
        <f>K18+K20</f>
        <v/>
      </c>
      <c r="L21" s="538">
        <f>L18+L20</f>
        <v/>
      </c>
      <c r="M21" s="538">
        <f>M18+M20</f>
        <v/>
      </c>
      <c r="N21" s="539" t="n"/>
    </row>
    <row r="22" ht="15" customHeight="1">
      <c r="A22" s="133" t="n"/>
      <c r="B22" s="134" t="n"/>
      <c r="C22" s="540" t="n"/>
      <c r="D22" s="541" t="n"/>
      <c r="E22" s="542" t="n"/>
      <c r="F22" s="542" t="n"/>
      <c r="G22" s="542" t="n"/>
      <c r="H22" s="542" t="n"/>
      <c r="I22" s="542" t="n"/>
      <c r="J22" s="542" t="n"/>
      <c r="K22" s="542" t="n"/>
      <c r="L22" s="136" t="n"/>
      <c r="M22" s="136" t="n"/>
      <c r="N22" s="136" t="n"/>
    </row>
    <row r="23" ht="15" customHeight="1">
      <c r="A23" s="3" t="n"/>
      <c r="B23" s="17" t="inlineStr">
        <is>
          <t>Income Taxes</t>
        </is>
      </c>
      <c r="C23" s="526" t="n"/>
      <c r="D23" s="527">
        <f>INPUT!D24</f>
        <v/>
      </c>
      <c r="E23" s="528">
        <f>INPUT!E24</f>
        <v/>
      </c>
      <c r="F23" s="528">
        <f>INPUT!F24</f>
        <v/>
      </c>
      <c r="G23" s="529">
        <f>INPUT!G24</f>
        <v/>
      </c>
      <c r="H23" s="529">
        <f>IF(INPUT!H24&lt;&gt;"",INPUT!H24,INPUT!G24)</f>
        <v/>
      </c>
      <c r="I23" s="529">
        <f>-I21*$I$34</f>
        <v/>
      </c>
      <c r="J23" s="529">
        <f>-J21*$I$34</f>
        <v/>
      </c>
      <c r="K23" s="529">
        <f>-K21*$I$34</f>
        <v/>
      </c>
      <c r="L23" s="530">
        <f>-L21*$I$34</f>
        <v/>
      </c>
      <c r="M23" s="530">
        <f>-M21*$I$34</f>
        <v/>
      </c>
      <c r="N23" s="531" t="n"/>
    </row>
    <row r="24" ht="15" customHeight="1" thickBot="1">
      <c r="A24" s="3" t="n"/>
      <c r="B24" s="54" t="inlineStr">
        <is>
          <t>Net Income</t>
        </is>
      </c>
      <c r="C24" s="535" t="n"/>
      <c r="D24" s="536">
        <f>D21+D23</f>
        <v/>
      </c>
      <c r="E24" s="543">
        <f>E21+E23</f>
        <v/>
      </c>
      <c r="F24" s="543">
        <f>F21+F23</f>
        <v/>
      </c>
      <c r="G24" s="544">
        <f>G21+G23</f>
        <v/>
      </c>
      <c r="H24" s="544">
        <f>H21+H23</f>
        <v/>
      </c>
      <c r="I24" s="544">
        <f>I21+I23</f>
        <v/>
      </c>
      <c r="J24" s="544">
        <f>J21+J23</f>
        <v/>
      </c>
      <c r="K24" s="544">
        <f>K21+K23</f>
        <v/>
      </c>
      <c r="L24" s="545">
        <f>L21+L23</f>
        <v/>
      </c>
      <c r="M24" s="545">
        <f>M21+M23</f>
        <v/>
      </c>
      <c r="N24" s="539" t="n"/>
    </row>
    <row r="25" ht="15" customHeight="1">
      <c r="A25" s="3" t="n"/>
      <c r="B25" s="14" t="n"/>
      <c r="C25" s="9" t="n"/>
      <c r="D25" s="9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</row>
    <row r="26" ht="18" customHeight="1">
      <c r="A26" s="7" t="inlineStr">
        <is>
          <t xml:space="preserve"> </t>
        </is>
      </c>
      <c r="B26" s="49" t="inlineStr">
        <is>
          <t>ASSUMPTIONS &amp; DRIVERS</t>
        </is>
      </c>
      <c r="C26" s="44" t="n"/>
      <c r="D26" s="44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 ht="15" customHeight="1">
      <c r="A27" s="3" t="n"/>
      <c r="B27" s="17" t="inlineStr">
        <is>
          <t>All figures in USD thousands unless stated</t>
        </is>
      </c>
      <c r="C27" s="9" t="n"/>
      <c r="D27" s="9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</row>
    <row r="28" ht="15" customHeight="1">
      <c r="A28" s="1" t="inlineStr">
        <is>
          <t xml:space="preserve"> </t>
        </is>
      </c>
      <c r="B28" s="87" t="inlineStr">
        <is>
          <t>INCOME STATEMENT DRIVERS</t>
        </is>
      </c>
      <c r="C28" s="88" t="n"/>
      <c r="D28" s="88" t="n"/>
      <c r="E28" s="1" t="n"/>
      <c r="F28" s="1" t="n"/>
      <c r="G28" s="24" t="n"/>
      <c r="H28" s="24" t="n"/>
      <c r="I28" s="24">
        <f>TEXT(INPUT!D117+1,"0")&amp;"F"</f>
        <v/>
      </c>
      <c r="J28" s="24">
        <f>TEXT(INPUT!D117+2,"0")&amp;"F"</f>
        <v/>
      </c>
      <c r="K28" s="24">
        <f>TEXT(INPUT!D117+3,"0")&amp;"F"</f>
        <v/>
      </c>
      <c r="L28" s="24">
        <f>TEXT(INPUT!D117+4,"0")&amp;"F"</f>
        <v/>
      </c>
      <c r="M28" s="24">
        <f>TEXT(INPUT!D117+5,"0")&amp;"F"</f>
        <v/>
      </c>
      <c r="N28" s="213" t="n"/>
    </row>
    <row r="29" ht="15" customHeight="1">
      <c r="A29" s="3" t="n"/>
      <c r="B29" s="17" t="inlineStr">
        <is>
          <t>Revenue Growth Rate (YoY)</t>
        </is>
      </c>
      <c r="C29" s="9" t="n"/>
      <c r="D29" s="346">
        <f>IFERROR(IF(NOT(ISBLANK(INPUT!H9)),INPUT!H9/INPUT!G9-1,IF(NOT(ISBLANK(INPUT!G9)),INPUT!G9/INPUT!F9-1,IF(NOT(ISBLANK(INPUT!F9)),INPUT!F9/INPUT!E9-1,IF(NOT(ISBLANK(INPUT!E9)),INPUT!E9/INPUT!D9-1,0.05)))),0.05)</f>
        <v/>
      </c>
      <c r="E29" s="546">
        <f>I29</f>
        <v/>
      </c>
      <c r="F29" s="546">
        <f>I29</f>
        <v/>
      </c>
      <c r="G29" s="547" t="n"/>
      <c r="H29" s="547" t="n"/>
      <c r="I29" s="548">
        <f>IFERROR(AVERAGE(IF(ISNUMBER(RATIOS!F51),RATIOS!F51,0),IF(ISNUMBER(RATIOS!G51),RATIOS!G51,0),IF(ISNUMBER(RATIOS!H51),RATIOS!H51,0)),0.05)</f>
        <v/>
      </c>
      <c r="J29" s="549">
        <f>I29</f>
        <v/>
      </c>
      <c r="K29" s="549">
        <f>I29</f>
        <v/>
      </c>
      <c r="L29" s="550">
        <f>I29</f>
        <v/>
      </c>
      <c r="M29" s="550">
        <f>I29</f>
        <v/>
      </c>
      <c r="N29" s="551" t="n"/>
    </row>
    <row r="30" ht="15" customHeight="1">
      <c r="A30" s="3" t="n"/>
      <c r="B30" s="17" t="inlineStr">
        <is>
          <t>Gross Margin</t>
        </is>
      </c>
      <c r="C30" s="9" t="n"/>
      <c r="D30" s="346">
        <f>IFERROR(INPUT!H11/INPUT!H9,0.4)</f>
        <v/>
      </c>
      <c r="E30" s="546">
        <f>I30</f>
        <v/>
      </c>
      <c r="F30" s="546">
        <f>I30</f>
        <v/>
      </c>
      <c r="G30" s="547" t="n"/>
      <c r="H30" s="547" t="n"/>
      <c r="I30" s="548">
        <f>IFERROR(AVERAGE(IF(INPUT!E9&lt;&gt;0,INPUT!E11/INPUT!E9),IF(INPUT!F9&lt;&gt;0,INPUT!F11/INPUT!F9),IF(INPUT!G9&lt;&gt;0,INPUT!G11/INPUT!G9),IF(INPUT!H9&lt;&gt;0,INPUT!H11/INPUT!H9)),0.4)</f>
        <v/>
      </c>
      <c r="J30" s="549">
        <f>I30</f>
        <v/>
      </c>
      <c r="K30" s="549">
        <f>I30</f>
        <v/>
      </c>
      <c r="L30" s="550">
        <f>I30</f>
        <v/>
      </c>
      <c r="M30" s="550">
        <f>I30</f>
        <v/>
      </c>
      <c r="N30" s="551" t="n"/>
    </row>
    <row r="31" ht="15" customHeight="1">
      <c r="A31" s="3" t="n"/>
      <c r="B31" s="17" t="inlineStr">
        <is>
          <t>SG&amp;A (% of Revenue)</t>
        </is>
      </c>
      <c r="C31" s="9" t="n"/>
      <c r="D31" s="346">
        <f>IFERROR(ABS(INPUT!H14)/INPUT!H9,0.15)</f>
        <v/>
      </c>
      <c r="E31" s="546">
        <f>I31</f>
        <v/>
      </c>
      <c r="F31" s="546">
        <f>I31</f>
        <v/>
      </c>
      <c r="G31" s="547" t="n"/>
      <c r="H31" s="547" t="n"/>
      <c r="I31" s="548">
        <f>IFERROR(AVERAGE(IF(INPUT!E9&lt;&gt;0,ABS(INPUT!E14)/INPUT!E9),IF(INPUT!F9&lt;&gt;0,ABS(INPUT!F14)/INPUT!F9),IF(INPUT!G9&lt;&gt;0,ABS(INPUT!G14)/INPUT!G9),IF(INPUT!H9&lt;&gt;0,ABS(INPUT!H14)/INPUT!H9)),0.15)</f>
        <v/>
      </c>
      <c r="J31" s="549">
        <f>I31</f>
        <v/>
      </c>
      <c r="K31" s="549">
        <f>I31</f>
        <v/>
      </c>
      <c r="L31" s="550">
        <f>I31</f>
        <v/>
      </c>
      <c r="M31" s="550">
        <f>I31</f>
        <v/>
      </c>
      <c r="N31" s="551" t="n"/>
    </row>
    <row r="32" ht="15" customHeight="1">
      <c r="A32" s="3" t="n"/>
      <c r="B32" s="17" t="inlineStr">
        <is>
          <t>R&amp;D (% of Revenue)</t>
        </is>
      </c>
      <c r="C32" s="9" t="n"/>
      <c r="D32" s="346">
        <f>IFERROR(ABS(INPUT!H15)/INPUT!H9,0.05)</f>
        <v/>
      </c>
      <c r="E32" s="546">
        <f>I32</f>
        <v/>
      </c>
      <c r="F32" s="546">
        <f>I32</f>
        <v/>
      </c>
      <c r="G32" s="547" t="n"/>
      <c r="H32" s="547" t="n"/>
      <c r="I32" s="548">
        <f>IFERROR(AVERAGE(IF(INPUT!E9&lt;&gt;0,ABS(INPUT!E15)/INPUT!E9),IF(INPUT!F9&lt;&gt;0,ABS(INPUT!F15)/INPUT!F9),IF(INPUT!G9&lt;&gt;0,ABS(INPUT!G15)/INPUT!G9),IF(INPUT!H9&lt;&gt;0,ABS(INPUT!H15)/INPUT!H9)),0.05)</f>
        <v/>
      </c>
      <c r="J32" s="549">
        <f>I32</f>
        <v/>
      </c>
      <c r="K32" s="549">
        <f>I32</f>
        <v/>
      </c>
      <c r="L32" s="550">
        <f>I32</f>
        <v/>
      </c>
      <c r="M32" s="550">
        <f>I32</f>
        <v/>
      </c>
      <c r="N32" s="551" t="n"/>
    </row>
    <row r="33" ht="15" customHeight="1">
      <c r="A33" s="3" t="n"/>
      <c r="B33" s="17" t="inlineStr">
        <is>
          <t>D&amp;A (% of Revenue)</t>
        </is>
      </c>
      <c r="C33" s="9" t="n"/>
      <c r="D33" s="346">
        <f>IFERROR(ABS(INPUT!H16)/INPUT!H9,0.04)</f>
        <v/>
      </c>
      <c r="E33" s="546">
        <f>I33</f>
        <v/>
      </c>
      <c r="F33" s="546">
        <f>I33</f>
        <v/>
      </c>
      <c r="G33" s="547" t="n"/>
      <c r="H33" s="547" t="n"/>
      <c r="I33" s="548">
        <f>IFERROR(AVERAGE(IF(INPUT!E9&lt;&gt;0,ABS(INPUT!E16)/INPUT!E9),IF(INPUT!F9&lt;&gt;0,ABS(INPUT!F16)/INPUT!F9),IF(INPUT!G9&lt;&gt;0,ABS(INPUT!G16)/INPUT!G9),IF(INPUT!H9&lt;&gt;0,ABS(INPUT!H16)/INPUT!H9)),0.04)</f>
        <v/>
      </c>
      <c r="J33" s="549">
        <f>I33</f>
        <v/>
      </c>
      <c r="K33" s="549">
        <f>I33</f>
        <v/>
      </c>
      <c r="L33" s="550">
        <f>I33</f>
        <v/>
      </c>
      <c r="M33" s="550">
        <f>I33</f>
        <v/>
      </c>
      <c r="N33" s="551" t="n"/>
    </row>
    <row r="34" ht="15" customHeight="1">
      <c r="A34" s="3" t="n"/>
      <c r="B34" s="17" t="inlineStr">
        <is>
          <t>Effective Tax Rate</t>
        </is>
      </c>
      <c r="C34" s="9" t="n"/>
      <c r="D34" s="346">
        <f>IFERROR(INPUT!H104,0.21)</f>
        <v/>
      </c>
      <c r="E34" s="546">
        <f>I34</f>
        <v/>
      </c>
      <c r="F34" s="546">
        <f>I34</f>
        <v/>
      </c>
      <c r="G34" s="547" t="n"/>
      <c r="H34" s="547" t="n"/>
      <c r="I34" s="548">
        <f>IFERROR(AVERAGEIF(INPUT!E104:H104,"&lt;&gt;0"),0.21)</f>
        <v/>
      </c>
      <c r="J34" s="549">
        <f>I34</f>
        <v/>
      </c>
      <c r="K34" s="549">
        <f>I34</f>
        <v/>
      </c>
      <c r="L34" s="550">
        <f>I34</f>
        <v/>
      </c>
      <c r="M34" s="550">
        <f>I34</f>
        <v/>
      </c>
      <c r="N34" s="551" t="n"/>
    </row>
    <row r="35" ht="15" customHeight="1">
      <c r="A35" s="3" t="n"/>
      <c r="B35" s="14" t="n"/>
      <c r="C35" s="9" t="n"/>
      <c r="D35" s="9" t="n"/>
      <c r="E35" s="466" t="n"/>
      <c r="F35" s="466" t="n"/>
      <c r="G35" s="22" t="n"/>
      <c r="H35" s="22" t="n"/>
      <c r="I35" s="22" t="n"/>
      <c r="J35" s="22" t="n"/>
      <c r="K35" s="22" t="n"/>
      <c r="L35" s="22" t="n"/>
      <c r="M35" s="22" t="n"/>
      <c r="N35" s="22" t="n"/>
    </row>
    <row r="36" ht="18" customHeight="1">
      <c r="A36" s="7" t="inlineStr">
        <is>
          <t xml:space="preserve"> </t>
        </is>
      </c>
      <c r="B36" s="49" t="inlineStr">
        <is>
          <t>BALANCE SHEET / CASH FLOW DRIVERS</t>
        </is>
      </c>
      <c r="C36" s="44" t="n"/>
      <c r="D36" s="44" t="n"/>
      <c r="E36" s="44" t="n"/>
      <c r="F36" s="44" t="n"/>
      <c r="G36" s="23" t="n"/>
      <c r="H36" s="23" t="n"/>
      <c r="I36" s="23" t="n"/>
      <c r="J36" s="23" t="n"/>
      <c r="K36" s="23" t="n"/>
      <c r="L36" s="23" t="n"/>
      <c r="M36" s="23" t="n"/>
      <c r="N36" s="23" t="n"/>
    </row>
    <row r="37" ht="15" customHeight="1">
      <c r="A37" s="3" t="n"/>
      <c r="B37" s="17" t="inlineStr">
        <is>
          <t>CapEx (% of Revenue)</t>
        </is>
      </c>
      <c r="C37" s="9" t="n"/>
      <c r="D37" s="346">
        <f>IFERROR(ABS(INPUT!H78)/INPUT!H9,0.05)</f>
        <v/>
      </c>
      <c r="E37" s="546">
        <f>I37</f>
        <v/>
      </c>
      <c r="F37" s="546">
        <f>I37</f>
        <v/>
      </c>
      <c r="G37" s="547" t="n"/>
      <c r="H37" s="547" t="n"/>
      <c r="I37" s="548">
        <f>IFERROR(AVERAGE(IF(INPUT!E9&lt;&gt;0,ABS(INPUT!E78)/INPUT!E9),IF(INPUT!F9&lt;&gt;0,ABS(INPUT!F78)/INPUT!F9),IF(INPUT!G9&lt;&gt;0,ABS(INPUT!G78)/INPUT!G9),IF(INPUT!H9&lt;&gt;0,ABS(INPUT!H78)/INPUT!H9)),0.05)</f>
        <v/>
      </c>
      <c r="J37" s="549">
        <f>I37</f>
        <v/>
      </c>
      <c r="K37" s="549">
        <f>I37</f>
        <v/>
      </c>
      <c r="L37" s="550">
        <f>I37</f>
        <v/>
      </c>
      <c r="M37" s="550">
        <f>I37</f>
        <v/>
      </c>
      <c r="N37" s="551" t="n"/>
    </row>
    <row r="38" ht="15" customHeight="1">
      <c r="A38" s="3" t="n"/>
      <c r="B38" s="17" t="inlineStr">
        <is>
          <t>Change in NWC (% of Revenue Change)</t>
        </is>
      </c>
      <c r="C38" s="9" t="n"/>
      <c r="D38" s="346">
        <f>IFERROR(ABS((INPUT!H71+INPUT!H72+INPUT!H73)/INPUT!H9),0.1)</f>
        <v/>
      </c>
      <c r="E38" s="546">
        <f>I38</f>
        <v/>
      </c>
      <c r="F38" s="546">
        <f>I38</f>
        <v/>
      </c>
      <c r="G38" s="547" t="n"/>
      <c r="H38" s="547" t="n"/>
      <c r="I38" s="548">
        <f>IFERROR(AVERAGE(IF(INPUT!E9&lt;&gt;0,ABS((INPUT!E71+INPUT!E72+INPUT!E73)/INPUT!E9)),IF(INPUT!F9&lt;&gt;0,ABS((INPUT!F71+INPUT!F72+INPUT!F73)/INPUT!F9)),IF(INPUT!G9&lt;&gt;0,ABS((INPUT!G71+INPUT!G72+INPUT!G73)/INPUT!G9)),IF(INPUT!H9&lt;&gt;0,ABS((INPUT!H71+INPUT!H72+INPUT!H73)/INPUT!H9))),0.1)</f>
        <v/>
      </c>
      <c r="J38" s="549">
        <f>I38</f>
        <v/>
      </c>
      <c r="K38" s="549">
        <f>I38</f>
        <v/>
      </c>
      <c r="L38" s="550">
        <f>I38</f>
        <v/>
      </c>
      <c r="M38" s="550">
        <f>I38</f>
        <v/>
      </c>
      <c r="N38" s="551" t="n"/>
    </row>
    <row r="39" ht="15" customHeight="1">
      <c r="A39" s="3" t="n"/>
      <c r="B39" s="17" t="n"/>
      <c r="C39" s="9" t="n"/>
      <c r="D39" s="9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</row>
    <row r="40" ht="18" customHeight="1">
      <c r="A40" s="7" t="n"/>
      <c r="B40" s="49" t="inlineStr">
        <is>
          <t>FREE CASH FLOW CALCULATION</t>
        </is>
      </c>
      <c r="C40" s="44" t="n"/>
      <c r="D40" s="44" t="n"/>
      <c r="E40" s="23" t="n"/>
      <c r="F40" s="23" t="n"/>
      <c r="G40" s="23" t="n"/>
      <c r="H40" s="23" t="n"/>
      <c r="I40" s="23" t="n"/>
      <c r="J40" s="23" t="n"/>
      <c r="K40" s="23" t="n"/>
      <c r="L40" s="23" t="n"/>
      <c r="M40" s="23" t="n"/>
      <c r="N40" s="23" t="n"/>
    </row>
    <row r="41" ht="18" customHeight="1">
      <c r="A41" s="127" t="n"/>
      <c r="B41" s="137" t="n"/>
      <c r="C41" s="138" t="n"/>
      <c r="D41" s="138" t="n"/>
      <c r="E41" s="106" t="n"/>
      <c r="F41" s="106" t="n"/>
      <c r="G41" s="106" t="n"/>
      <c r="H41" s="106" t="n"/>
      <c r="I41" s="106" t="n"/>
      <c r="J41" s="106" t="n"/>
      <c r="K41" s="106" t="n"/>
      <c r="L41" s="106" t="n"/>
      <c r="M41" s="106" t="n"/>
      <c r="N41" s="106" t="n"/>
    </row>
    <row r="42" ht="15" customHeight="1">
      <c r="A42" s="3" t="n"/>
      <c r="B42" s="17" t="inlineStr">
        <is>
          <t>EBIT</t>
        </is>
      </c>
      <c r="C42" s="526" t="n"/>
      <c r="D42" s="527">
        <f>D18</f>
        <v/>
      </c>
      <c r="E42" s="528">
        <f>E18</f>
        <v/>
      </c>
      <c r="F42" s="528">
        <f>F18</f>
        <v/>
      </c>
      <c r="G42" s="529">
        <f>G18</f>
        <v/>
      </c>
      <c r="H42" s="529">
        <f>H18</f>
        <v/>
      </c>
      <c r="I42" s="529">
        <f>I18</f>
        <v/>
      </c>
      <c r="J42" s="529">
        <f>J18</f>
        <v/>
      </c>
      <c r="K42" s="529">
        <f>K18</f>
        <v/>
      </c>
      <c r="L42" s="530">
        <f>L18</f>
        <v/>
      </c>
      <c r="M42" s="530">
        <f>M18</f>
        <v/>
      </c>
      <c r="N42" s="531" t="n"/>
    </row>
    <row r="43" ht="15" customHeight="1">
      <c r="A43" s="3" t="n"/>
      <c r="B43" s="17" t="inlineStr">
        <is>
          <t>(-) Taxes on EBIT (Unlevered)</t>
        </is>
      </c>
      <c r="C43" s="526" t="n"/>
      <c r="D43" s="527">
        <f>D18*(-INPUT!D104)</f>
        <v/>
      </c>
      <c r="E43" s="532">
        <f>E18*(-INPUT!E104)</f>
        <v/>
      </c>
      <c r="F43" s="532">
        <f>F18*(-INPUT!F104)</f>
        <v/>
      </c>
      <c r="G43" s="533">
        <f>G18*(-INPUT!G104)</f>
        <v/>
      </c>
      <c r="H43" s="533">
        <f>H18*(-INPUT!H104)</f>
        <v/>
      </c>
      <c r="I43" s="533">
        <f>I18*(-$I$34)</f>
        <v/>
      </c>
      <c r="J43" s="533">
        <f>J18*(-$I$34)</f>
        <v/>
      </c>
      <c r="K43" s="533">
        <f>K18*(-$I$34)</f>
        <v/>
      </c>
      <c r="L43" s="534">
        <f>L18*(-$I$34)</f>
        <v/>
      </c>
      <c r="M43" s="534">
        <f>M18*(-$I$34)</f>
        <v/>
      </c>
      <c r="N43" s="531" t="n"/>
    </row>
    <row r="44" ht="15" customHeight="1">
      <c r="A44" s="3" t="n"/>
      <c r="B44" s="54" t="inlineStr">
        <is>
          <t>NOPAT (Net Operating Profit After Tax)</t>
        </is>
      </c>
      <c r="C44" s="535" t="n"/>
      <c r="D44" s="536">
        <f>D42+D43</f>
        <v/>
      </c>
      <c r="E44" s="537">
        <f>E42+E43</f>
        <v/>
      </c>
      <c r="F44" s="537">
        <f>F42+F43</f>
        <v/>
      </c>
      <c r="G44" s="512">
        <f>G42+G43</f>
        <v/>
      </c>
      <c r="H44" s="512">
        <f>H42+H43</f>
        <v/>
      </c>
      <c r="I44" s="512">
        <f>I42+I43</f>
        <v/>
      </c>
      <c r="J44" s="512">
        <f>J42+J43</f>
        <v/>
      </c>
      <c r="K44" s="512">
        <f>K42+K43</f>
        <v/>
      </c>
      <c r="L44" s="538">
        <f>L42+L43</f>
        <v/>
      </c>
      <c r="M44" s="538">
        <f>M42+M43</f>
        <v/>
      </c>
      <c r="N44" s="539" t="n"/>
    </row>
    <row r="45" ht="15" customHeight="1">
      <c r="A45" s="71" t="n"/>
      <c r="B45" s="131" t="n"/>
      <c r="C45" s="552" t="n"/>
      <c r="D45" s="552" t="n"/>
      <c r="E45" s="553" t="n"/>
      <c r="F45" s="553" t="n"/>
      <c r="G45" s="554" t="n"/>
      <c r="H45" s="554" t="n"/>
      <c r="I45" s="554" t="n"/>
      <c r="J45" s="554" t="n"/>
      <c r="K45" s="554" t="n"/>
      <c r="L45" s="62" t="n"/>
      <c r="M45" s="62" t="n"/>
      <c r="N45" s="62" t="n"/>
    </row>
    <row r="46" ht="15" customHeight="1">
      <c r="A46" s="3" t="n"/>
      <c r="B46" s="17" t="inlineStr">
        <is>
          <t>(+) Depreciation &amp; Amortization</t>
        </is>
      </c>
      <c r="C46" s="526" t="n"/>
      <c r="D46" s="527">
        <f>ABS(D17)</f>
        <v/>
      </c>
      <c r="E46" s="528">
        <f>ABS(E17)</f>
        <v/>
      </c>
      <c r="F46" s="528">
        <f>ABS(F17)</f>
        <v/>
      </c>
      <c r="G46" s="529">
        <f>ABS(G17)</f>
        <v/>
      </c>
      <c r="H46" s="529">
        <f>ABS(H17)</f>
        <v/>
      </c>
      <c r="I46" s="529">
        <f>ABS(I17)</f>
        <v/>
      </c>
      <c r="J46" s="529">
        <f>ABS(J17)</f>
        <v/>
      </c>
      <c r="K46" s="529">
        <f>ABS(K17)</f>
        <v/>
      </c>
      <c r="L46" s="530">
        <f>ABS(L17)</f>
        <v/>
      </c>
      <c r="M46" s="530">
        <f>ABS(M17)</f>
        <v/>
      </c>
      <c r="N46" s="531" t="n"/>
    </row>
    <row r="47" ht="15" customHeight="1">
      <c r="A47" s="3" t="n"/>
      <c r="B47" s="17" t="inlineStr">
        <is>
          <t>(-) Capital Expenditures (CapEx)</t>
        </is>
      </c>
      <c r="C47" s="526" t="n"/>
      <c r="D47" s="527">
        <f>INPUT!D78</f>
        <v/>
      </c>
      <c r="E47" s="528">
        <f>INPUT!E78</f>
        <v/>
      </c>
      <c r="F47" s="528">
        <f>INPUT!F78</f>
        <v/>
      </c>
      <c r="G47" s="529">
        <f>INPUT!G78</f>
        <v/>
      </c>
      <c r="H47" s="529">
        <f>IF(INPUT!H78&lt;&gt;"",INPUT!H78,INPUT!G78)</f>
        <v/>
      </c>
      <c r="I47" s="529">
        <f>-I9*$I$37</f>
        <v/>
      </c>
      <c r="J47" s="529">
        <f>-J9*$I$37</f>
        <v/>
      </c>
      <c r="K47" s="529">
        <f>-K9*$I$37</f>
        <v/>
      </c>
      <c r="L47" s="530">
        <f>-L9*$I$37</f>
        <v/>
      </c>
      <c r="M47" s="530">
        <f>-M9*$I$37</f>
        <v/>
      </c>
      <c r="N47" s="531" t="n"/>
    </row>
    <row r="48" ht="15" customHeight="1">
      <c r="A48" s="3" t="n"/>
      <c r="B48" s="17" t="inlineStr">
        <is>
          <t>(-) Change in Working Capital</t>
        </is>
      </c>
      <c r="C48" s="526" t="n"/>
      <c r="D48" s="527">
        <f>INPUT!D70+INPUT!D71+INPUT!D72+INPUT!D73</f>
        <v/>
      </c>
      <c r="E48" s="528">
        <f>INPUT!E70+INPUT!E71+INPUT!E72+INPUT!E73</f>
        <v/>
      </c>
      <c r="F48" s="528">
        <f>INPUT!F70+INPUT!F71+INPUT!F72+INPUT!F73</f>
        <v/>
      </c>
      <c r="G48" s="529">
        <f>INPUT!G70+INPUT!G71+INPUT!G72+INPUT!G73</f>
        <v/>
      </c>
      <c r="H48" s="529">
        <f>IF(INPUT!H70&lt;&gt;"",INPUT!H70,INPUT!G70)+IF(INPUT!H71&lt;&gt;"",INPUT!H71,INPUT!G71)+IF(INPUT!H72&lt;&gt;"",INPUT!H72,INPUT!G72)+IF(INPUT!H73&lt;&gt;"",INPUT!H73,INPUT!G73)</f>
        <v/>
      </c>
      <c r="I48" s="529">
        <f>-(I9-H9)*$I$38</f>
        <v/>
      </c>
      <c r="J48" s="529">
        <f>-(J9-I9)*$I$38</f>
        <v/>
      </c>
      <c r="K48" s="529">
        <f>-(K9-J9)*$I$38</f>
        <v/>
      </c>
      <c r="L48" s="530">
        <f>-(L9-K9)*$I$38</f>
        <v/>
      </c>
      <c r="M48" s="530">
        <f>-(M9-L9)*$I$38</f>
        <v/>
      </c>
      <c r="N48" s="531" t="n"/>
    </row>
    <row r="49" ht="15" customHeight="1" thickBot="1">
      <c r="A49" s="71" t="n"/>
      <c r="B49" s="82" t="inlineStr">
        <is>
          <t>Unlevered Free Cash Flow (UFCF)</t>
        </is>
      </c>
      <c r="C49" s="552" t="n"/>
      <c r="D49" s="555">
        <f>D44+D46+D47+D48</f>
        <v/>
      </c>
      <c r="E49" s="543">
        <f>E44+E46+E47+E48</f>
        <v/>
      </c>
      <c r="F49" s="543">
        <f>F44+F46+F47+F48</f>
        <v/>
      </c>
      <c r="G49" s="544">
        <f>G44+G46+G47+G48</f>
        <v/>
      </c>
      <c r="H49" s="544">
        <f>H44+H46+H47+H48</f>
        <v/>
      </c>
      <c r="I49" s="544">
        <f>I44+I46+I47+I48</f>
        <v/>
      </c>
      <c r="J49" s="544">
        <f>J44+J46+J47+J48</f>
        <v/>
      </c>
      <c r="K49" s="544">
        <f>K44+K46+K47+K48</f>
        <v/>
      </c>
      <c r="L49" s="545">
        <f>L44+L46+L47+L48</f>
        <v/>
      </c>
      <c r="M49" s="545">
        <f>M44+M46+M47+M48</f>
        <v/>
      </c>
      <c r="N49" s="556" t="n"/>
    </row>
    <row r="50" ht="15" customHeight="1">
      <c r="A50" s="3" t="n"/>
      <c r="B50" s="14" t="n"/>
      <c r="C50" s="9" t="n"/>
      <c r="D50" s="9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</row>
    <row r="51" ht="18" customHeight="1">
      <c r="A51" s="7" t="n"/>
      <c r="B51" s="49" t="inlineStr">
        <is>
          <t>WACC CALCULATION (Capital Asset Pricing Model)</t>
        </is>
      </c>
      <c r="C51" s="44" t="n"/>
      <c r="D51" s="44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353" t="n"/>
    </row>
    <row r="52" ht="18" customHeight="1">
      <c r="A52" s="127" t="n"/>
      <c r="B52" s="137" t="n"/>
      <c r="C52" s="138" t="n"/>
      <c r="D52" s="138" t="n"/>
      <c r="E52" s="106" t="n"/>
      <c r="F52" s="106" t="n"/>
      <c r="G52" s="106" t="n"/>
      <c r="H52" s="106" t="n"/>
      <c r="J52" s="106" t="n"/>
      <c r="K52" s="106" t="n"/>
      <c r="L52" s="106" t="n"/>
      <c r="M52" s="106" t="n"/>
      <c r="N52" s="106" t="n"/>
    </row>
    <row r="53" ht="15" customHeight="1">
      <c r="A53" s="3" t="n"/>
      <c r="B53" s="17" t="inlineStr">
        <is>
          <t>Risk-Free Rate (Rf)</t>
        </is>
      </c>
      <c r="C53" s="9" t="n"/>
      <c r="D53" s="346">
        <f>INPUT!H100</f>
        <v/>
      </c>
      <c r="E53" s="329" t="n"/>
      <c r="F53" s="329" t="n"/>
      <c r="G53" s="329" t="n"/>
      <c r="H53" s="329" t="n"/>
      <c r="J53" s="329" t="n"/>
      <c r="K53" s="329" t="n"/>
      <c r="L53" s="329" t="n"/>
      <c r="M53" s="329" t="n"/>
      <c r="N53" s="355">
        <f>D53</f>
        <v/>
      </c>
    </row>
    <row r="54" ht="15" customHeight="1">
      <c r="A54" s="3" t="n"/>
      <c r="B54" s="17" t="inlineStr">
        <is>
          <t>Beta (Levered)</t>
        </is>
      </c>
      <c r="C54" s="9" t="n"/>
      <c r="D54" s="346">
        <f>INPUT!H99</f>
        <v/>
      </c>
      <c r="E54" s="329" t="n"/>
      <c r="F54" s="329" t="n"/>
      <c r="G54" s="329" t="n"/>
      <c r="H54" s="329" t="n"/>
      <c r="J54" s="329" t="n"/>
      <c r="K54" s="329" t="n"/>
      <c r="L54" s="329" t="n"/>
      <c r="M54" s="329" t="n"/>
      <c r="N54" s="557">
        <f>D54</f>
        <v/>
      </c>
    </row>
    <row r="55" ht="15" customHeight="1">
      <c r="A55" s="3" t="n"/>
      <c r="B55" s="17" t="inlineStr">
        <is>
          <t>Equity Risk Premium (ERP)</t>
        </is>
      </c>
      <c r="C55" s="9" t="n"/>
      <c r="D55" s="346">
        <f>INPUT!H101</f>
        <v/>
      </c>
      <c r="E55" s="329" t="n"/>
      <c r="F55" s="329" t="n"/>
      <c r="G55" s="329" t="n"/>
      <c r="H55" s="329" t="n"/>
      <c r="J55" s="329" t="n"/>
      <c r="K55" s="329" t="n"/>
      <c r="L55" s="329" t="n"/>
      <c r="M55" s="329" t="n"/>
      <c r="N55" s="355">
        <f>D55</f>
        <v/>
      </c>
    </row>
    <row r="56" ht="15" customHeight="1">
      <c r="A56" s="3" t="n"/>
      <c r="B56" s="54" t="inlineStr">
        <is>
          <t>Cost of Equity (CAPM)</t>
        </is>
      </c>
      <c r="C56" s="11" t="n"/>
      <c r="D56" s="347">
        <f>D53+D54*D55</f>
        <v/>
      </c>
      <c r="E56" s="330" t="n"/>
      <c r="F56" s="330" t="n"/>
      <c r="G56" s="330" t="n"/>
      <c r="H56" s="330" t="n"/>
      <c r="J56" s="330" t="n"/>
      <c r="K56" s="330" t="n"/>
      <c r="L56" s="330" t="n"/>
      <c r="M56" s="330" t="n"/>
      <c r="N56" s="357">
        <f>D56</f>
        <v/>
      </c>
    </row>
    <row r="57" ht="15" customHeight="1">
      <c r="A57" s="3" t="n"/>
      <c r="B57" s="17" t="n"/>
      <c r="C57" s="9" t="n"/>
      <c r="D57" s="9" t="n"/>
      <c r="E57" s="22" t="n"/>
      <c r="F57" s="22" t="n"/>
      <c r="G57" s="22" t="n"/>
      <c r="H57" s="22" t="n"/>
      <c r="J57" s="22" t="n"/>
      <c r="K57" s="22" t="n"/>
      <c r="L57" s="22" t="n"/>
      <c r="M57" s="22" t="n"/>
      <c r="N57" s="57" t="n"/>
    </row>
    <row r="58" ht="15" customHeight="1">
      <c r="A58" s="3" t="n"/>
      <c r="B58" s="17" t="inlineStr">
        <is>
          <t>Target Equity Weight (We)</t>
        </is>
      </c>
      <c r="C58" s="9" t="n"/>
      <c r="D58" s="346">
        <f>INPUT!H106</f>
        <v/>
      </c>
      <c r="E58" s="329" t="n"/>
      <c r="F58" s="329" t="n"/>
      <c r="G58" s="329" t="n"/>
      <c r="H58" s="329" t="n"/>
      <c r="J58" s="329" t="n"/>
      <c r="K58" s="329" t="n"/>
      <c r="L58" s="329" t="n"/>
      <c r="M58" s="329" t="n"/>
      <c r="N58" s="558">
        <f>D58</f>
        <v/>
      </c>
    </row>
    <row r="59" ht="15" customHeight="1">
      <c r="A59" s="3" t="n"/>
      <c r="B59" s="17" t="inlineStr">
        <is>
          <t>Target Debt Weight (Wd)</t>
        </is>
      </c>
      <c r="C59" s="9" t="n"/>
      <c r="D59" s="346">
        <f>INPUT!H107</f>
        <v/>
      </c>
      <c r="E59" s="329" t="n"/>
      <c r="F59" s="329" t="n"/>
      <c r="G59" s="329" t="n"/>
      <c r="H59" s="329" t="n"/>
      <c r="J59" s="329" t="n"/>
      <c r="K59" s="329" t="n"/>
      <c r="L59" s="329" t="n"/>
      <c r="M59" s="329" t="n"/>
      <c r="N59" s="558">
        <f>D59</f>
        <v/>
      </c>
    </row>
    <row r="60" ht="15" customHeight="1">
      <c r="A60" s="3" t="n"/>
      <c r="B60" s="17" t="inlineStr">
        <is>
          <t>Pre-Tax Cost of Debt (Kd)</t>
        </is>
      </c>
      <c r="C60" s="9" t="n"/>
      <c r="D60" s="346">
        <f>INPUT!H103</f>
        <v/>
      </c>
      <c r="E60" s="329" t="n"/>
      <c r="F60" s="329" t="n"/>
      <c r="G60" s="329" t="n"/>
      <c r="H60" s="329" t="n"/>
      <c r="J60" s="329" t="n"/>
      <c r="K60" s="329" t="n"/>
      <c r="L60" s="329" t="n"/>
      <c r="M60" s="329" t="n"/>
      <c r="N60" s="355">
        <f>D60</f>
        <v/>
      </c>
    </row>
    <row r="61" ht="15" customHeight="1">
      <c r="A61" s="3" t="n"/>
      <c r="B61" s="17" t="inlineStr">
        <is>
          <t>Tax Rate</t>
        </is>
      </c>
      <c r="C61" s="9" t="n"/>
      <c r="D61" s="346">
        <f>INPUT!H104</f>
        <v/>
      </c>
      <c r="E61" s="329" t="n"/>
      <c r="F61" s="329" t="n"/>
      <c r="G61" s="329" t="n"/>
      <c r="H61" s="329" t="n"/>
      <c r="J61" s="329" t="n"/>
      <c r="K61" s="329" t="n"/>
      <c r="L61" s="329" t="n"/>
      <c r="M61" s="329" t="n"/>
      <c r="N61" s="558">
        <f>D61</f>
        <v/>
      </c>
    </row>
    <row r="62" ht="15" customHeight="1">
      <c r="A62" s="3" t="n"/>
      <c r="B62" s="17" t="inlineStr">
        <is>
          <t>After-Tax Cost of Debt</t>
        </is>
      </c>
      <c r="C62" s="9" t="n"/>
      <c r="D62" s="346">
        <f>D60*(1-D61)</f>
        <v/>
      </c>
      <c r="E62" s="329" t="n"/>
      <c r="F62" s="329" t="n"/>
      <c r="G62" s="329" t="n"/>
      <c r="H62" s="329" t="n"/>
      <c r="J62" s="329" t="n"/>
      <c r="K62" s="329" t="n"/>
      <c r="L62" s="329" t="n"/>
      <c r="M62" s="329" t="n"/>
      <c r="N62" s="355">
        <f>D62</f>
        <v/>
      </c>
    </row>
    <row r="63" ht="15" customHeight="1">
      <c r="A63" s="3" t="n"/>
      <c r="B63" s="51" t="inlineStr">
        <is>
          <t>WACC</t>
        </is>
      </c>
      <c r="C63" s="11" t="n"/>
      <c r="D63" s="347">
        <f>D58*D56+D62*D59</f>
        <v/>
      </c>
      <c r="E63" s="330" t="n"/>
      <c r="F63" s="330" t="n"/>
      <c r="G63" s="330" t="n"/>
      <c r="H63" s="330" t="n"/>
      <c r="J63" s="330" t="n"/>
      <c r="K63" s="330" t="n"/>
      <c r="L63" s="330" t="n"/>
      <c r="M63" s="330" t="n"/>
      <c r="N63" s="359">
        <f>D63</f>
        <v/>
      </c>
    </row>
    <row r="64" ht="15" customHeight="1">
      <c r="A64" s="3" t="n"/>
      <c r="B64" s="14" t="n"/>
      <c r="C64" s="9" t="n"/>
      <c r="D64" s="9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57" t="n"/>
    </row>
    <row r="65" ht="18" customHeight="1">
      <c r="A65" s="7" t="n"/>
      <c r="B65" s="49" t="inlineStr">
        <is>
          <t>TERMINAL VALUE &amp; ENTERPRISE VALUE</t>
        </is>
      </c>
      <c r="C65" s="44" t="n"/>
      <c r="D65" s="44" t="n"/>
      <c r="E65" s="23" t="n"/>
      <c r="F65" s="23" t="n"/>
      <c r="G65" s="23" t="n"/>
      <c r="H65" s="23" t="n"/>
      <c r="I65" s="23" t="n"/>
      <c r="J65" s="23" t="n"/>
      <c r="K65" s="23" t="n"/>
      <c r="L65" s="23" t="n"/>
      <c r="M65" s="23" t="n"/>
      <c r="N65" s="353" t="n"/>
    </row>
    <row r="66" ht="18" customHeight="1">
      <c r="A66" s="127" t="n"/>
      <c r="B66" s="137" t="n"/>
      <c r="C66" s="138" t="n"/>
      <c r="D66" s="138" t="n"/>
      <c r="E66" s="106" t="n"/>
      <c r="F66" s="106" t="n"/>
      <c r="G66" s="106" t="n"/>
      <c r="H66" s="106" t="n"/>
      <c r="I66" s="106" t="n"/>
      <c r="J66" s="106" t="n"/>
      <c r="K66" s="106" t="n"/>
      <c r="L66" s="106" t="n"/>
      <c r="M66" s="106" t="n"/>
      <c r="N66" s="106" t="n"/>
    </row>
    <row r="67" ht="15" customHeight="1">
      <c r="A67" s="3" t="n"/>
      <c r="B67" s="17" t="inlineStr">
        <is>
          <t>Terminal Growth Rate (g)</t>
        </is>
      </c>
      <c r="C67" s="9" t="n"/>
      <c r="D67" s="346">
        <f>INPUT!H109</f>
        <v/>
      </c>
      <c r="E67" s="329" t="n"/>
      <c r="F67" s="329" t="n"/>
      <c r="G67" s="329" t="n"/>
      <c r="H67" s="329" t="n"/>
      <c r="I67" s="329" t="n"/>
      <c r="J67" s="329" t="n"/>
      <c r="K67" s="329" t="n"/>
      <c r="L67" s="329" t="n"/>
      <c r="M67" s="329" t="n"/>
      <c r="N67" s="558">
        <f>D67</f>
        <v/>
      </c>
    </row>
    <row r="68" ht="15" customHeight="1">
      <c r="A68" s="3" t="n"/>
      <c r="B68" s="17" t="inlineStr">
        <is>
          <t>WACC</t>
        </is>
      </c>
      <c r="C68" s="9" t="n"/>
      <c r="D68" s="346">
        <f>D63</f>
        <v/>
      </c>
      <c r="E68" s="329" t="n"/>
      <c r="F68" s="329" t="n"/>
      <c r="G68" s="329" t="n"/>
      <c r="H68" s="329" t="n"/>
      <c r="I68" s="329" t="n"/>
      <c r="J68" s="329" t="n"/>
      <c r="K68" s="329" t="n"/>
      <c r="L68" s="329" t="n"/>
      <c r="M68" s="329" t="n"/>
      <c r="N68" s="355">
        <f>D68</f>
        <v/>
      </c>
    </row>
    <row r="69" ht="15" customHeight="1">
      <c r="A69" s="3" t="n"/>
      <c r="B69" s="17" t="inlineStr">
        <is>
          <t>Year 5 UFCF</t>
        </is>
      </c>
      <c r="C69" s="526" t="n"/>
      <c r="D69" s="559">
        <f>M49</f>
        <v/>
      </c>
      <c r="E69" s="329" t="n"/>
      <c r="F69" s="329" t="n"/>
      <c r="G69" s="329" t="n"/>
      <c r="H69" s="329" t="n"/>
      <c r="I69" s="329" t="n"/>
      <c r="J69" s="329" t="n"/>
      <c r="K69" s="329" t="n"/>
      <c r="L69" s="329" t="n"/>
      <c r="M69" s="329" t="n"/>
      <c r="N69" s="560">
        <f>D69</f>
        <v/>
      </c>
    </row>
    <row r="70" ht="15" customHeight="1">
      <c r="A70" s="3" t="n"/>
      <c r="B70" s="17" t="inlineStr">
        <is>
          <t>Terminal Year UFCF (t+1)</t>
        </is>
      </c>
      <c r="C70" s="526" t="n"/>
      <c r="D70" s="559">
        <f>D69*(1+D67)</f>
        <v/>
      </c>
      <c r="E70" s="329" t="n"/>
      <c r="F70" s="329" t="n"/>
      <c r="G70" s="329" t="n"/>
      <c r="H70" s="329" t="n"/>
      <c r="I70" s="330" t="n"/>
      <c r="J70" s="329" t="n"/>
      <c r="K70" s="329" t="n"/>
      <c r="L70" s="329" t="n"/>
      <c r="M70" s="329" t="n"/>
      <c r="N70" s="560">
        <f>D70</f>
        <v/>
      </c>
    </row>
    <row r="71" ht="15" customHeight="1">
      <c r="A71" s="3" t="n"/>
      <c r="B71" s="54" t="inlineStr">
        <is>
          <t>Terminal Value (Gordon Growth)</t>
        </is>
      </c>
      <c r="C71" s="535" t="n"/>
      <c r="D71" s="561">
        <f>IFERROR(D70/(D68-D67),"–")</f>
        <v/>
      </c>
      <c r="E71" s="330" t="n"/>
      <c r="F71" s="330" t="n"/>
      <c r="G71" s="330" t="n"/>
      <c r="H71" s="330" t="n"/>
      <c r="I71" s="22" t="n"/>
      <c r="J71" s="330" t="n"/>
      <c r="K71" s="330" t="n"/>
      <c r="L71" s="330" t="n"/>
      <c r="M71" s="330" t="n"/>
      <c r="N71" s="562">
        <f>D71</f>
        <v/>
      </c>
    </row>
    <row r="72" ht="15" customHeight="1">
      <c r="A72" s="3" t="n"/>
      <c r="B72" s="17" t="inlineStr">
        <is>
          <t>Terminal EBITDA Multiple (Alt.)</t>
        </is>
      </c>
      <c r="C72" s="9" t="n"/>
      <c r="D72" s="346">
        <f>IFERROR(D71/M15,"–")</f>
        <v/>
      </c>
      <c r="E72" s="329" t="n"/>
      <c r="F72" s="329" t="n"/>
      <c r="G72" s="329" t="n"/>
      <c r="H72" s="329" t="n"/>
      <c r="I72" s="329" t="n"/>
      <c r="J72" s="329" t="n"/>
      <c r="K72" s="329" t="n"/>
      <c r="L72" s="329" t="n"/>
      <c r="M72" s="329" t="n"/>
      <c r="N72" s="563">
        <f>D72</f>
        <v/>
      </c>
    </row>
    <row r="73" ht="15" customHeight="1">
      <c r="A73" s="3" t="n"/>
      <c r="B73" s="14" t="n"/>
      <c r="C73" s="9" t="n"/>
      <c r="D73" s="9" t="n"/>
      <c r="E73" s="22" t="n"/>
      <c r="F73" s="22" t="n"/>
      <c r="G73" s="22" t="n"/>
      <c r="H73" s="22" t="n"/>
      <c r="I73" s="329" t="n"/>
      <c r="J73" s="22" t="n"/>
      <c r="K73" s="22" t="n"/>
      <c r="L73" s="22" t="n"/>
      <c r="M73" s="22" t="n"/>
      <c r="N73" s="57" t="n"/>
    </row>
    <row r="74" ht="15" customHeight="1">
      <c r="A74" s="3" t="n"/>
      <c r="B74" s="14" t="inlineStr">
        <is>
          <t>Discounting Period (Years)</t>
        </is>
      </c>
      <c r="C74" s="9" t="n"/>
      <c r="D74" s="346">
        <f>1</f>
        <v/>
      </c>
      <c r="E74" s="22" t="n"/>
      <c r="F74" s="22" t="n"/>
      <c r="G74" s="564" t="n"/>
      <c r="H74" s="564" t="n"/>
      <c r="I74" s="329" t="n"/>
      <c r="J74" s="343" t="n">
        <v>2</v>
      </c>
      <c r="K74" s="343" t="n">
        <v>3</v>
      </c>
      <c r="L74" s="343" t="n">
        <v>4</v>
      </c>
      <c r="M74" s="343" t="n">
        <v>5</v>
      </c>
      <c r="N74" s="343" t="n">
        <v>5</v>
      </c>
    </row>
    <row r="75" ht="15" customHeight="1">
      <c r="A75" s="3" t="n"/>
      <c r="B75" s="14" t="inlineStr">
        <is>
          <t>Discount Factor</t>
        </is>
      </c>
      <c r="C75" s="9" t="n"/>
      <c r="D75" s="346">
        <f>1/(1+$D$68)^I74</f>
        <v/>
      </c>
      <c r="E75" s="22" t="n"/>
      <c r="F75" s="22" t="n"/>
      <c r="G75" s="565" t="n"/>
      <c r="H75" s="565" t="n"/>
      <c r="I75" s="329" t="n"/>
      <c r="J75" s="566">
        <f>1/(1+$D$68)^J74</f>
        <v/>
      </c>
      <c r="K75" s="566">
        <f>1/(1+$D$68)^K74</f>
        <v/>
      </c>
      <c r="L75" s="566">
        <f>1/(1+$D$68)^L74</f>
        <v/>
      </c>
      <c r="M75" s="566">
        <f>1/(1+$D$68)^M74</f>
        <v/>
      </c>
      <c r="N75" s="566">
        <f>1/(1+$D$68)^M74</f>
        <v/>
      </c>
    </row>
    <row r="76" ht="15" customHeight="1">
      <c r="A76" s="3" t="n"/>
      <c r="B76" s="14" t="inlineStr">
        <is>
          <t>UFCF to Discount</t>
        </is>
      </c>
      <c r="C76" s="526" t="n"/>
      <c r="D76" s="559">
        <f>I49</f>
        <v/>
      </c>
      <c r="E76" s="22" t="n"/>
      <c r="F76" s="22" t="n"/>
      <c r="G76" s="567" t="n"/>
      <c r="H76" s="567" t="n"/>
      <c r="I76" s="329" t="n"/>
      <c r="J76" s="568">
        <f>J49</f>
        <v/>
      </c>
      <c r="K76" s="568">
        <f>K49</f>
        <v/>
      </c>
      <c r="L76" s="568">
        <f>L49</f>
        <v/>
      </c>
      <c r="M76" s="568">
        <f>M49</f>
        <v/>
      </c>
      <c r="N76" s="567" t="n"/>
    </row>
    <row r="77" ht="15" customHeight="1">
      <c r="A77" s="3" t="n"/>
      <c r="B77" s="14" t="inlineStr">
        <is>
          <t>Terminal Value to Discount</t>
        </is>
      </c>
      <c r="C77" s="526" t="n"/>
      <c r="D77" s="569" t="n"/>
      <c r="E77" s="22" t="n"/>
      <c r="F77" s="22" t="n"/>
      <c r="G77" s="567" t="n"/>
      <c r="H77" s="567" t="n"/>
      <c r="I77" s="330" t="n"/>
      <c r="J77" s="567" t="n"/>
      <c r="K77" s="567" t="n"/>
      <c r="L77" s="567" t="n"/>
      <c r="M77" s="567" t="n"/>
      <c r="N77" s="568">
        <f>D71</f>
        <v/>
      </c>
    </row>
    <row r="78" ht="15" customHeight="1">
      <c r="A78" s="3" t="n"/>
      <c r="B78" s="14" t="inlineStr">
        <is>
          <t>PV of UFCF + Terminal Value</t>
        </is>
      </c>
      <c r="C78" s="526" t="n"/>
      <c r="D78" s="569" t="n"/>
      <c r="E78" s="22" t="n"/>
      <c r="F78" s="22" t="n"/>
      <c r="G78" s="567" t="n"/>
      <c r="H78" s="567" t="n"/>
      <c r="I78" s="22" t="n"/>
      <c r="J78" s="568">
        <f>J75*J76</f>
        <v/>
      </c>
      <c r="K78" s="568">
        <f>K75*K76</f>
        <v/>
      </c>
      <c r="L78" s="568">
        <f>L75*L76</f>
        <v/>
      </c>
      <c r="M78" s="568">
        <f>M75*M76</f>
        <v/>
      </c>
      <c r="N78" s="570">
        <f>IFERROR(N75*N77,"–")</f>
        <v/>
      </c>
    </row>
    <row r="79" ht="15" customHeight="1">
      <c r="A79" s="3" t="n"/>
      <c r="B79" s="14" t="n"/>
      <c r="C79" s="9" t="n"/>
      <c r="D79" s="9" t="n"/>
      <c r="E79" s="22" t="n"/>
      <c r="F79" s="22" t="n"/>
      <c r="G79" s="22" t="n"/>
      <c r="H79" s="22" t="n"/>
      <c r="I79" s="364" t="n"/>
      <c r="J79" s="22" t="n"/>
      <c r="K79" s="22" t="n"/>
      <c r="L79" s="22" t="n"/>
      <c r="M79" s="22" t="n"/>
      <c r="N79" s="57" t="n"/>
    </row>
    <row r="80" ht="18" customHeight="1">
      <c r="A80" s="7" t="n"/>
      <c r="B80" s="49" t="inlineStr">
        <is>
          <t>ENTERPRISE VALUE &amp; EQUITY VALUE</t>
        </is>
      </c>
      <c r="C80" s="44" t="n"/>
      <c r="D80" s="44" t="n"/>
      <c r="E80" s="23" t="n"/>
      <c r="F80" s="23" t="n"/>
      <c r="G80" s="23" t="n"/>
      <c r="H80" s="23" t="n"/>
      <c r="I80" s="44" t="n"/>
      <c r="J80" s="23" t="n"/>
      <c r="K80" s="23" t="n"/>
      <c r="L80" s="23" t="n"/>
      <c r="M80" s="23" t="n"/>
      <c r="N80" s="353" t="n"/>
    </row>
    <row r="81" ht="18" customHeight="1">
      <c r="A81" s="127" t="n"/>
      <c r="B81" s="137" t="n"/>
      <c r="C81" s="138" t="n"/>
      <c r="D81" s="351" t="n"/>
      <c r="E81" s="106" t="n"/>
      <c r="F81" s="106" t="n"/>
      <c r="G81" s="106" t="n"/>
      <c r="H81" s="106" t="n"/>
      <c r="J81" s="106" t="n"/>
      <c r="K81" s="106" t="n"/>
      <c r="L81" s="106" t="n"/>
      <c r="M81" s="106" t="n"/>
      <c r="N81" s="106" t="n"/>
    </row>
    <row r="82" ht="15" customHeight="1">
      <c r="A82" s="3" t="n"/>
      <c r="B82" s="54" t="inlineStr">
        <is>
          <t>Sum of PV of UFCFs (Years 1-5)</t>
        </is>
      </c>
      <c r="C82" s="535" t="n"/>
      <c r="D82" s="571">
        <f>SUM(I78:M78)</f>
        <v/>
      </c>
      <c r="E82" s="329" t="n"/>
      <c r="F82" s="329" t="n"/>
      <c r="G82" s="329" t="n"/>
      <c r="H82" s="329" t="n"/>
      <c r="J82" s="329" t="n"/>
      <c r="K82" s="329" t="n"/>
      <c r="L82" s="329" t="n"/>
      <c r="M82" s="329" t="n"/>
      <c r="N82" s="568">
        <f>D82</f>
        <v/>
      </c>
    </row>
    <row r="83" ht="15" customHeight="1">
      <c r="A83" s="3" t="n"/>
      <c r="B83" s="17" t="inlineStr">
        <is>
          <t>PV of Terminal Value</t>
        </is>
      </c>
      <c r="C83" s="526" t="n"/>
      <c r="D83" s="572">
        <f>N78</f>
        <v/>
      </c>
      <c r="E83" s="329" t="n"/>
      <c r="F83" s="329" t="n"/>
      <c r="G83" s="329" t="n"/>
      <c r="H83" s="329" t="n"/>
      <c r="J83" s="329" t="n"/>
      <c r="K83" s="329" t="n"/>
      <c r="L83" s="329" t="n"/>
      <c r="M83" s="329" t="n"/>
      <c r="N83" s="568">
        <f>D83</f>
        <v/>
      </c>
    </row>
    <row r="84" ht="15" customHeight="1">
      <c r="A84" s="3" t="n"/>
      <c r="B84" s="54" t="inlineStr">
        <is>
          <t>Enterprise Value (EV)</t>
        </is>
      </c>
      <c r="C84" s="535" t="n"/>
      <c r="D84" s="571">
        <f>IFERROR(D82+D83,"–")</f>
        <v/>
      </c>
      <c r="E84" s="330" t="n"/>
      <c r="F84" s="330" t="n"/>
      <c r="G84" s="330" t="n"/>
      <c r="H84" s="330" t="n"/>
      <c r="J84" s="330" t="n"/>
      <c r="K84" s="330" t="n"/>
      <c r="L84" s="330" t="n"/>
      <c r="M84" s="330" t="n"/>
      <c r="N84" s="568">
        <f>D84</f>
        <v/>
      </c>
    </row>
    <row r="85" ht="15" customHeight="1">
      <c r="A85" s="71" t="n"/>
      <c r="B85" s="131" t="n"/>
      <c r="C85" s="552" t="n"/>
      <c r="D85" s="571" t="n"/>
      <c r="E85" s="331" t="n"/>
      <c r="F85" s="331" t="n"/>
      <c r="G85" s="331" t="n"/>
      <c r="H85" s="331" t="n"/>
      <c r="J85" s="331" t="n"/>
      <c r="K85" s="331" t="n"/>
      <c r="L85" s="331" t="n"/>
      <c r="M85" s="331" t="n"/>
      <c r="N85" s="62" t="n"/>
    </row>
    <row r="86" ht="15" customHeight="1">
      <c r="A86" s="3" t="n"/>
      <c r="B86" s="17" t="inlineStr">
        <is>
          <t>(-) Total Debt</t>
        </is>
      </c>
      <c r="C86" s="526" t="n"/>
      <c r="D86" s="571">
        <f>-(INPUT!H49+INPUT!H55)</f>
        <v/>
      </c>
      <c r="E86" s="329" t="n"/>
      <c r="F86" s="329" t="n"/>
      <c r="G86" s="329" t="n"/>
      <c r="H86" s="329" t="n"/>
      <c r="J86" s="329" t="n"/>
      <c r="K86" s="329" t="n"/>
      <c r="L86" s="329" t="n"/>
      <c r="M86" s="329" t="n"/>
      <c r="N86" s="568">
        <f>D86</f>
        <v/>
      </c>
    </row>
    <row r="87" ht="15" customHeight="1">
      <c r="A87" s="3" t="n"/>
      <c r="B87" s="17" t="inlineStr">
        <is>
          <t>(+) Cash &amp; Cash Equivalents</t>
        </is>
      </c>
      <c r="C87" s="526" t="n"/>
      <c r="D87" s="572">
        <f>INPUT!H34</f>
        <v/>
      </c>
      <c r="E87" s="329" t="n"/>
      <c r="F87" s="329" t="n"/>
      <c r="G87" s="329" t="n"/>
      <c r="H87" s="329" t="n"/>
      <c r="J87" s="329" t="n"/>
      <c r="K87" s="329" t="n"/>
      <c r="L87" s="329" t="n"/>
      <c r="M87" s="329" t="n"/>
      <c r="N87" s="568">
        <f>D87</f>
        <v/>
      </c>
    </row>
    <row r="88" ht="15" customHeight="1">
      <c r="A88" s="3" t="n"/>
      <c r="B88" s="54" t="inlineStr">
        <is>
          <t>Equity Value</t>
        </is>
      </c>
      <c r="C88" s="535" t="n"/>
      <c r="D88" s="571">
        <f>IFERROR(D84+D86+D87,"–")</f>
        <v/>
      </c>
      <c r="E88" s="330" t="n"/>
      <c r="F88" s="330" t="n"/>
      <c r="G88" s="330" t="n"/>
      <c r="H88" s="330" t="n"/>
      <c r="J88" s="330" t="n"/>
      <c r="K88" s="330" t="n"/>
      <c r="L88" s="330" t="n"/>
      <c r="M88" s="330" t="n"/>
      <c r="N88" s="568">
        <f>D88</f>
        <v/>
      </c>
    </row>
    <row r="89" ht="15" customHeight="1">
      <c r="A89" s="71" t="n"/>
      <c r="B89" s="131" t="n"/>
      <c r="C89" s="552" t="n"/>
      <c r="D89" s="571" t="n"/>
      <c r="E89" s="331" t="n"/>
      <c r="F89" s="331" t="n"/>
      <c r="G89" s="331" t="n"/>
      <c r="H89" s="331" t="n"/>
      <c r="J89" s="331" t="n"/>
      <c r="K89" s="331" t="n"/>
      <c r="L89" s="331" t="n"/>
      <c r="M89" s="331" t="n"/>
      <c r="N89" s="62" t="n"/>
    </row>
    <row r="90" ht="15" customHeight="1">
      <c r="A90" s="3" t="n"/>
      <c r="B90" s="17" t="inlineStr">
        <is>
          <t>Shares Outstanding (Diluted)</t>
        </is>
      </c>
      <c r="C90" s="9" t="n"/>
      <c r="D90" s="349">
        <f>INPUT!H96</f>
        <v/>
      </c>
      <c r="E90" s="329" t="n"/>
      <c r="F90" s="329" t="n"/>
      <c r="G90" s="329" t="n"/>
      <c r="H90" s="329" t="n"/>
      <c r="J90" s="329" t="n"/>
      <c r="K90" s="329" t="n"/>
      <c r="L90" s="329" t="n"/>
      <c r="M90" s="329" t="n"/>
      <c r="N90" s="568">
        <f>D90</f>
        <v/>
      </c>
    </row>
    <row r="91" ht="15" customHeight="1">
      <c r="A91" s="3" t="n"/>
      <c r="B91" s="54" t="inlineStr">
        <is>
          <t>Implied Share Price (DCF)</t>
        </is>
      </c>
      <c r="C91" s="11" t="n"/>
      <c r="D91" s="350">
        <f>IFERROR(D88/D90,"–")</f>
        <v/>
      </c>
      <c r="E91" s="330" t="n"/>
      <c r="F91" s="330" t="n"/>
      <c r="G91" s="330" t="n"/>
      <c r="H91" s="330" t="n"/>
      <c r="J91" s="330" t="n"/>
      <c r="K91" s="330" t="n"/>
      <c r="L91" s="330" t="n"/>
      <c r="M91" s="330" t="n"/>
      <c r="N91" s="568">
        <f>D91</f>
        <v/>
      </c>
    </row>
    <row r="92" ht="15" customHeight="1">
      <c r="A92" s="3" t="n"/>
      <c r="B92" s="17" t="inlineStr">
        <is>
          <t>Current Share Price</t>
        </is>
      </c>
      <c r="C92" s="348" t="inlineStr">
        <is>
          <t>($)</t>
        </is>
      </c>
      <c r="D92" s="349">
        <f>INPUT!H95</f>
        <v/>
      </c>
      <c r="E92" s="329" t="n"/>
      <c r="F92" s="329" t="n"/>
      <c r="G92" s="329" t="n"/>
      <c r="H92" s="329" t="n"/>
      <c r="J92" s="329" t="n"/>
      <c r="K92" s="329" t="n"/>
      <c r="L92" s="329" t="n"/>
      <c r="M92" s="329" t="n"/>
      <c r="N92" s="568">
        <f>D92</f>
        <v/>
      </c>
    </row>
    <row r="93" ht="15" customHeight="1">
      <c r="A93" s="3" t="n"/>
      <c r="B93" s="17" t="inlineStr">
        <is>
          <t>Upside / (Downside)</t>
        </is>
      </c>
      <c r="C93" s="348" t="inlineStr">
        <is>
          <t>(%)</t>
        </is>
      </c>
      <c r="D93" s="349">
        <f>IFERROR(D91/D92-1,"–")</f>
        <v/>
      </c>
      <c r="E93" s="329" t="n"/>
      <c r="F93" s="329" t="n"/>
      <c r="G93" s="329" t="n"/>
      <c r="H93" s="329" t="n"/>
      <c r="J93" s="329" t="n"/>
      <c r="K93" s="329" t="n"/>
      <c r="L93" s="329" t="n"/>
      <c r="M93" s="329" t="n"/>
      <c r="N93" s="568">
        <f>D93</f>
        <v/>
      </c>
    </row>
    <row r="94" ht="15" customHeight="1">
      <c r="A94" s="3" t="n"/>
      <c r="B94" s="101" t="inlineStr">
        <is>
          <t>UFCF IRR (5-Year)</t>
        </is>
      </c>
      <c r="C94" s="349" t="inlineStr">
        <is>
          <t>(%)</t>
        </is>
      </c>
      <c r="D94" s="349">
        <f>IFERROR(IRR(I49:M49),"–")</f>
        <v/>
      </c>
      <c r="E94" s="329" t="n"/>
      <c r="F94" s="329" t="n"/>
      <c r="G94" s="329" t="n"/>
      <c r="H94" s="329" t="n"/>
      <c r="I94" s="329" t="n"/>
      <c r="J94" s="329" t="n"/>
      <c r="K94" s="329" t="n"/>
      <c r="L94" s="329" t="n"/>
      <c r="M94" s="329" t="n"/>
      <c r="N94" s="329" t="n"/>
    </row>
    <row r="95" ht="15" customHeight="1">
      <c r="A95" s="3" t="n"/>
      <c r="B95" s="101" t="n"/>
      <c r="C95" s="102" t="n"/>
      <c r="D95" s="349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</row>
    <row r="96" ht="18" customHeight="1">
      <c r="A96" s="7" t="n"/>
      <c r="B96" s="49" t="inlineStr">
        <is>
          <t>SENSITIVITY ANALYSIS — Implied Share Price ($)</t>
        </is>
      </c>
      <c r="C96" s="44" t="n"/>
      <c r="D96" s="44" t="n"/>
      <c r="E96" s="23" t="n"/>
      <c r="F96" s="23" t="n"/>
      <c r="G96" s="23" t="n"/>
      <c r="H96" s="23" t="n"/>
      <c r="I96" s="23" t="n"/>
      <c r="J96" s="23" t="n"/>
      <c r="K96" s="23" t="n"/>
      <c r="L96" s="23" t="n"/>
      <c r="M96" s="353">
        <f>ROUND(C98*100,1)&amp;"%"</f>
        <v/>
      </c>
      <c r="N96" s="353">
        <f>ROUND(C99*100,1)&amp;"%"</f>
        <v/>
      </c>
      <c r="O96" s="365">
        <f>ROUND(C100*100,1)&amp;"%"</f>
        <v/>
      </c>
      <c r="P96" s="365">
        <f>ROUND(C101*100,1)&amp;"%"</f>
        <v/>
      </c>
      <c r="Q96" s="365">
        <f>ROUND(C102*100,1)&amp;"%"</f>
        <v/>
      </c>
    </row>
    <row r="97" ht="15" customHeight="1">
      <c r="A97" s="1" t="n"/>
      <c r="B97" s="16" t="inlineStr">
        <is>
          <t>Terminal Growth Rate →</t>
        </is>
      </c>
      <c r="C97" s="88" t="inlineStr">
        <is>
          <t>WACC ↓</t>
        </is>
      </c>
      <c r="D97" s="372" t="n">
        <v>0</v>
      </c>
      <c r="E97" s="372" t="n">
        <v>0.01</v>
      </c>
      <c r="F97" s="372" t="n">
        <v>0.02</v>
      </c>
      <c r="G97" s="372" t="n">
        <v>0.03</v>
      </c>
      <c r="H97" s="372" t="n">
        <v>0.04</v>
      </c>
      <c r="I97" s="88" t="n"/>
      <c r="J97" s="88" t="n"/>
      <c r="K97" s="88" t="n"/>
      <c r="L97" s="88" t="inlineStr">
        <is>
          <t>g=0%</t>
        </is>
      </c>
      <c r="M97" s="369">
        <f>D98</f>
        <v/>
      </c>
      <c r="N97" s="369">
        <f>D99</f>
        <v/>
      </c>
      <c r="O97" s="573">
        <f>D100</f>
        <v/>
      </c>
      <c r="P97" s="573">
        <f>D101</f>
        <v/>
      </c>
      <c r="Q97" s="573">
        <f>D102</f>
        <v/>
      </c>
    </row>
    <row r="98" ht="15" customHeight="1">
      <c r="A98" s="3" t="n"/>
      <c r="B98" s="14" t="n"/>
      <c r="C98" s="574">
        <f>D63-0.02</f>
        <v/>
      </c>
      <c r="D98" s="574">
        <f>IFERROR((D82+((D69*(1+0))/(C98-0))/(1+C98)^5+D86+D87)/D90,"–")</f>
        <v/>
      </c>
      <c r="E98" s="575">
        <f>IFERROR((D82+((D69*(1+0.01))/(C98-0.01))/(1+C98)^5+D86+D87)/D90,"–")</f>
        <v/>
      </c>
      <c r="F98" s="575">
        <f>IFERROR((D82+((D69*(1+0.02))/(C98-0.02))/(1+C98)^5+D86+D87)/D90,"–")</f>
        <v/>
      </c>
      <c r="G98" s="575">
        <f>IFERROR((D82+((D69*(1+0.03))/(C98-0.03))/(1+C98)^5+D86+D87)/D90,"–")</f>
        <v/>
      </c>
      <c r="H98" s="575">
        <f>IFERROR((D82+((D69*(1+0.04))/(C98-0.04))/(1+C98)^5+D86+D87)/D90,"–")</f>
        <v/>
      </c>
      <c r="I98" s="576" t="n"/>
      <c r="J98" s="576" t="n"/>
      <c r="K98" s="576" t="n"/>
      <c r="L98" s="367" t="inlineStr">
        <is>
          <t>g=1%</t>
        </is>
      </c>
      <c r="M98" s="577">
        <f>E98</f>
        <v/>
      </c>
      <c r="N98" s="577">
        <f>E99</f>
        <v/>
      </c>
      <c r="O98" s="578">
        <f>E100</f>
        <v/>
      </c>
      <c r="P98" s="578">
        <f>E101</f>
        <v/>
      </c>
      <c r="Q98" s="578">
        <f>E102</f>
        <v/>
      </c>
    </row>
    <row r="99" ht="15" customHeight="1">
      <c r="A99" s="3" t="n"/>
      <c r="B99" s="14" t="n"/>
      <c r="C99" s="574">
        <f>D63-0.01</f>
        <v/>
      </c>
      <c r="D99" s="574">
        <f>IFERROR((D82+((D69*(1+0))/(C99-0))/(1+C99)^5+D86+D87)/D90,"–")</f>
        <v/>
      </c>
      <c r="E99" s="575">
        <f>IFERROR((D82+((D69*(1+0.01))/(C99-0.01))/(1+C99)^5+D86+D87)/D90,"–")</f>
        <v/>
      </c>
      <c r="F99" s="575">
        <f>IFERROR((D82+((D69*(1+0.02))/(C99-0.02))/(1+C99)^5+D86+D87)/D90,"–")</f>
        <v/>
      </c>
      <c r="G99" s="575">
        <f>IFERROR((D82+((D69*(1+0.03))/(C99-0.03))/(1+C99)^5+D86+D87)/D90,"–")</f>
        <v/>
      </c>
      <c r="H99" s="575">
        <f>IFERROR((D82+((D69*(1+0.04))/(C99-0.04))/(1+C99)^5+D86+D87)/D90,"–")</f>
        <v/>
      </c>
      <c r="I99" s="576" t="n"/>
      <c r="J99" s="576" t="n"/>
      <c r="K99" s="576" t="n"/>
      <c r="L99" s="367" t="inlineStr">
        <is>
          <t>g=2%</t>
        </is>
      </c>
      <c r="M99" s="577">
        <f>F98</f>
        <v/>
      </c>
      <c r="N99" s="577">
        <f>F99</f>
        <v/>
      </c>
      <c r="O99" s="578">
        <f>F100</f>
        <v/>
      </c>
      <c r="P99" s="578">
        <f>F101</f>
        <v/>
      </c>
      <c r="Q99" s="578">
        <f>F102</f>
        <v/>
      </c>
    </row>
    <row r="100" ht="15" customHeight="1">
      <c r="A100" s="3" t="n"/>
      <c r="B100" s="14" t="n"/>
      <c r="C100" s="579">
        <f>D63</f>
        <v/>
      </c>
      <c r="D100" s="579">
        <f>IFERROR((D82+((D69*(1+0))/(C100-0))/(1+C100)^5+D86+D87)/D90,"–")</f>
        <v/>
      </c>
      <c r="E100" s="575">
        <f>IFERROR((D82+((D69*(1+0.01))/(C100-0.01))/(1+C100)^5+D86+D87)/D90,"–")</f>
        <v/>
      </c>
      <c r="F100" s="580">
        <f>IFERROR((D82+((D69*(1+0.02))/(C100-0.02))/(1+C100)^5+D86+D87)/D90,"–")</f>
        <v/>
      </c>
      <c r="G100" s="581">
        <f>IFERROR((D82+((D69*(1+0.03))/(C100-0.03))/(1+C100)^5+D86+D87)/D90,"–")</f>
        <v/>
      </c>
      <c r="H100" s="575">
        <f>IFERROR((D82+((D69*(1+0.04))/(C100-0.04))/(1+C100)^5+D86+D87)/D90,"–")</f>
        <v/>
      </c>
      <c r="I100" s="576" t="n"/>
      <c r="J100" s="576" t="n"/>
      <c r="K100" s="576" t="n"/>
      <c r="L100" s="367" t="inlineStr">
        <is>
          <t>g=3% (Base)</t>
        </is>
      </c>
      <c r="M100" s="582">
        <f>G98</f>
        <v/>
      </c>
      <c r="N100" s="582">
        <f>G99</f>
        <v/>
      </c>
      <c r="O100" s="573">
        <f>G100</f>
        <v/>
      </c>
      <c r="P100" s="573">
        <f>G101</f>
        <v/>
      </c>
      <c r="Q100" s="573">
        <f>G102</f>
        <v/>
      </c>
    </row>
    <row r="101" ht="15" customHeight="1">
      <c r="A101" s="3" t="n"/>
      <c r="B101" s="14" t="n"/>
      <c r="C101" s="574">
        <f>D63+0.01</f>
        <v/>
      </c>
      <c r="D101" s="574">
        <f>IFERROR((D82+((D69*(1+0))/(C101-0))/(1+C101)^5+D86+D87)/D90,"–")</f>
        <v/>
      </c>
      <c r="E101" s="575">
        <f>IFERROR((D82+((D69*(1+0.01))/(C101-0.01))/(1+C101)^5+D86+D87)/D90,"–")</f>
        <v/>
      </c>
      <c r="F101" s="575">
        <f>IFERROR((D82+((D69*(1+0.02))/(C101-0.02))/(1+C101)^5+D86+D87)/D90,"–")</f>
        <v/>
      </c>
      <c r="G101" s="575">
        <f>IFERROR((D82+((D69*(1+0.03))/(C101-0.03))/(1+C101)^5+D86+D87)/D90,"–")</f>
        <v/>
      </c>
      <c r="H101" s="575">
        <f>IFERROR((D82+((D69*(1+0.04))/(C101-0.04))/(1+C101)^5+D86+D87)/D90,"–")</f>
        <v/>
      </c>
      <c r="I101" s="576" t="n"/>
      <c r="J101" s="576" t="n"/>
      <c r="K101" s="576" t="n"/>
      <c r="L101" s="367" t="inlineStr">
        <is>
          <t>g=4%</t>
        </is>
      </c>
      <c r="M101" s="577">
        <f>H98</f>
        <v/>
      </c>
      <c r="N101" s="577">
        <f>H99</f>
        <v/>
      </c>
      <c r="O101" s="578">
        <f>H100</f>
        <v/>
      </c>
      <c r="P101" s="578">
        <f>H101</f>
        <v/>
      </c>
      <c r="Q101" s="578">
        <f>H102</f>
        <v/>
      </c>
    </row>
    <row r="102" ht="15" customHeight="1">
      <c r="A102" s="3" t="n"/>
      <c r="B102" s="14" t="n"/>
      <c r="C102" s="574">
        <f>D63+0.02</f>
        <v/>
      </c>
      <c r="D102" s="574">
        <f>IFERROR((D82+((D69*(1+0))/(C102-0))/(1+C102)^5+D86+D87)/D90,"–")</f>
        <v/>
      </c>
      <c r="E102" s="575">
        <f>IFERROR((D82+((D69*(1+0.01))/(C102-0.01))/(1+C102)^5+D86+D87)/D90,"–")</f>
        <v/>
      </c>
      <c r="F102" s="575">
        <f>IFERROR((D82+((D69*(1+0.02))/(C102-0.02))/(1+C102)^5+D86+D87)/D90,"–")</f>
        <v/>
      </c>
      <c r="G102" s="575">
        <f>IFERROR((D82+((D69*(1+0.03))/(C102-0.03))/(1+C102)^5+D86+D87)/D90,"–")</f>
        <v/>
      </c>
      <c r="H102" s="575">
        <f>IFERROR((D82+((D69*(1+0.04))/(C102-0.04))/(1+C102)^5+D86+D87)/D90,"–")</f>
        <v/>
      </c>
      <c r="I102" s="22" t="n"/>
      <c r="J102" s="22" t="n"/>
      <c r="K102" s="22" t="n"/>
      <c r="L102" s="22" t="n"/>
      <c r="M102" s="22" t="n"/>
      <c r="N102" s="22" t="n"/>
    </row>
    <row r="103" ht="15" customHeight="1">
      <c r="A103" s="3" t="n"/>
      <c r="B103" s="18" t="inlineStr">
        <is>
          <t>Yellow = Base Case (WACC = 10.4%, g = 3.0%)</t>
        </is>
      </c>
      <c r="C103" s="9" t="n"/>
      <c r="D103" s="9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</row>
    <row r="104" ht="15" customHeight="1">
      <c r="A104" s="3" t="n"/>
      <c r="B104" s="14" t="n"/>
      <c r="C104" s="9" t="n"/>
      <c r="D104" s="9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</row>
    <row r="105" ht="18" customHeight="1">
      <c r="A105" s="7" t="n"/>
      <c r="B105" s="49" t="inlineStr">
        <is>
          <t>SCENARIO ANALYSIS — 3 SCENARIOS</t>
        </is>
      </c>
      <c r="C105" s="44" t="n"/>
      <c r="D105" s="44" t="n"/>
      <c r="E105" s="23" t="n"/>
      <c r="F105" s="23" t="n"/>
      <c r="G105" s="23" t="n"/>
      <c r="H105" s="23" t="n"/>
      <c r="I105" s="23" t="n"/>
      <c r="J105" s="23" t="n"/>
      <c r="K105" s="23" t="n"/>
      <c r="L105" s="23" t="n"/>
      <c r="M105" s="23" t="n"/>
      <c r="N105" s="23" t="n"/>
    </row>
    <row r="106" ht="15" customHeight="1">
      <c r="A106" s="1" t="n"/>
      <c r="B106" s="16" t="inlineStr">
        <is>
          <t>METRIC</t>
        </is>
      </c>
      <c r="C106" s="88" t="inlineStr">
        <is>
          <t>(Units)</t>
        </is>
      </c>
      <c r="D106" s="88" t="n"/>
      <c r="E106" s="24" t="inlineStr">
        <is>
          <t>Pessimistic</t>
        </is>
      </c>
      <c r="F106" s="24" t="inlineStr">
        <is>
          <t>Realistic</t>
        </is>
      </c>
      <c r="G106" s="24" t="inlineStr">
        <is>
          <t>Optimistic</t>
        </is>
      </c>
      <c r="H106" s="24" t="n"/>
      <c r="I106" s="24" t="n"/>
      <c r="J106" s="24" t="n"/>
      <c r="K106" s="24" t="n"/>
      <c r="L106" s="24" t="n"/>
      <c r="M106" s="24" t="n"/>
    </row>
    <row r="107" ht="15" customHeight="1">
      <c r="A107" s="3" t="n"/>
      <c r="B107" s="17" t="inlineStr">
        <is>
          <t>Revenue Growth (Y1-Y5 avg.)</t>
        </is>
      </c>
      <c r="C107" s="9" t="inlineStr">
        <is>
          <t>(%)</t>
        </is>
      </c>
      <c r="D107" s="346">
        <f>D29-0.03</f>
        <v/>
      </c>
      <c r="E107" s="550">
        <f>D29-0.02</f>
        <v/>
      </c>
      <c r="F107" s="550">
        <f>D29</f>
        <v/>
      </c>
      <c r="G107" s="583">
        <f>D29+0.02</f>
        <v/>
      </c>
      <c r="H107" s="22" t="n"/>
      <c r="I107" s="22" t="n"/>
      <c r="J107" s="22" t="n"/>
      <c r="K107" s="22" t="n"/>
      <c r="L107" s="22" t="n"/>
      <c r="M107" s="22" t="n"/>
    </row>
    <row r="108" ht="15" customHeight="1">
      <c r="A108" s="3" t="n"/>
      <c r="B108" s="17" t="inlineStr">
        <is>
          <t>EBITDA Margin</t>
        </is>
      </c>
      <c r="C108" s="9" t="inlineStr">
        <is>
          <t>(%)</t>
        </is>
      </c>
      <c r="D108" s="346">
        <f>IFERROR(D15/D9-0.03,"–")</f>
        <v/>
      </c>
      <c r="E108" s="550">
        <f>IFERROR(H15/H9-0.02,"–")</f>
        <v/>
      </c>
      <c r="F108" s="550">
        <f>IFERROR(H15/H9,"–")</f>
        <v/>
      </c>
      <c r="G108" s="583">
        <f>IFERROR(H15/H9+0.02,"–")</f>
        <v/>
      </c>
      <c r="H108" s="22" t="n"/>
      <c r="I108" s="22" t="n"/>
      <c r="J108" s="22" t="n"/>
      <c r="K108" s="22" t="n"/>
      <c r="L108" s="22" t="n"/>
      <c r="M108" s="22" t="n"/>
    </row>
    <row r="109" ht="15" customHeight="1">
      <c r="A109" s="3" t="n"/>
      <c r="B109" s="17" t="inlineStr">
        <is>
          <t>Terminal Growth Rate</t>
        </is>
      </c>
      <c r="C109" s="9" t="inlineStr">
        <is>
          <t>(%)</t>
        </is>
      </c>
      <c r="D109" s="346">
        <f>D67-0.01</f>
        <v/>
      </c>
      <c r="E109" s="550">
        <f>D67-0.01</f>
        <v/>
      </c>
      <c r="F109" s="550">
        <f>D67</f>
        <v/>
      </c>
      <c r="G109" s="583">
        <f>D67+0.01</f>
        <v/>
      </c>
      <c r="H109" s="22" t="n"/>
      <c r="I109" s="22" t="n"/>
      <c r="J109" s="22" t="n"/>
      <c r="K109" s="22" t="n"/>
      <c r="L109" s="22" t="n"/>
      <c r="M109" s="22" t="n"/>
    </row>
    <row r="110" ht="15" customHeight="1">
      <c r="A110" s="3" t="n"/>
      <c r="B110" s="17" t="inlineStr">
        <is>
          <t>WACC</t>
        </is>
      </c>
      <c r="C110" s="9" t="inlineStr">
        <is>
          <t>(%)</t>
        </is>
      </c>
      <c r="D110" s="346">
        <f>D63+0.01</f>
        <v/>
      </c>
      <c r="E110" s="550">
        <f>D63+0.01</f>
        <v/>
      </c>
      <c r="F110" s="550">
        <f>D63</f>
        <v/>
      </c>
      <c r="G110" s="583">
        <f>D63-0.01</f>
        <v/>
      </c>
      <c r="H110" s="22" t="n"/>
      <c r="I110" s="22" t="n"/>
      <c r="J110" s="22" t="n"/>
      <c r="K110" s="22" t="n"/>
      <c r="L110" s="22" t="n"/>
      <c r="M110" s="22" t="n"/>
    </row>
    <row r="111" ht="15" customHeight="1">
      <c r="A111" s="3" t="n"/>
      <c r="B111" s="17" t="inlineStr">
        <is>
          <t>Implied Share Price ($)</t>
        </is>
      </c>
      <c r="C111" s="9" t="inlineStr">
        <is>
          <t>($)</t>
        </is>
      </c>
      <c r="D111" s="346">
        <f>IFERROR((D82+((D69*(1+D109))/(D110-D109))/(1+D110)^5+D86+D87)/D90,"–")</f>
        <v/>
      </c>
      <c r="E111" s="575">
        <f>IFERROR((D82+((D69*(1+E109))/(E110-E109))/(1+E110)^5+D86+D87)/D90,"–")</f>
        <v/>
      </c>
      <c r="F111" s="584">
        <f>IFERROR((D82+((D69*(1+F109))/(F110-F109))/(1+F110)^5+D86+D87)/D90,"–")</f>
        <v/>
      </c>
      <c r="G111" s="585">
        <f>IFERROR((D82+((D69*(1+G109))/(G110-G109))/(1+G110)^5+D86+D87)/D90,"–")</f>
        <v/>
      </c>
      <c r="H111" s="22" t="n"/>
      <c r="I111" s="22" t="n"/>
      <c r="J111" s="22" t="n"/>
      <c r="K111" s="22" t="n"/>
      <c r="L111" s="22" t="n"/>
      <c r="M111" s="22" t="n"/>
    </row>
    <row r="112" ht="15" customHeight="1">
      <c r="A112" s="3" t="n"/>
      <c r="B112" s="14" t="n"/>
      <c r="C112" s="9" t="n"/>
      <c r="D112" s="9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</row>
    <row r="113" ht="15" customHeight="1">
      <c r="A113" s="4" t="n"/>
      <c r="B113" s="32" t="inlineStr">
        <is>
          <t>© 2015 to 2024 FinSight</t>
        </is>
      </c>
      <c r="C113" s="4" t="n"/>
      <c r="D113" s="4" t="n"/>
      <c r="E113" s="33" t="n"/>
      <c r="F113" s="33" t="n"/>
      <c r="G113" s="33" t="n"/>
      <c r="H113" s="33" t="n"/>
      <c r="I113" s="33" t="n"/>
      <c r="J113" s="33" t="n"/>
      <c r="K113" s="33" t="n"/>
      <c r="L113" s="33" t="n"/>
      <c r="M113" s="33" t="n"/>
      <c r="N113" s="33" t="n"/>
    </row>
    <row r="114" ht="15" customHeight="1">
      <c r="A114" s="4" t="n"/>
      <c r="B114" s="32" t="inlineStr">
        <is>
          <t>This Excel model is for educational purposes only.</t>
        </is>
      </c>
      <c r="C114" s="4" t="n"/>
      <c r="D114" s="4" t="n"/>
      <c r="E114" s="33" t="n"/>
      <c r="F114" s="33" t="n"/>
      <c r="G114" s="33" t="n"/>
      <c r="H114" s="33" t="n"/>
      <c r="I114" s="33" t="n"/>
      <c r="J114" s="33" t="n"/>
      <c r="K114" s="33" t="n"/>
      <c r="L114" s="33" t="n"/>
      <c r="M114" s="33" t="n"/>
      <c r="N114" s="33" t="n"/>
    </row>
    <row r="115" ht="15" customHeight="1">
      <c r="A115" s="4" t="n"/>
      <c r="B115" s="32" t="inlineStr">
        <is>
          <t>https://finsight.com/</t>
        </is>
      </c>
      <c r="C115" s="4" t="n"/>
      <c r="D115" s="4" t="n"/>
      <c r="E115" s="33" t="n"/>
      <c r="F115" s="33" t="n"/>
      <c r="G115" s="33" t="n"/>
      <c r="H115" s="33" t="n"/>
      <c r="I115" s="33" t="n"/>
      <c r="J115" s="33" t="n"/>
      <c r="K115" s="33" t="n"/>
      <c r="L115" s="33" t="n"/>
      <c r="M115" s="33" t="n"/>
      <c r="N115" s="33" t="n"/>
    </row>
    <row r="116" ht="15" customHeight="1">
      <c r="B116" s="47" t="n"/>
    </row>
    <row r="117" ht="15" customHeight="1">
      <c r="A117" s="89" t="n"/>
      <c r="B117" s="91" t="inlineStr">
        <is>
          <t>UFCF Projection ($000)</t>
        </is>
      </c>
      <c r="C117" s="91">
        <f>TEXT(INPUT!D117+1,"0")&amp;"F"</f>
        <v/>
      </c>
      <c r="D117" s="91">
        <f>TEXT(INPUT!D117+2,"0")&amp;"F"</f>
        <v/>
      </c>
      <c r="E117" s="91">
        <f>TEXT(INPUT!D117+3,"0")&amp;"F"</f>
        <v/>
      </c>
      <c r="F117" s="91">
        <f>TEXT(INPUT!D117+4,"0")&amp;"F"</f>
        <v/>
      </c>
      <c r="G117" s="91">
        <f>TEXT(INPUT!D117+5,"0")&amp;"F"</f>
        <v/>
      </c>
      <c r="H117" s="90" t="n"/>
      <c r="I117" s="90" t="n"/>
      <c r="J117" s="90" t="n"/>
      <c r="K117" s="90" t="n"/>
      <c r="L117" s="90" t="n"/>
      <c r="M117" s="90" t="n"/>
      <c r="N117" s="90" t="n"/>
    </row>
    <row r="118" ht="15" customHeight="1">
      <c r="B118" s="47" t="inlineStr">
        <is>
          <t>UFCF</t>
        </is>
      </c>
      <c r="C118" s="586">
        <f>IF(I49=0,NA(),I49)</f>
        <v/>
      </c>
      <c r="D118" s="586">
        <f>IF(J49=0,NA(),J49)</f>
        <v/>
      </c>
      <c r="E118" s="586">
        <f>IF(K49=0,NA(),K49)</f>
        <v/>
      </c>
      <c r="F118" s="586">
        <f>IF(L49=0,NA(),L49)</f>
        <v/>
      </c>
      <c r="G118" s="586">
        <f>IF(M49=0,NA(),M49)</f>
        <v/>
      </c>
      <c r="H118" s="90" t="n"/>
      <c r="I118" s="90" t="n"/>
      <c r="J118" s="90" t="n"/>
      <c r="K118" s="90" t="n"/>
      <c r="L118" s="90" t="n"/>
      <c r="M118" s="90" t="n"/>
      <c r="N118" s="90" t="n"/>
    </row>
    <row r="119" ht="15" customHeight="1">
      <c r="B119" s="47" t="n"/>
      <c r="C119" s="465" t="n"/>
      <c r="H119" s="90" t="n"/>
      <c r="I119" s="90" t="n"/>
      <c r="J119" s="90" t="n"/>
      <c r="K119" s="90" t="n"/>
      <c r="L119" s="90" t="n"/>
      <c r="M119" s="90" t="n"/>
      <c r="N119" s="90" t="n"/>
    </row>
    <row r="120" ht="15" customHeight="1">
      <c r="A120" s="89" t="n"/>
      <c r="B120" s="91" t="inlineStr">
        <is>
          <t>Revenue Projection ($000)</t>
        </is>
      </c>
      <c r="C120" s="373">
        <f>IF(I9=0,NA(),C117)</f>
        <v/>
      </c>
      <c r="D120" s="373">
        <f>IF(J9=0,NA(),D117)</f>
        <v/>
      </c>
      <c r="E120" s="373">
        <f>IF(K9=0,NA(),E117)</f>
        <v/>
      </c>
      <c r="F120" s="373">
        <f>IF(L9=0,NA(),F117)</f>
        <v/>
      </c>
      <c r="G120" s="373">
        <f>IF(M9=0,NA(),G117)</f>
        <v/>
      </c>
      <c r="H120" s="90" t="n"/>
      <c r="I120" s="90" t="n"/>
      <c r="J120" s="90" t="n"/>
      <c r="K120" s="90" t="n"/>
      <c r="L120" s="90" t="n"/>
      <c r="M120" s="90" t="n"/>
      <c r="N120" s="90" t="n"/>
    </row>
    <row r="121" ht="15" customHeight="1">
      <c r="B121" s="47" t="inlineStr">
        <is>
          <t>Revenue</t>
        </is>
      </c>
      <c r="C121" s="587">
        <f>IF(I9=0,NA(),I9)</f>
        <v/>
      </c>
      <c r="D121" s="587">
        <f>IF(J9=0,NA(),J9)</f>
        <v/>
      </c>
      <c r="E121" s="586">
        <f>IF(K9=0,NA(),K9)</f>
        <v/>
      </c>
      <c r="F121" s="586">
        <f>IF(L9=0,NA(),L9)</f>
        <v/>
      </c>
      <c r="G121" s="586">
        <f>IF(M9=0,NA(),M9)</f>
        <v/>
      </c>
      <c r="H121" s="90" t="n"/>
      <c r="I121" s="90" t="n"/>
      <c r="J121" s="90" t="n"/>
      <c r="K121" s="90" t="n"/>
      <c r="L121" s="90" t="n"/>
      <c r="M121" s="90" t="n"/>
      <c r="N121" s="90" t="n"/>
    </row>
    <row r="122" ht="15" customHeight="1">
      <c r="B122" s="47" t="n"/>
    </row>
    <row r="123" ht="15" customHeight="1">
      <c r="B123" s="47" t="n"/>
    </row>
    <row r="124" ht="15" customHeight="1">
      <c r="B124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32"/>
  <drawing xmlns:r="http://schemas.openxmlformats.org/officeDocument/2006/relationships" r:id="rId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121"/>
  <sheetViews>
    <sheetView showGridLines="0" zoomScale="79" zoomScaleNormal="100" workbookViewId="0">
      <selection activeCell="N38" sqref="N38"/>
    </sheetView>
  </sheetViews>
  <sheetFormatPr baseColWidth="10" defaultRowHeight="15"/>
  <cols>
    <col width="6.85546875" customWidth="1" min="1" max="1"/>
    <col width="34.85546875" customWidth="1" style="19" min="2" max="2"/>
    <col width="11.7109375" customWidth="1" min="3" max="3"/>
    <col width="13.28515625" customWidth="1" style="465" min="4" max="4"/>
    <col width="14.42578125" customWidth="1" style="465" min="5" max="6"/>
    <col width="12" customWidth="1" style="465" min="7" max="11"/>
    <col width="16.85546875" customWidth="1" style="465" min="12" max="12"/>
    <col width="11.5703125" customWidth="1" style="465" min="13" max="14"/>
  </cols>
  <sheetData>
    <row r="1" ht="54.95" customHeight="1">
      <c r="A1" s="223" t="n"/>
      <c r="B1" s="104" t="inlineStr">
        <is>
          <t>FinSight</t>
        </is>
      </c>
      <c r="C1" s="5" t="n"/>
      <c r="D1" s="29" t="n"/>
      <c r="E1" s="29" t="n"/>
      <c r="F1" s="29" t="n"/>
      <c r="G1" s="29" t="n"/>
      <c r="H1" s="29" t="n"/>
      <c r="I1" s="29" t="n"/>
      <c r="J1" s="29" t="n"/>
      <c r="K1" s="103" t="inlineStr">
        <is>
          <t>COMPARABLES — Trading Comparables</t>
        </is>
      </c>
      <c r="L1" s="29" t="n"/>
      <c r="M1" s="231" t="n"/>
      <c r="N1" s="231" t="n"/>
      <c r="O1" s="231" t="n"/>
    </row>
    <row r="2" ht="15" customHeight="1">
      <c r="A2" s="3" t="n"/>
      <c r="B2" s="14" t="n"/>
      <c r="C2" s="3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</row>
    <row r="3" ht="18" customHeight="1">
      <c r="A3" s="112" t="inlineStr">
        <is>
          <t xml:space="preserve"> </t>
        </is>
      </c>
      <c r="B3" s="15" t="inlineStr">
        <is>
          <t>COMPARABLES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95" t="n"/>
      <c r="N3" s="95" t="n"/>
    </row>
    <row r="4" ht="15" customHeight="1">
      <c r="A4" s="3" t="n"/>
      <c r="B4" s="12" t="inlineStr">
        <is>
          <t>All figures in USD millions unless stated</t>
        </is>
      </c>
      <c r="C4" s="3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</row>
    <row r="5" ht="15" customHeight="1">
      <c r="A5" s="3" t="n"/>
      <c r="B5" s="14" t="n"/>
      <c r="C5" s="3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</row>
    <row r="6" ht="18" customHeight="1">
      <c r="A6" s="112" t="inlineStr">
        <is>
          <t xml:space="preserve"> </t>
        </is>
      </c>
      <c r="B6" s="15" t="inlineStr">
        <is>
          <t>COMPARABLE TRADING ANALYSIS</t>
        </is>
      </c>
      <c r="C6" s="7" t="n"/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95" t="n"/>
      <c r="N6" s="95" t="n"/>
    </row>
    <row r="7" ht="15" customHeight="1">
      <c r="A7" s="224" t="n"/>
      <c r="B7" s="16" t="n"/>
      <c r="C7" s="1" t="n"/>
      <c r="D7" s="34" t="inlineStr">
        <is>
          <t>Share
Price</t>
        </is>
      </c>
      <c r="E7" s="34" t="inlineStr">
        <is>
          <t>Enterprise
Value</t>
        </is>
      </c>
      <c r="F7" s="34" t="inlineStr">
        <is>
          <t>Revenue
(LTM)</t>
        </is>
      </c>
      <c r="G7" s="34" t="inlineStr">
        <is>
          <t>EBITDA
(LTM)</t>
        </is>
      </c>
      <c r="H7" s="34" t="inlineStr">
        <is>
          <t>EV /
EBITDA</t>
        </is>
      </c>
      <c r="I7" s="34" t="inlineStr">
        <is>
          <t>EV /
Revenue</t>
        </is>
      </c>
      <c r="J7" s="34" t="inlineStr">
        <is>
          <t>EPS
(LTM)</t>
        </is>
      </c>
      <c r="K7" s="34" t="inlineStr">
        <is>
          <t>P / E
(LTM)</t>
        </is>
      </c>
      <c r="L7" s="224" t="n"/>
    </row>
    <row r="8" ht="15" customHeight="1">
      <c r="A8" s="230" t="n"/>
      <c r="B8" s="28" t="inlineStr">
        <is>
          <t>PEER COMPANIES</t>
        </is>
      </c>
      <c r="C8" s="9" t="inlineStr">
        <is>
          <t>TICKER</t>
        </is>
      </c>
      <c r="D8" s="31" t="inlineStr">
        <is>
          <t>(USD/sh)</t>
        </is>
      </c>
      <c r="E8" s="31" t="inlineStr">
        <is>
          <t>($M)</t>
        </is>
      </c>
      <c r="F8" s="31" t="inlineStr">
        <is>
          <t>($M)</t>
        </is>
      </c>
      <c r="G8" s="31" t="inlineStr">
        <is>
          <t>($M)</t>
        </is>
      </c>
      <c r="H8" s="31" t="inlineStr">
        <is>
          <t>(x)</t>
        </is>
      </c>
      <c r="I8" s="31" t="inlineStr">
        <is>
          <t>(x)</t>
        </is>
      </c>
      <c r="J8" s="31" t="inlineStr">
        <is>
          <t>(USD/sh)</t>
        </is>
      </c>
      <c r="K8" s="31" t="inlineStr">
        <is>
          <t>(x)</t>
        </is>
      </c>
    </row>
    <row r="9" ht="15" customHeight="1">
      <c r="A9" s="3" t="n"/>
      <c r="B9" s="39" t="inlineStr">
        <is>
          <t>THALES.PA</t>
        </is>
      </c>
      <c r="C9" s="9" t="inlineStr">
        <is>
          <t>THALES.PA</t>
        </is>
      </c>
      <c r="D9" s="588" t="n">
        <v>75.33</v>
      </c>
      <c r="E9" s="589" t="n">
        <v>173303.61</v>
      </c>
      <c r="F9" s="589" t="n">
        <v>185019.01</v>
      </c>
      <c r="G9" s="589" t="n">
        <v>17629</v>
      </c>
      <c r="H9" s="590">
        <f>IFERROR(E9/G9,"–")</f>
        <v/>
      </c>
      <c r="I9" s="590">
        <f>IFERROR(E9/F9,"–")</f>
        <v/>
      </c>
      <c r="J9" s="588" t="n">
        <v>15.98</v>
      </c>
      <c r="K9" s="590">
        <f>IFERROR(D9/J9,"–")</f>
        <v/>
      </c>
    </row>
    <row r="10" ht="15" customHeight="1">
      <c r="A10" s="3" t="n"/>
      <c r="B10" s="39" t="inlineStr">
        <is>
          <t>24558</t>
        </is>
      </c>
      <c r="C10" s="9" t="inlineStr">
        <is>
          <t>BAE.L</t>
        </is>
      </c>
      <c r="D10" s="588" t="n">
        <v>11.62</v>
      </c>
      <c r="E10" s="589" t="n">
        <v>183371.55</v>
      </c>
      <c r="F10" s="589" t="n">
        <v>187267.01</v>
      </c>
      <c r="G10" s="589" t="n">
        <v>5393</v>
      </c>
      <c r="H10" s="590">
        <f>IFERROR(E10/G10,"–")</f>
        <v/>
      </c>
      <c r="I10" s="590">
        <f>IFERROR(E10/F10,"–")</f>
        <v/>
      </c>
      <c r="J10" s="588" t="n">
        <v>10.81</v>
      </c>
      <c r="K10" s="590">
        <f>IFERROR(D10/J10,"–")</f>
        <v/>
      </c>
    </row>
    <row r="11" ht="15" customHeight="1">
      <c r="A11" s="3" t="n"/>
      <c r="B11" s="39" t="inlineStr">
        <is>
          <t>Lockheed Martin Corporation</t>
        </is>
      </c>
      <c r="C11" s="9" t="inlineStr">
        <is>
          <t>LMT</t>
        </is>
      </c>
      <c r="D11" s="588" t="n">
        <v>628.5</v>
      </c>
      <c r="E11" s="589" t="n">
        <v>163255.44</v>
      </c>
      <c r="F11" s="589" t="n">
        <v>75048</v>
      </c>
      <c r="G11" s="589" t="n">
        <v>8285</v>
      </c>
      <c r="H11" s="590">
        <f>IFERROR(E11/G11,"–")</f>
        <v/>
      </c>
      <c r="I11" s="590">
        <f>IFERROR(E11/F11,"–")</f>
        <v/>
      </c>
      <c r="J11" s="588" t="n">
        <v>23.5</v>
      </c>
      <c r="K11" s="590">
        <f>IFERROR(D11/J11,"–")</f>
        <v/>
      </c>
    </row>
    <row r="12" ht="15" customHeight="1">
      <c r="A12" s="3" t="n"/>
      <c r="B12" s="39" t="inlineStr">
        <is>
          <t>General Dynamics Corporation</t>
        </is>
      </c>
      <c r="C12" s="9" t="inlineStr">
        <is>
          <t>GD</t>
        </is>
      </c>
      <c r="D12" s="588" t="n">
        <v>350.02</v>
      </c>
      <c r="E12" s="589" t="n">
        <v>144410</v>
      </c>
      <c r="F12" s="589" t="n">
        <v>133453</v>
      </c>
      <c r="G12" s="589" t="n">
        <v>15742</v>
      </c>
      <c r="H12" s="590">
        <f>IFERROR(E12/G12,"–")</f>
        <v/>
      </c>
      <c r="I12" s="590">
        <f>IFERROR(E12/F12,"–")</f>
        <v/>
      </c>
      <c r="J12" s="588" t="n">
        <v>1.3</v>
      </c>
      <c r="K12" s="590">
        <f>IFERROR(D12/J12,"–")</f>
        <v/>
      </c>
    </row>
    <row r="13" ht="15" customHeight="1">
      <c r="A13" s="3" t="n"/>
      <c r="B13" s="39" t="inlineStr">
        <is>
          <t>RTX Corporation</t>
        </is>
      </c>
      <c r="C13" s="9" t="inlineStr">
        <is>
          <t>RTX</t>
        </is>
      </c>
      <c r="D13" s="591" t="n">
        <v>203.48</v>
      </c>
      <c r="E13" s="592" t="n">
        <v>258704.92</v>
      </c>
      <c r="F13" s="592" t="n">
        <v>321913</v>
      </c>
      <c r="G13" s="592" t="n">
        <v>24292</v>
      </c>
      <c r="H13" s="593">
        <f>IFERROR(E13/G13,"–")</f>
        <v/>
      </c>
      <c r="I13" s="593">
        <f>IFERROR(E13/F13,"–")</f>
        <v/>
      </c>
      <c r="J13" s="591" t="n"/>
      <c r="K13" s="593">
        <f>IFERROR(D13/J13,"–")</f>
        <v/>
      </c>
    </row>
    <row r="14" ht="15" customHeight="1">
      <c r="A14" s="3" t="n"/>
      <c r="B14" s="14" t="n"/>
      <c r="C14" s="9" t="n"/>
      <c r="D14" s="22" t="n"/>
      <c r="E14" s="22" t="n"/>
      <c r="F14" s="22" t="n"/>
      <c r="G14" s="22" t="n"/>
      <c r="H14" s="22" t="n"/>
      <c r="I14" s="22" t="n"/>
      <c r="J14" s="22" t="n"/>
      <c r="K14" s="22" t="n"/>
    </row>
    <row r="15" ht="15" customHeight="1">
      <c r="A15" s="3" t="n"/>
      <c r="B15" s="14" t="inlineStr">
        <is>
          <t>Mean</t>
        </is>
      </c>
      <c r="C15" s="9" t="n"/>
      <c r="D15" s="594">
        <f>IFERROR(AVERAGE(D9:D13),"–")</f>
        <v/>
      </c>
      <c r="E15" s="594">
        <f>IFERROR(AVERAGE(E9:E13),"–")</f>
        <v/>
      </c>
      <c r="F15" s="594">
        <f>IFERROR(AVERAGE(F9:F13),"–")</f>
        <v/>
      </c>
      <c r="G15" s="594">
        <f>IFERROR(AVERAGE(G9:G13),"–")</f>
        <v/>
      </c>
      <c r="H15" s="595">
        <f>IFERROR(AVERAGE(H9:H13),"–")</f>
        <v/>
      </c>
      <c r="I15" s="595">
        <f>IFERROR(AVERAGE(I9:I13),"–")</f>
        <v/>
      </c>
      <c r="J15" s="596">
        <f>IFERROR(AVERAGE(J9:J13),"–")</f>
        <v/>
      </c>
      <c r="K15" s="595">
        <f>IFERROR(AVERAGE(K9:K13),"–")</f>
        <v/>
      </c>
    </row>
    <row r="16" ht="15" customHeight="1">
      <c r="A16" s="3" t="n"/>
      <c r="B16" s="14" t="inlineStr">
        <is>
          <t>Median</t>
        </is>
      </c>
      <c r="C16" s="9" t="n"/>
      <c r="D16" s="594">
        <f>IFERROR(MEDIAN(D9:D13),"–")</f>
        <v/>
      </c>
      <c r="E16" s="594">
        <f>IFERROR(MEDIAN(E9:E13),"–")</f>
        <v/>
      </c>
      <c r="F16" s="594">
        <f>IFERROR(MEDIAN(F9:F13),"–")</f>
        <v/>
      </c>
      <c r="G16" s="594">
        <f>IFERROR(MEDIAN(G9:G13),"–")</f>
        <v/>
      </c>
      <c r="H16" s="595">
        <f>IFERROR(MEDIAN(H9:H13),"–")</f>
        <v/>
      </c>
      <c r="I16" s="595">
        <f>IFERROR(MEDIAN(I9:I13),"–")</f>
        <v/>
      </c>
      <c r="J16" s="596">
        <f>IFERROR(MEDIAN(J9:J13),"–")</f>
        <v/>
      </c>
      <c r="K16" s="595">
        <f>IFERROR(MEDIAN(K9:K13),"–")</f>
        <v/>
      </c>
    </row>
    <row r="17" ht="15" customHeight="1">
      <c r="A17" s="3" t="n"/>
      <c r="B17" s="14" t="inlineStr">
        <is>
          <t>Maximum</t>
        </is>
      </c>
      <c r="C17" s="9" t="n"/>
      <c r="D17" s="597">
        <f>IFERROR(MAX(D9:D13),"–")</f>
        <v/>
      </c>
      <c r="E17" s="597">
        <f>IFERROR(MAX(E9:E13),"–")</f>
        <v/>
      </c>
      <c r="F17" s="597">
        <f>IFERROR(MAX(F9:F13),"–")</f>
        <v/>
      </c>
      <c r="G17" s="597">
        <f>IFERROR(MAX(G9:G13),"–")</f>
        <v/>
      </c>
      <c r="H17" s="598">
        <f>IFERROR(MAX(H9:H13),"–")</f>
        <v/>
      </c>
      <c r="I17" s="598">
        <f>IFERROR(MAX(I9:I13),"–")</f>
        <v/>
      </c>
      <c r="J17" s="599">
        <f>IFERROR(MAX(J9:J13),"–")</f>
        <v/>
      </c>
      <c r="K17" s="598">
        <f>IFERROR(MAX(K9:K13),"–")</f>
        <v/>
      </c>
    </row>
    <row r="18" ht="15" customHeight="1" thickBot="1">
      <c r="A18" s="3" t="n"/>
      <c r="B18" s="14" t="inlineStr">
        <is>
          <t>Minimum</t>
        </is>
      </c>
      <c r="C18" s="9" t="n"/>
      <c r="D18" s="600">
        <f>IFERROR(MIN(D9:D13),"–")</f>
        <v/>
      </c>
      <c r="E18" s="600">
        <f>IFERROR(MIN(E9:E13),"–")</f>
        <v/>
      </c>
      <c r="F18" s="600">
        <f>IFERROR(MIN(F9:F13),"–")</f>
        <v/>
      </c>
      <c r="G18" s="600">
        <f>IFERROR(MIN(G9:G13),"–")</f>
        <v/>
      </c>
      <c r="H18" s="601">
        <f>IFERROR(MIN(H9:H13),"–")</f>
        <v/>
      </c>
      <c r="I18" s="601">
        <f>IFERROR(MIN(I9:I13),"–")</f>
        <v/>
      </c>
      <c r="J18" s="602">
        <f>IFERROR(MIN(J9:J13),"–")</f>
        <v/>
      </c>
      <c r="K18" s="601">
        <f>IFERROR(MIN(K9:K13),"–")</f>
        <v/>
      </c>
    </row>
    <row r="19" ht="15" customHeight="1">
      <c r="A19" s="3" t="n"/>
      <c r="B19" s="14" t="n"/>
      <c r="C19" s="9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</row>
    <row r="20" ht="18" customHeight="1">
      <c r="A20" s="112" t="inlineStr">
        <is>
          <t xml:space="preserve"> </t>
        </is>
      </c>
      <c r="B20" s="49" t="inlineStr">
        <is>
          <t>TARGET COMPANY VALUATION (Based on Peer Multiples)</t>
        </is>
      </c>
      <c r="C20" s="44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95" t="n"/>
      <c r="N20" s="95" t="n"/>
    </row>
    <row r="21" ht="15" customHeight="1">
      <c r="A21" s="224" t="n"/>
      <c r="B21" s="48" t="inlineStr">
        <is>
          <t>TARGET COMPANY METRICS (from INPUT)</t>
        </is>
      </c>
      <c r="C21" s="10" t="n"/>
      <c r="D21" s="24">
        <f>INPUT!H5</f>
        <v/>
      </c>
      <c r="E21" s="24" t="n"/>
      <c r="F21" s="24" t="n"/>
      <c r="G21" s="24" t="n"/>
      <c r="H21" s="24" t="n"/>
      <c r="I21" s="24" t="n"/>
      <c r="J21" s="24" t="n"/>
      <c r="K21" s="24" t="n"/>
      <c r="L21" s="24" t="n"/>
      <c r="M21" s="224" t="n"/>
      <c r="N21" s="224" t="n"/>
    </row>
    <row r="22" ht="15" customHeight="1">
      <c r="A22" s="3" t="n"/>
      <c r="B22" s="17" t="inlineStr">
        <is>
          <t>Target: Revenue (LTM)</t>
        </is>
      </c>
      <c r="C22" s="9" t="inlineStr">
        <is>
          <t>($M)</t>
        </is>
      </c>
      <c r="D22" s="603">
        <f>INPUT!H9/1000</f>
        <v/>
      </c>
      <c r="E22" s="22" t="n"/>
      <c r="F22" s="22" t="n"/>
      <c r="G22" s="22" t="n"/>
      <c r="H22" s="22" t="n"/>
      <c r="I22" s="22" t="n"/>
      <c r="J22" s="22" t="n"/>
      <c r="K22" s="22" t="n"/>
      <c r="L22" s="22" t="n"/>
    </row>
    <row r="23" ht="15" customHeight="1">
      <c r="A23" s="3" t="n"/>
      <c r="B23" s="17" t="inlineStr">
        <is>
          <t>Target: EBITDA (LTM)</t>
        </is>
      </c>
      <c r="C23" s="9" t="inlineStr">
        <is>
          <t>($M)</t>
        </is>
      </c>
      <c r="D23" s="603">
        <f>INPUT!H30/1000</f>
        <v/>
      </c>
      <c r="E23" s="22" t="n"/>
      <c r="F23" s="22" t="n"/>
      <c r="G23" s="22" t="n"/>
      <c r="H23" s="22" t="n"/>
      <c r="I23" s="22" t="n"/>
      <c r="J23" s="22" t="n"/>
      <c r="K23" s="22" t="n"/>
      <c r="L23" s="22" t="n"/>
    </row>
    <row r="24" ht="15" customHeight="1">
      <c r="A24" s="3" t="n"/>
      <c r="B24" s="17" t="inlineStr">
        <is>
          <t>Target: EPS (LTM)</t>
        </is>
      </c>
      <c r="C24" s="9" t="inlineStr">
        <is>
          <t>($)</t>
        </is>
      </c>
      <c r="D24" s="604">
        <f>IFERROR(INPUT!F26/INPUT!F96,"–")</f>
        <v/>
      </c>
      <c r="E24" s="22" t="n"/>
      <c r="F24" s="22" t="n"/>
      <c r="G24" s="22" t="n"/>
      <c r="H24" s="22" t="n"/>
      <c r="I24" s="22" t="n"/>
      <c r="J24" s="22" t="n"/>
      <c r="K24" s="22" t="n"/>
      <c r="L24" s="22" t="n"/>
    </row>
    <row r="25" ht="15" customHeight="1">
      <c r="A25" s="3" t="n"/>
      <c r="B25" s="17" t="inlineStr">
        <is>
          <t>Target: Net Debt</t>
        </is>
      </c>
      <c r="C25" s="9" t="inlineStr">
        <is>
          <t>($M)</t>
        </is>
      </c>
      <c r="D25" s="603">
        <f>IFERROR((INPUT!H54+INPUT!H55-INPUT!H34)/1000,"–")</f>
        <v/>
      </c>
      <c r="E25" s="22" t="n"/>
      <c r="F25" s="22" t="n"/>
      <c r="G25" s="22" t="n"/>
      <c r="H25" s="22" t="n"/>
      <c r="I25" s="22" t="n"/>
      <c r="J25" s="22" t="n"/>
      <c r="K25" s="22" t="n"/>
      <c r="L25" s="22" t="n"/>
    </row>
    <row r="26" ht="15" customHeight="1">
      <c r="A26" s="3" t="n"/>
      <c r="B26" s="17" t="inlineStr">
        <is>
          <t>Target: Shares Outstanding</t>
        </is>
      </c>
      <c r="C26" s="9" t="inlineStr">
        <is>
          <t>(M)</t>
        </is>
      </c>
      <c r="D26" s="605">
        <f>INPUT!H96/1000</f>
        <v/>
      </c>
      <c r="E26" s="22" t="n"/>
      <c r="F26" s="22" t="n"/>
      <c r="G26" s="22" t="n"/>
      <c r="H26" s="22" t="n"/>
      <c r="I26" s="22" t="n"/>
      <c r="J26" s="22" t="n"/>
      <c r="K26" s="22" t="n"/>
      <c r="L26" s="22" t="n"/>
    </row>
    <row r="27" ht="15" customHeight="1">
      <c r="A27" s="3" t="n"/>
      <c r="B27" s="14" t="n"/>
      <c r="C27" s="9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</row>
    <row r="28" ht="18" customHeight="1">
      <c r="A28" s="112" t="inlineStr">
        <is>
          <t xml:space="preserve"> </t>
        </is>
      </c>
      <c r="B28" s="49" t="inlineStr">
        <is>
          <t>IMPLIED VALUATION</t>
        </is>
      </c>
      <c r="C28" s="44" t="n"/>
      <c r="D28" s="46" t="n"/>
      <c r="E28" s="46" t="n"/>
      <c r="F28" s="46" t="n"/>
      <c r="G28" s="46" t="n"/>
      <c r="H28" s="23" t="n"/>
      <c r="I28" s="23" t="n"/>
      <c r="J28" s="23" t="n"/>
      <c r="K28" s="23" t="n"/>
      <c r="L28" s="23" t="n"/>
      <c r="M28" s="95" t="n"/>
      <c r="N28" s="95" t="n"/>
    </row>
    <row r="29" ht="15" customHeight="1">
      <c r="A29" s="3" t="n"/>
      <c r="B29" s="17" t="inlineStr">
        <is>
          <t>EV / EBITDA — Implied EV ($M)</t>
        </is>
      </c>
      <c r="C29" s="9" t="n"/>
      <c r="D29" s="606">
        <f>IFERROR(D23*H18,"–")</f>
        <v/>
      </c>
      <c r="E29" s="606">
        <f>IFERROR(D23*H15,"–")</f>
        <v/>
      </c>
      <c r="F29" s="606">
        <f>IFERROR(D23*H16,"–")</f>
        <v/>
      </c>
      <c r="G29" s="606">
        <f>IFERROR(D23*H17,"–")</f>
        <v/>
      </c>
      <c r="H29" s="22" t="n"/>
      <c r="I29" s="22" t="n"/>
      <c r="J29" s="22" t="n"/>
      <c r="K29" s="22" t="n"/>
      <c r="L29" s="22" t="n"/>
    </row>
    <row r="30" ht="15" customHeight="1">
      <c r="A30" s="3" t="n"/>
      <c r="B30" s="17" t="inlineStr">
        <is>
          <t>EV / Revenue — Implied EV ($M)</t>
        </is>
      </c>
      <c r="C30" s="9" t="n"/>
      <c r="D30" s="606">
        <f>IFERROR(D22*I18,"–")</f>
        <v/>
      </c>
      <c r="E30" s="606">
        <f>IFERROR(D22*I15,"–")</f>
        <v/>
      </c>
      <c r="F30" s="606">
        <f>IFERROR(D22*I16,"–")</f>
        <v/>
      </c>
      <c r="G30" s="606">
        <f>IFERROR(D22*I17,"–")</f>
        <v/>
      </c>
      <c r="H30" s="22" t="n"/>
      <c r="I30" s="22" t="n"/>
      <c r="J30" s="22" t="n"/>
      <c r="K30" s="22" t="n"/>
      <c r="L30" s="22" t="n"/>
    </row>
    <row r="31" ht="15" customHeight="1">
      <c r="A31" s="3" t="n"/>
      <c r="B31" s="17" t="inlineStr">
        <is>
          <t>P/E — Implied Equity Value ($M)</t>
        </is>
      </c>
      <c r="C31" s="9" t="n"/>
      <c r="D31" s="606">
        <f>IFERROR(D24*K18*D26,"–")</f>
        <v/>
      </c>
      <c r="E31" s="606">
        <f>IFERROR(D24*K15*D26,"–")</f>
        <v/>
      </c>
      <c r="F31" s="606">
        <f>IFERROR(D24*K16*D26,"–")</f>
        <v/>
      </c>
      <c r="G31" s="606">
        <f>IFERROR(D24*K17*D26,"–")</f>
        <v/>
      </c>
      <c r="H31" s="22" t="n"/>
      <c r="I31" s="22" t="n"/>
      <c r="J31" s="22" t="n"/>
      <c r="K31" s="22" t="n"/>
      <c r="L31" s="22" t="n"/>
    </row>
    <row r="32" ht="15" customHeight="1">
      <c r="A32" s="3" t="n"/>
      <c r="B32" s="17" t="n"/>
      <c r="C32" s="9" t="n"/>
      <c r="D32" s="57" t="n"/>
      <c r="E32" s="22" t="n"/>
      <c r="F32" s="22" t="n"/>
      <c r="G32" s="57" t="n"/>
      <c r="H32" s="22" t="n"/>
      <c r="I32" s="22" t="n"/>
      <c r="J32" s="22" t="n"/>
      <c r="K32" s="22" t="n"/>
      <c r="L32" s="22" t="n"/>
    </row>
    <row r="33" ht="15" customHeight="1">
      <c r="A33" s="3" t="n"/>
      <c r="B33" s="17" t="inlineStr">
        <is>
          <t>Implied Enterprise Value (Average of 3 Methods)</t>
        </is>
      </c>
      <c r="C33" s="9" t="inlineStr">
        <is>
          <t>($M)</t>
        </is>
      </c>
      <c r="D33" s="606">
        <f>IFERROR(AVERAGE(D29,D30),"–")</f>
        <v/>
      </c>
      <c r="E33" s="606">
        <f>IFERROR(AVERAGE(E29,E30),"–")</f>
        <v/>
      </c>
      <c r="F33" s="606">
        <f>IFERROR(AVERAGE(F29,F30),"–")</f>
        <v/>
      </c>
      <c r="G33" s="606">
        <f>IFERROR(AVERAGE(G29,G30),"–")</f>
        <v/>
      </c>
      <c r="H33" s="22" t="n"/>
      <c r="I33" s="22" t="n"/>
      <c r="J33" s="22" t="n"/>
      <c r="K33" s="22" t="n"/>
      <c r="L33" s="22" t="n"/>
    </row>
    <row r="34" ht="15" customHeight="1">
      <c r="A34" s="3" t="n"/>
      <c r="B34" s="17" t="inlineStr">
        <is>
          <t>(-) Net Debt</t>
        </is>
      </c>
      <c r="C34" s="9" t="inlineStr">
        <is>
          <t>($M)</t>
        </is>
      </c>
      <c r="D34" s="606">
        <f>D25</f>
        <v/>
      </c>
      <c r="E34" s="606">
        <f>D25</f>
        <v/>
      </c>
      <c r="F34" s="606">
        <f>D25</f>
        <v/>
      </c>
      <c r="G34" s="606">
        <f>D25</f>
        <v/>
      </c>
      <c r="H34" s="22" t="n"/>
      <c r="I34" s="22" t="n"/>
      <c r="J34" s="22" t="n"/>
      <c r="K34" s="22" t="n"/>
      <c r="L34" s="22" t="n"/>
    </row>
    <row r="35" ht="15" customHeight="1">
      <c r="A35" s="3" t="n"/>
      <c r="B35" s="17" t="inlineStr">
        <is>
          <t>Implied Equity Value ($M)</t>
        </is>
      </c>
      <c r="C35" s="9" t="inlineStr">
        <is>
          <t>($M)</t>
        </is>
      </c>
      <c r="D35" s="606">
        <f>IFERROR(D33-D34,"–")</f>
        <v/>
      </c>
      <c r="E35" s="606">
        <f>IFERROR(E33-E34,"–")</f>
        <v/>
      </c>
      <c r="F35" s="606">
        <f>IFERROR(F33-F34,"–")</f>
        <v/>
      </c>
      <c r="G35" s="606">
        <f>IFERROR(G33-G34,"–")</f>
        <v/>
      </c>
      <c r="H35" s="22" t="n"/>
      <c r="I35" s="22" t="n"/>
      <c r="J35" s="22" t="n"/>
      <c r="K35" s="22" t="n"/>
      <c r="L35" s="22" t="n"/>
    </row>
    <row r="36" ht="15" customHeight="1" thickBot="1">
      <c r="A36" s="3" t="n"/>
      <c r="B36" s="54" t="inlineStr">
        <is>
          <t>Implied Share Price ($)</t>
        </is>
      </c>
      <c r="C36" s="11" t="inlineStr">
        <is>
          <t>($)</t>
        </is>
      </c>
      <c r="D36" s="607">
        <f>IFERROR(D35/D26,"–")</f>
        <v/>
      </c>
      <c r="E36" s="607">
        <f>IFERROR(E35/D26,"–")</f>
        <v/>
      </c>
      <c r="F36" s="607">
        <f>IFERROR(F35/D26,"–")</f>
        <v/>
      </c>
      <c r="G36" s="607">
        <f>IFERROR(G35/D26,"–")</f>
        <v/>
      </c>
      <c r="H36" s="331" t="n"/>
      <c r="I36" s="66" t="n"/>
      <c r="J36" s="66" t="n"/>
      <c r="K36" s="66" t="n"/>
      <c r="L36" s="66" t="n"/>
    </row>
    <row r="37" ht="15" customHeight="1">
      <c r="A37" s="3" t="n"/>
      <c r="B37" s="17" t="inlineStr">
        <is>
          <t>Current Share Price ($)</t>
        </is>
      </c>
      <c r="C37" s="9" t="inlineStr">
        <is>
          <t>($)</t>
        </is>
      </c>
      <c r="D37" s="596">
        <f>INPUT!H95</f>
        <v/>
      </c>
      <c r="E37" s="596">
        <f>INPUT!H95</f>
        <v/>
      </c>
      <c r="F37" s="596">
        <f>INPUT!H95</f>
        <v/>
      </c>
      <c r="G37" s="596">
        <f>INPUT!H95</f>
        <v/>
      </c>
      <c r="H37" s="22" t="n"/>
      <c r="I37" s="22" t="n"/>
      <c r="J37" s="22" t="n"/>
      <c r="K37" s="22" t="n"/>
      <c r="L37" s="22" t="n"/>
    </row>
    <row r="38" ht="15" customHeight="1" thickBot="1">
      <c r="A38" s="3" t="n"/>
      <c r="B38" s="54" t="inlineStr">
        <is>
          <t>Implied Upside / (Downside)</t>
        </is>
      </c>
      <c r="C38" s="11" t="inlineStr">
        <is>
          <t>(%)</t>
        </is>
      </c>
      <c r="D38" s="608">
        <f>IFERROR(D36/D37-1,"–")</f>
        <v/>
      </c>
      <c r="E38" s="608">
        <f>IFERROR(E36/D37-1,"–")</f>
        <v/>
      </c>
      <c r="F38" s="608">
        <f>IFERROR(F36/D37-1,"–")</f>
        <v/>
      </c>
      <c r="G38" s="608">
        <f>IFERROR(G36/D37-1,"–")</f>
        <v/>
      </c>
      <c r="H38" s="331" t="n"/>
      <c r="I38" s="66" t="n"/>
      <c r="J38" s="66" t="n"/>
      <c r="K38" s="66" t="n"/>
      <c r="L38" s="66" t="n"/>
    </row>
    <row r="39" ht="15" customHeight="1">
      <c r="A39" s="3" t="n"/>
      <c r="B39" s="54" t="n"/>
      <c r="C39" s="11" t="n"/>
      <c r="D39" s="585" t="n"/>
      <c r="E39" s="585" t="n"/>
      <c r="F39" s="585" t="n"/>
      <c r="G39" s="585" t="n"/>
      <c r="H39" s="331" t="n"/>
      <c r="I39" s="331" t="n"/>
      <c r="J39" s="331" t="n"/>
      <c r="K39" s="331" t="n"/>
      <c r="L39" s="331" t="n"/>
    </row>
    <row r="40" ht="15" customHeight="1">
      <c r="A40" s="3" t="n"/>
      <c r="B40" s="17" t="n"/>
      <c r="C40" s="9" t="n"/>
      <c r="D40" s="609" t="n"/>
      <c r="E40" s="610" t="n"/>
      <c r="F40" s="610" t="n"/>
      <c r="G40" s="609" t="n"/>
      <c r="H40" s="22" t="n"/>
      <c r="I40" s="22" t="n"/>
      <c r="J40" s="22" t="n"/>
      <c r="K40" s="22" t="n"/>
      <c r="L40" s="22" t="n"/>
    </row>
    <row r="41" ht="15" customHeight="1">
      <c r="A41" s="3" t="n"/>
      <c r="B41" s="18" t="inlineStr">
        <is>
          <t>(1) Target company EV based on LTM EV/EBITDA and EV/Revenue multiples relative to comparable peer set.</t>
        </is>
      </c>
      <c r="C41" s="3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</row>
    <row r="42" ht="15" customHeight="1">
      <c r="A42" s="3" t="n"/>
      <c r="B42" s="14" t="n"/>
      <c r="C42" s="3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</row>
    <row r="43" ht="15" customHeight="1">
      <c r="A43" s="223" t="n"/>
      <c r="B43" s="32" t="inlineStr">
        <is>
          <t>© 2015 to 2024 FinSight</t>
        </is>
      </c>
      <c r="C43" s="4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231" t="n"/>
      <c r="N43" s="231" t="n"/>
    </row>
    <row r="44" ht="15" customHeight="1">
      <c r="A44" s="223" t="n"/>
      <c r="B44" s="32" t="inlineStr">
        <is>
          <t>This Excel model is for educational purposes only.</t>
        </is>
      </c>
      <c r="C44" s="4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231" t="n"/>
      <c r="N44" s="231" t="n"/>
    </row>
    <row r="45" ht="15" customHeight="1">
      <c r="A45" s="223" t="n"/>
      <c r="B45" s="32" t="inlineStr">
        <is>
          <t>https://finsight.com/</t>
        </is>
      </c>
      <c r="C45" s="4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231" t="n"/>
      <c r="N45" s="231" t="n"/>
    </row>
    <row r="46" ht="15" customHeight="1">
      <c r="B46" s="47" t="n"/>
    </row>
    <row r="47" ht="15" customHeight="1">
      <c r="A47" s="98" t="n"/>
      <c r="B47" s="93" t="inlineStr">
        <is>
          <t>Company</t>
        </is>
      </c>
      <c r="C47" s="94" t="inlineStr">
        <is>
          <t>EV/EBITDA (x)</t>
        </is>
      </c>
      <c r="D47" s="94" t="inlineStr">
        <is>
          <t>EV/Revenue (x)</t>
        </is>
      </c>
      <c r="E47" s="92" t="inlineStr">
        <is>
          <t>P/E (x)</t>
        </is>
      </c>
      <c r="F47" s="92" t="n"/>
      <c r="G47" s="92" t="n"/>
      <c r="H47" s="92" t="n"/>
      <c r="I47" s="92" t="n"/>
      <c r="J47" s="92" t="n"/>
      <c r="K47" s="92" t="n"/>
      <c r="L47" s="92" t="n"/>
      <c r="M47" s="232" t="n"/>
      <c r="N47" s="232" t="n"/>
    </row>
    <row r="48" ht="15" customHeight="1">
      <c r="B48" s="305">
        <f>B9</f>
        <v/>
      </c>
      <c r="C48" s="443">
        <f>IFERROR(H9*1,0)</f>
        <v/>
      </c>
      <c r="D48" s="444">
        <f>IFERROR(I9*1,0)</f>
        <v/>
      </c>
      <c r="E48" s="445">
        <f>IFERROR(K9*1,0)</f>
        <v/>
      </c>
    </row>
    <row r="49" ht="15" customHeight="1">
      <c r="B49" s="305">
        <f>B10</f>
        <v/>
      </c>
      <c r="C49" s="443">
        <f>IFERROR(H10*1,0)</f>
        <v/>
      </c>
      <c r="D49" s="444">
        <f>IFERROR(I10*1,0)</f>
        <v/>
      </c>
      <c r="E49" s="445">
        <f>IFERROR(K10*1,0)</f>
        <v/>
      </c>
    </row>
    <row r="50" ht="15" customHeight="1">
      <c r="B50" s="305">
        <f>B11</f>
        <v/>
      </c>
      <c r="C50" s="443">
        <f>IFERROR(H11*1,0)</f>
        <v/>
      </c>
      <c r="D50" s="444">
        <f>IFERROR(I11*1,0)</f>
        <v/>
      </c>
      <c r="E50" s="445">
        <f>IFERROR(K11*1,0)</f>
        <v/>
      </c>
    </row>
    <row r="51" ht="15" customHeight="1">
      <c r="B51" s="305">
        <f>B12</f>
        <v/>
      </c>
      <c r="C51" s="443">
        <f>IFERROR(H12*1,0)</f>
        <v/>
      </c>
      <c r="D51" s="444">
        <f>IFERROR(I12*1,0)</f>
        <v/>
      </c>
      <c r="E51" s="445">
        <f>IFERROR(K12*1,0)</f>
        <v/>
      </c>
    </row>
    <row r="52" ht="15" customHeight="1">
      <c r="B52" s="305">
        <f>B13</f>
        <v/>
      </c>
      <c r="C52" s="443">
        <f>IFERROR(H13*1,0)</f>
        <v/>
      </c>
      <c r="D52" s="444">
        <f>IFERROR(I13*1,0)</f>
        <v/>
      </c>
      <c r="E52" s="445">
        <f>IFERROR(K13*1,0)</f>
        <v/>
      </c>
    </row>
    <row r="53" ht="15" customHeight="1">
      <c r="B53" s="305">
        <f>B15</f>
        <v/>
      </c>
      <c r="C53" s="443">
        <f>IFERROR(H15*1,0)</f>
        <v/>
      </c>
      <c r="D53" s="444">
        <f>IFERROR(I15*1,0)</f>
        <v/>
      </c>
      <c r="E53" s="445">
        <f>IFERROR(K15*1,0)</f>
        <v/>
      </c>
    </row>
    <row r="54" ht="15" customHeight="1">
      <c r="B54" s="336" t="inlineStr">
        <is>
          <t>Implied Share Price — Valuation Range ($)</t>
        </is>
      </c>
      <c r="H54" s="465" t="inlineStr">
        <is>
          <t>Method</t>
        </is>
      </c>
      <c r="I54" s="465" t="inlineStr">
        <is>
          <t>Low ($)</t>
        </is>
      </c>
      <c r="J54" s="465" t="inlineStr">
        <is>
          <t>High ($)</t>
        </is>
      </c>
      <c r="K54" s="465" t="inlineStr">
        <is>
          <t>Current ($)</t>
        </is>
      </c>
    </row>
    <row r="55" ht="15" customHeight="1">
      <c r="B55" s="91" t="inlineStr">
        <is>
          <t>Method</t>
        </is>
      </c>
      <c r="C55" s="89" t="inlineStr">
        <is>
          <t>Low ($)</t>
        </is>
      </c>
      <c r="D55" s="92" t="inlineStr">
        <is>
          <t>Median ($)</t>
        </is>
      </c>
      <c r="E55" s="92" t="inlineStr">
        <is>
          <t>High ($)</t>
        </is>
      </c>
      <c r="H55" s="465" t="inlineStr">
        <is>
          <t>EV/EBITDA</t>
        </is>
      </c>
      <c r="I55" s="465">
        <f>IFERROR(D36,0)</f>
        <v/>
      </c>
      <c r="J55" s="465">
        <f>IFERROR(G36,0)</f>
        <v/>
      </c>
      <c r="K55" s="338">
        <f>INPUT!H95</f>
        <v/>
      </c>
    </row>
    <row r="56" ht="15" customHeight="1">
      <c r="B56" s="337">
        <f>B29</f>
        <v/>
      </c>
      <c r="C56" s="446">
        <f>IFERROR(D36,"–")</f>
        <v/>
      </c>
      <c r="D56" s="447">
        <f>IFERROR(F36,"–")</f>
        <v/>
      </c>
      <c r="E56" s="447">
        <f>IFERROR(G36,"–")</f>
        <v/>
      </c>
      <c r="H56" s="465" t="inlineStr">
        <is>
          <t>EV/Revenue</t>
        </is>
      </c>
      <c r="I56" s="465">
        <f>IFERROR(D36,0)</f>
        <v/>
      </c>
      <c r="J56" s="465">
        <f>IFERROR(G36,0)</f>
        <v/>
      </c>
      <c r="K56" s="338">
        <f>INPUT!H95</f>
        <v/>
      </c>
    </row>
    <row r="57" ht="15" customHeight="1">
      <c r="B57" s="337">
        <f>B30</f>
        <v/>
      </c>
      <c r="C57" s="446">
        <f>IFERROR(D36,"–")</f>
        <v/>
      </c>
      <c r="D57" s="447">
        <f>IFERROR(F36,"–")</f>
        <v/>
      </c>
      <c r="E57" s="447">
        <f>IFERROR(G36,"–")</f>
        <v/>
      </c>
      <c r="F57" s="465" t="inlineStr">
        <is>
          <t>vé</t>
        </is>
      </c>
      <c r="H57" s="465" t="inlineStr">
        <is>
          <t>P/E</t>
        </is>
      </c>
      <c r="I57" s="465">
        <f>IFERROR(D36,0)</f>
        <v/>
      </c>
      <c r="J57" s="465">
        <f>IFERROR(G36,0)</f>
        <v/>
      </c>
      <c r="K57" s="338">
        <f>INPUT!H95</f>
        <v/>
      </c>
    </row>
    <row r="58" ht="15" customHeight="1">
      <c r="B58" s="47" t="n"/>
    </row>
    <row r="59" ht="15" customHeight="1">
      <c r="B59" s="47" t="n"/>
    </row>
    <row r="60" ht="15" customHeight="1">
      <c r="B60" s="47" t="n"/>
    </row>
    <row r="61" ht="15" customHeight="1">
      <c r="B61" s="47" t="n"/>
    </row>
    <row r="62" ht="15" customHeight="1">
      <c r="B62" s="47" t="n"/>
    </row>
    <row r="63" ht="15" customHeight="1">
      <c r="B63" s="47" t="n"/>
    </row>
    <row r="64" ht="15" customHeight="1">
      <c r="B64" s="47" t="n"/>
    </row>
    <row r="65" ht="15" customHeight="1">
      <c r="B65" s="47" t="n"/>
    </row>
    <row r="66" ht="15" customHeight="1">
      <c r="B66" s="47" t="n"/>
    </row>
    <row r="67" ht="15" customHeight="1">
      <c r="B67" s="47" t="n"/>
    </row>
    <row r="68" ht="15" customHeight="1">
      <c r="B68" s="47" t="n"/>
    </row>
    <row r="69" ht="15" customHeight="1">
      <c r="B69" s="47" t="n"/>
    </row>
    <row r="70" ht="15" customHeight="1">
      <c r="B70" s="47" t="n"/>
    </row>
    <row r="71" ht="15" customHeight="1">
      <c r="B71" s="47" t="n"/>
    </row>
    <row r="72" ht="15" customHeight="1">
      <c r="B72" s="47" t="n"/>
    </row>
    <row r="73" ht="15" customHeight="1">
      <c r="B73" s="47" t="n"/>
    </row>
    <row r="74" ht="15" customHeight="1">
      <c r="B74" s="47" t="n"/>
    </row>
    <row r="75" ht="15" customHeight="1">
      <c r="B75" s="47" t="n"/>
    </row>
    <row r="76" ht="15" customHeight="1">
      <c r="B76" s="47" t="n"/>
    </row>
    <row r="77" ht="15" customHeight="1">
      <c r="B77" s="47" t="n"/>
    </row>
    <row r="78" ht="15" customHeight="1">
      <c r="B78" s="47" t="n"/>
    </row>
    <row r="79" ht="15" customHeight="1">
      <c r="B79" s="47" t="n"/>
    </row>
    <row r="80" ht="15" customHeight="1">
      <c r="B80" s="47" t="n"/>
    </row>
    <row r="81" ht="15" customHeight="1">
      <c r="B81" s="47" t="n"/>
    </row>
    <row r="82" ht="15" customHeight="1">
      <c r="B82" s="47" t="n"/>
    </row>
    <row r="83" ht="15" customHeight="1">
      <c r="B83" s="47" t="n"/>
    </row>
    <row r="84" ht="15" customHeight="1">
      <c r="B84" s="47" t="n"/>
    </row>
    <row r="85" ht="15" customHeight="1">
      <c r="B85" s="47" t="n"/>
    </row>
    <row r="86" ht="15" customHeight="1">
      <c r="B86" s="47" t="n"/>
    </row>
    <row r="87" ht="15" customHeight="1">
      <c r="B87" s="47" t="n"/>
    </row>
    <row r="88" ht="15" customHeight="1">
      <c r="B88" s="47" t="n"/>
    </row>
    <row r="89" ht="15" customHeight="1">
      <c r="B89" s="47" t="n"/>
    </row>
    <row r="90" ht="15" customHeight="1">
      <c r="B90" s="47" t="n"/>
    </row>
    <row r="91" ht="15" customHeight="1">
      <c r="B91" s="47" t="n"/>
    </row>
    <row r="92" ht="15" customHeight="1">
      <c r="B92" s="47" t="n"/>
    </row>
    <row r="93" ht="15" customHeight="1">
      <c r="B93" s="47" t="n"/>
    </row>
    <row r="94" ht="15" customHeight="1">
      <c r="B94" s="47" t="n"/>
    </row>
    <row r="95" ht="15" customHeight="1">
      <c r="B95" s="4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  <row r="121" ht="15" customHeight="1">
      <c r="B121" s="47" t="n"/>
    </row>
  </sheetData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82"/>
  <drawing xmlns:r="http://schemas.openxmlformats.org/officeDocument/2006/relationships" r:id="rId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120"/>
  <sheetViews>
    <sheetView showGridLines="0" topLeftCell="A18" zoomScale="85" zoomScaleNormal="85" workbookViewId="0">
      <selection activeCell="N31" sqref="N31"/>
    </sheetView>
  </sheetViews>
  <sheetFormatPr baseColWidth="10" defaultRowHeight="15"/>
  <cols>
    <col width="11" customWidth="1" style="456" min="1" max="1"/>
    <col width="51" bestFit="1" customWidth="1" style="19" min="2" max="2"/>
    <col width="15.7109375" customWidth="1" min="3" max="3"/>
    <col width="13.28515625" customWidth="1" style="465" min="4" max="5"/>
    <col width="13.85546875" bestFit="1" customWidth="1" style="465" min="6" max="6"/>
    <col width="14.42578125" bestFit="1" customWidth="1" style="465" min="7" max="7"/>
    <col width="13.28515625" customWidth="1" style="465" min="8" max="9"/>
    <col width="11" customWidth="1" style="465" min="10" max="13"/>
    <col width="11.42578125" customWidth="1" style="97" min="14" max="14"/>
  </cols>
  <sheetData>
    <row r="1" ht="54.95" customHeight="1">
      <c r="A1" s="104" t="n"/>
      <c r="B1" s="104" t="inlineStr">
        <is>
          <t>FinSight</t>
        </is>
      </c>
      <c r="C1" s="5" t="n"/>
      <c r="D1" s="29" t="n"/>
      <c r="E1" s="29" t="n"/>
      <c r="F1" s="29" t="n"/>
      <c r="G1" s="29" t="n"/>
      <c r="H1" s="103" t="inlineStr">
        <is>
          <t>SCENARIOS — Scenario Analysis</t>
        </is>
      </c>
      <c r="I1" s="29" t="n"/>
      <c r="J1" s="29" t="n"/>
      <c r="K1" s="29" t="n"/>
      <c r="L1" s="29" t="n"/>
      <c r="M1" s="29" t="n"/>
      <c r="N1" s="96" t="n"/>
    </row>
    <row r="2" ht="15" customHeight="1">
      <c r="A2" s="453" t="n"/>
      <c r="B2" s="14" t="n"/>
      <c r="C2" s="3" t="n"/>
      <c r="D2" s="22" t="n"/>
      <c r="E2" s="22" t="n"/>
      <c r="F2" s="22" t="n"/>
      <c r="G2" s="22" t="n"/>
      <c r="H2" s="22" t="n"/>
      <c r="I2" s="22" t="n"/>
      <c r="K2" s="22" t="n"/>
      <c r="L2" s="22" t="n"/>
      <c r="M2" s="22" t="n"/>
    </row>
    <row r="3" ht="18" customHeight="1">
      <c r="A3" s="381" t="inlineStr">
        <is>
          <t xml:space="preserve"> </t>
        </is>
      </c>
      <c r="B3" s="15" t="inlineStr">
        <is>
          <t>SCENARIOS</t>
        </is>
      </c>
      <c r="C3" s="7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</row>
    <row r="4" ht="15" customHeight="1">
      <c r="A4" s="453" t="n"/>
      <c r="B4" s="12" t="inlineStr">
        <is>
          <t>All figures in USD thousands unless stated | 3 scenarios: Pessimistic / Realistic (Base) / Optimistic</t>
        </is>
      </c>
      <c r="C4" s="3" t="n"/>
      <c r="D4" s="22" t="n"/>
      <c r="E4" s="22" t="n"/>
      <c r="F4" s="22" t="n"/>
      <c r="G4" s="22" t="n"/>
      <c r="H4" s="22" t="n"/>
      <c r="I4" s="22" t="n"/>
      <c r="K4" s="22" t="n"/>
      <c r="L4" s="22" t="n"/>
      <c r="M4" s="22" t="n"/>
    </row>
    <row r="5" ht="15" customHeight="1">
      <c r="A5" s="454" t="inlineStr">
        <is>
          <t xml:space="preserve"> </t>
        </is>
      </c>
      <c r="B5" s="16" t="inlineStr">
        <is>
          <t>METRIC</t>
        </is>
      </c>
      <c r="C5" s="16" t="inlineStr">
        <is>
          <t>(Units)</t>
        </is>
      </c>
      <c r="D5" s="393" t="n"/>
      <c r="E5" s="16">
        <f>TEXT(INPUT!D117-3,"0")</f>
        <v/>
      </c>
      <c r="F5" s="16">
        <f>TEXT(INPUT!D117-2,"0")</f>
        <v/>
      </c>
      <c r="G5" s="16">
        <f>TEXT(INPUT!D117-1,"0")</f>
        <v/>
      </c>
      <c r="H5" s="16">
        <f>INPUT!D117&amp;" (LTM)"</f>
        <v/>
      </c>
      <c r="I5" s="16">
        <f>TEXT(INPUT!D117+1,"0")&amp;"F"</f>
        <v/>
      </c>
      <c r="J5" s="16">
        <f>TEXT(INPUT!D117+2,"0")&amp;"F"</f>
        <v/>
      </c>
      <c r="K5" s="16">
        <f>TEXT(INPUT!D117+3,"0")&amp;"F"</f>
        <v/>
      </c>
      <c r="L5" s="16">
        <f>TEXT(INPUT!D117+4,"0")&amp;"F"</f>
        <v/>
      </c>
      <c r="M5" s="16">
        <f>TEXT(INPUT!D117+5,"0")&amp;"F"</f>
        <v/>
      </c>
    </row>
    <row r="6" ht="15" customHeight="1">
      <c r="A6" s="453" t="n"/>
      <c r="B6" s="16" t="inlineStr">
        <is>
          <t>▶  SELECT SCENARIO</t>
        </is>
      </c>
      <c r="C6" s="78" t="n"/>
      <c r="D6" s="16" t="inlineStr">
        <is>
          <t>Realistic</t>
        </is>
      </c>
      <c r="E6" s="80" t="n"/>
      <c r="F6" s="79" t="n"/>
      <c r="G6" s="80" t="n"/>
      <c r="H6" s="79" t="n"/>
      <c r="I6" s="79" t="n"/>
      <c r="J6" s="79" t="n"/>
      <c r="K6" s="79" t="n"/>
      <c r="L6" s="79" t="n"/>
      <c r="M6" s="79" t="n"/>
    </row>
    <row r="7" ht="18" customHeight="1">
      <c r="A7" s="381" t="inlineStr">
        <is>
          <t xml:space="preserve"> </t>
        </is>
      </c>
      <c r="B7" s="15" t="inlineStr">
        <is>
          <t>SCENARIO ASSUMPTIONS</t>
        </is>
      </c>
      <c r="C7" s="7" t="n"/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</row>
    <row r="8" ht="15" customHeight="1">
      <c r="A8" s="454" t="n"/>
      <c r="B8" s="16" t="inlineStr">
        <is>
          <t>DRIVER</t>
        </is>
      </c>
      <c r="C8" s="16" t="inlineStr">
        <is>
          <t>(Units)</t>
        </is>
      </c>
      <c r="D8" s="16" t="inlineStr">
        <is>
          <t>Pessimistic</t>
        </is>
      </c>
      <c r="E8" s="77" t="inlineStr">
        <is>
          <t>Realistic</t>
        </is>
      </c>
      <c r="F8" s="77" t="inlineStr">
        <is>
          <t>Optimistic</t>
        </is>
      </c>
      <c r="G8" s="24" t="n"/>
      <c r="H8" s="24" t="n"/>
      <c r="I8" s="24" t="n"/>
      <c r="J8" s="24" t="n"/>
      <c r="K8" s="24" t="n"/>
      <c r="L8" s="24" t="n"/>
      <c r="M8" s="24" t="n"/>
    </row>
    <row r="9" ht="15" customHeight="1">
      <c r="A9" s="453" t="n"/>
      <c r="B9" s="72" t="inlineStr">
        <is>
          <t>Revenue Growth Rate (Y1-Y5)</t>
        </is>
      </c>
      <c r="C9" s="214" t="inlineStr">
        <is>
          <t>(%)</t>
        </is>
      </c>
      <c r="D9" s="548">
        <f t="array" ref="D9">IFERROR(INDEX(SECTOR_REF!$C$2:$E$61,MATCH(1,(SECTOR_REF!$A$2:$A$61=INPUT!$D$116)*(SECTOR_REF!$B$2:$B$61="Revenue Growth Rate (Y1-Y5)"),0),MATCH("Pessimiste",{"Pessimiste","Realiste","Optimiste"},0)),IFERROR(INPUT!H9/INPUT!G9-1,0.02))</f>
        <v/>
      </c>
      <c r="E9" s="548">
        <f t="array" ref="E9">IFERROR(INDEX(SECTOR_REF!$C$2:$E$61,MATCH(1,(SECTOR_REF!$A$2:$A$61=INPUT!$D$116)*(SECTOR_REF!$B$2:$B$61="Revenue Growth Rate (Y1-Y5)"),0),MATCH("Realiste",{"Pessimiste","Realiste","Optimiste"},0)),IFERROR(INPUT!H9/INPUT!G9-1,0.05))</f>
        <v/>
      </c>
      <c r="F9" s="548">
        <f t="array" ref="F9">IFERROR(INDEX(SECTOR_REF!$C$2:$E$61,MATCH(1,(SECTOR_REF!$A$2:$A$61=INPUT!$D$116)*(SECTOR_REF!$B$2:$B$61="Revenue Growth Rate (Y1-Y5)"),0),MATCH("Optimiste",{"Pessimiste","Realiste","Optimiste"},0)),IFERROR(INPUT!H9/INPUT!G9-1,0.09))</f>
        <v/>
      </c>
      <c r="G9" s="611" t="n"/>
      <c r="H9" s="551" t="n"/>
      <c r="I9" s="612" t="n"/>
      <c r="J9" s="613" t="n"/>
      <c r="K9" s="613" t="n"/>
      <c r="L9" s="613" t="n"/>
      <c r="M9" s="613" t="n"/>
    </row>
    <row r="10" ht="15" customHeight="1">
      <c r="A10" s="453" t="n"/>
      <c r="B10" s="72" t="inlineStr">
        <is>
          <t>Gross Margin</t>
        </is>
      </c>
      <c r="C10" s="214" t="inlineStr">
        <is>
          <t>(%)</t>
        </is>
      </c>
      <c r="D10" s="548">
        <f t="array" ref="D10">IFERROR(INDEX(SECTOR_REF!$C$2:$E$61,MATCH(1,(SECTOR_REF!$A$2:$A$61=INPUT!$D$116)*(SECTOR_REF!$B$2:$B$61="Gross Margin"),0),MATCH("Pessimiste",{"Pessimiste","Realiste","Optimiste"},0)),IFERROR(INPUT!H11/INPUT!H9,0.4)-0.03)</f>
        <v/>
      </c>
      <c r="E10" s="548">
        <f t="array" ref="E10">IFERROR(INDEX(SECTOR_REF!$C$2:$E$61,MATCH(1,(SECTOR_REF!$A$2:$A$61=INPUT!$D$116)*(SECTOR_REF!$B$2:$B$61="Gross Margin"),0),MATCH("Realiste",{"Pessimiste","Realiste","Optimiste"},0)),IFERROR(INPUT!H11/INPUT!H9,0.4))</f>
        <v/>
      </c>
      <c r="F10" s="548">
        <f t="array" ref="F10">IFERROR(INDEX(SECTOR_REF!$C$2:$E$61,MATCH(1,(SECTOR_REF!$A$2:$A$61=INPUT!$D$116)*(SECTOR_REF!$B$2:$B$61="Gross Margin"),0),MATCH("Optimiste",{"Pessimiste","Realiste","Optimiste"},0)),IFERROR(INPUT!H11/INPUT!H9,0.4)+0.03)</f>
        <v/>
      </c>
      <c r="G10" s="551" t="n"/>
      <c r="H10" s="551" t="n"/>
      <c r="I10" s="612" t="n"/>
      <c r="J10" s="613" t="n"/>
      <c r="K10" s="613" t="n"/>
      <c r="L10" s="613" t="n"/>
      <c r="M10" s="613" t="n"/>
    </row>
    <row r="11" ht="15" customHeight="1">
      <c r="A11" s="453" t="n"/>
      <c r="B11" s="72" t="inlineStr">
        <is>
          <t>EBITDA Margin</t>
        </is>
      </c>
      <c r="C11" s="214" t="inlineStr">
        <is>
          <t>(%)</t>
        </is>
      </c>
      <c r="D11" s="548">
        <f t="array" ref="D11">IFERROR(INDEX(SECTOR_REF!$C$2:$E$61,MATCH(1,(SECTOR_REF!$A$2:$A$61=INPUT!$D$116)*(SECTOR_REF!$B$2:$B$61="EBITDA Margin"),0),MATCH("Pessimiste",{"Pessimiste","Realiste","Optimiste"},0)),IFERROR(INPUT!H30/INPUT!H9,0.15)-0.03)</f>
        <v/>
      </c>
      <c r="E11" s="548">
        <f t="array" ref="E11">IFERROR(INDEX(SECTOR_REF!$C$2:$E$61,MATCH(1,(SECTOR_REF!$A$2:$A$61=INPUT!$D$116)*(SECTOR_REF!$B$2:$B$61="EBITDA Margin"),0),MATCH("Realiste",{"Pessimiste","Realiste","Optimiste"},0)),IFERROR(INPUT!H30/INPUT!H9,0.15))</f>
        <v/>
      </c>
      <c r="F11" s="548">
        <f t="array" ref="F11">IFERROR(INDEX(SECTOR_REF!$C$2:$E$61,MATCH(1,(SECTOR_REF!$A$2:$A$61=INPUT!$D$116)*(SECTOR_REF!$B$2:$B$61="EBITDA Margin"),0),MATCH("Optimiste",{"Pessimiste","Realiste","Optimiste"},0)),IFERROR(INPUT!H30/INPUT!H9,0.15)+0.03)</f>
        <v/>
      </c>
      <c r="G11" s="551" t="n"/>
      <c r="H11" s="551" t="n"/>
      <c r="I11" s="612" t="n"/>
      <c r="J11" s="613" t="n"/>
      <c r="K11" s="613" t="n"/>
      <c r="L11" s="613" t="n"/>
      <c r="M11" s="613" t="n"/>
    </row>
    <row r="12" ht="15" customHeight="1">
      <c r="A12" s="453" t="n"/>
      <c r="B12" s="72" t="inlineStr">
        <is>
          <t>Terminal Growth Rate</t>
        </is>
      </c>
      <c r="C12" s="214" t="inlineStr">
        <is>
          <t>(%)</t>
        </is>
      </c>
      <c r="D12" s="548">
        <f t="array" ref="D12">IFERROR(INDEX(SECTOR_REF!$C$2:$E$61,MATCH(1,(SECTOR_REF!$A$2:$A$61=INPUT!$D$116)*(SECTOR_REF!$B$2:$B$61="Terminal Growth Rate"),0),MATCH("Pessimiste",{"Pessimiste","Realiste","Optimiste"},0)),DCF!D67-0.01)</f>
        <v/>
      </c>
      <c r="E12" s="548">
        <f t="array" ref="E12">IFERROR(INDEX(SECTOR_REF!$C$2:$E$61,MATCH(1,(SECTOR_REF!$A$2:$A$61=INPUT!$D$116)*(SECTOR_REF!$B$2:$B$61="Terminal Growth Rate"),0),MATCH("Realiste",{"Pessimiste","Realiste","Optimiste"},0)),DCF!D67)</f>
        <v/>
      </c>
      <c r="F12" s="548">
        <f t="array" ref="F12">IFERROR(INDEX(SECTOR_REF!$C$2:$E$61,MATCH(1,(SECTOR_REF!$A$2:$A$61=INPUT!$D$116)*(SECTOR_REF!$B$2:$B$61="Terminal Growth Rate"),0),MATCH("Optimiste",{"Pessimiste","Realiste","Optimiste"},0)),DCF!D67+0.01)</f>
        <v/>
      </c>
      <c r="G12" s="551" t="n"/>
      <c r="H12" s="551" t="n"/>
      <c r="I12" s="612" t="n"/>
      <c r="J12" s="613" t="n"/>
      <c r="K12" s="613" t="n"/>
      <c r="L12" s="613" t="n"/>
      <c r="M12" s="613" t="n"/>
    </row>
    <row r="13" ht="15" customHeight="1">
      <c r="A13" s="453" t="n"/>
      <c r="B13" s="72" t="inlineStr">
        <is>
          <t>WACC</t>
        </is>
      </c>
      <c r="C13" s="214" t="inlineStr">
        <is>
          <t>(%)</t>
        </is>
      </c>
      <c r="D13" s="548">
        <f t="array" ref="D13">IFERROR(INDEX(SECTOR_REF!$C$2:$E$61,MATCH(1,(SECTOR_REF!$A$2:$A$61=INPUT!$D$116)*(SECTOR_REF!$B$2:$B$61="WACC"),0),MATCH("Pessimiste",{"Pessimiste","Realiste","Optimiste"},0)),DCF!D63+0.015)</f>
        <v/>
      </c>
      <c r="E13" s="548">
        <f t="array" ref="E13">IFERROR(INDEX(SECTOR_REF!$C$2:$E$61,MATCH(1,(SECTOR_REF!$A$2:$A$61=INPUT!$D$116)*(SECTOR_REF!$B$2:$B$61="WACC"),0),MATCH("Realiste",{"Pessimiste","Realiste","Optimiste"},0)),DCF!D63)</f>
        <v/>
      </c>
      <c r="F13" s="548">
        <f t="array" ref="F13">IFERROR(INDEX(SECTOR_REF!$C$2:$E$61,MATCH(1,(SECTOR_REF!$A$2:$A$61=INPUT!$D$116)*(SECTOR_REF!$B$2:$B$61="WACC"),0),MATCH("Optimiste",{"Pessimiste","Realiste","Optimiste"},0)),DCF!D63-0.015)</f>
        <v/>
      </c>
      <c r="G13" s="551" t="n"/>
      <c r="H13" s="551" t="n"/>
      <c r="I13" s="612" t="n"/>
      <c r="J13" s="613" t="n"/>
      <c r="K13" s="613" t="n"/>
      <c r="L13" s="613" t="n"/>
      <c r="M13" s="613" t="n"/>
    </row>
    <row r="14" ht="15" customHeight="1">
      <c r="A14" s="453" t="n"/>
      <c r="B14" s="210" t="inlineStr">
        <is>
          <t>▶ Secteur actif :</t>
        </is>
      </c>
      <c r="C14" s="78" t="n"/>
      <c r="D14" s="79">
        <f>IF(INPUT!$D$116="","— Aucun secteur sélectionné (INPUT!D116) —",INPUT!$D$116)</f>
        <v/>
      </c>
      <c r="E14" s="79" t="n"/>
      <c r="F14" s="79" t="n"/>
      <c r="G14" s="79" t="n"/>
      <c r="H14" s="79" t="n"/>
      <c r="I14" s="79" t="n"/>
      <c r="J14" s="79" t="n"/>
      <c r="K14" s="79" t="n"/>
      <c r="L14" s="79" t="n"/>
      <c r="M14" s="79" t="n"/>
    </row>
    <row r="15" ht="18" customHeight="1">
      <c r="A15" s="381" t="inlineStr">
        <is>
          <t xml:space="preserve"> </t>
        </is>
      </c>
      <c r="B15" s="15" t="inlineStr">
        <is>
          <t>SCENARIO RESULTS — DYNAMIC VIEW</t>
        </is>
      </c>
      <c r="C15" s="7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</row>
    <row r="16" ht="15" customHeight="1">
      <c r="A16" s="453" t="n"/>
      <c r="B16" s="87" t="inlineStr">
        <is>
          <t>METRIC</t>
        </is>
      </c>
      <c r="C16" s="614" t="inlineStr">
        <is>
          <t>(Units)</t>
        </is>
      </c>
      <c r="D16" s="374">
        <f>TEXT(INPUT!D117-3,"0")</f>
        <v/>
      </c>
      <c r="E16" s="374">
        <f>TEXT(INPUT!D117-2,"0")</f>
        <v/>
      </c>
      <c r="F16" s="374">
        <f>TEXT(INPUT!D117-1,"0")</f>
        <v/>
      </c>
      <c r="G16" s="16">
        <f>INPUT!D117&amp;" (LTM)"</f>
        <v/>
      </c>
      <c r="H16" s="614">
        <f>TEXT(INPUT!D117+1,"0")&amp;"F"</f>
        <v/>
      </c>
      <c r="I16" s="614">
        <f>TEXT(INPUT!D117+2,"0")&amp;"F"</f>
        <v/>
      </c>
      <c r="J16" s="614">
        <f>TEXT(INPUT!D117+3,"0")&amp;"F"</f>
        <v/>
      </c>
      <c r="K16" s="614">
        <f>TEXT(INPUT!D117+4,"0")&amp;"F"</f>
        <v/>
      </c>
      <c r="L16" s="614">
        <f>TEXT(INPUT!D117+5,"0")&amp;"F"</f>
        <v/>
      </c>
      <c r="M16" s="97" t="n"/>
    </row>
    <row r="17" ht="15" customHeight="1">
      <c r="A17" s="453" t="n"/>
      <c r="B17" s="72" t="inlineStr">
        <is>
          <t>Revenue</t>
        </is>
      </c>
      <c r="C17" s="615" t="n">
        <v>0</v>
      </c>
      <c r="D17" s="236">
        <f>INPUT!E9</f>
        <v/>
      </c>
      <c r="E17" s="236">
        <f>INPUT!F9</f>
        <v/>
      </c>
      <c r="F17" s="236">
        <f>INPUT!G9</f>
        <v/>
      </c>
      <c r="G17" s="236">
        <f>INPUT!H9</f>
        <v/>
      </c>
      <c r="H17" s="376">
        <f>INPUT!H9*(1+IF($D$6="Pessimistic",$D$9,IF($D$6="Realistic",$E$9,$F$9)))</f>
        <v/>
      </c>
      <c r="I17" s="376">
        <f>H17*(1+IF($D$6="Pessimistic",$D$9,IF($D$6="Realistic",$E$9,$F$9)))</f>
        <v/>
      </c>
      <c r="J17" s="376">
        <f>I17*(1+IF($D$6="Pessimistic",$D$9,IF($D$6="Realistic",$E$9,$F$9)))</f>
        <v/>
      </c>
      <c r="K17" s="376">
        <f>J17*(1+IF($D$6="Pessimistic",$D$9,IF($D$6="Realistic",$E$9,$F$9)))</f>
        <v/>
      </c>
      <c r="L17" s="376">
        <f>K17*(1+IF($D$6="Pessimistic",$D$9,IF($D$6="Realistic",$E$9,$F$9)))</f>
        <v/>
      </c>
      <c r="M17" s="97" t="n"/>
    </row>
    <row r="18" ht="15" customHeight="1">
      <c r="A18" s="453" t="n"/>
      <c r="B18" s="68" t="inlineStr">
        <is>
          <t>Gross Profit</t>
        </is>
      </c>
      <c r="C18" s="615" t="n">
        <v>0</v>
      </c>
      <c r="D18" s="236">
        <f>INPUT!E11</f>
        <v/>
      </c>
      <c r="E18" s="236">
        <f>INPUT!F11</f>
        <v/>
      </c>
      <c r="F18" s="236">
        <f>INPUT!G11</f>
        <v/>
      </c>
      <c r="G18" s="236">
        <f>INPUT!H11</f>
        <v/>
      </c>
      <c r="H18" s="377">
        <f>H17*IF($D$6="Pessimistic",$D$10,IF($D$6="Realistic",$E$10,$F$10))</f>
        <v/>
      </c>
      <c r="I18" s="376">
        <f>I17*IF($D$6="Pessimistic",$D$10,IF($D$6="Realistic",$E$10,$F$10))</f>
        <v/>
      </c>
      <c r="J18" s="376">
        <f>J17*IF($D$6="Pessimistic",$D$10,IF($D$6="Realistic",$E$10,$F$10))</f>
        <v/>
      </c>
      <c r="K18" s="376">
        <f>K17*IF($D$6="Pessimistic",$D$10,IF($D$6="Realistic",$E$10,$F$10))</f>
        <v/>
      </c>
      <c r="L18" s="376">
        <f>L17*IF($D$6="Pessimistic",$D$10,IF($D$6="Realistic",$E$10,$F$10))</f>
        <v/>
      </c>
      <c r="M18" s="97" t="n"/>
    </row>
    <row r="19" ht="15" customHeight="1">
      <c r="A19" s="453" t="n"/>
      <c r="B19" s="68" t="inlineStr">
        <is>
          <t>EBITDA</t>
        </is>
      </c>
      <c r="C19" s="615" t="n">
        <v>0</v>
      </c>
      <c r="D19" s="236">
        <f>INPUT!E30</f>
        <v/>
      </c>
      <c r="E19" s="236">
        <f>INPUT!F30</f>
        <v/>
      </c>
      <c r="F19" s="236">
        <f>INPUT!G30</f>
        <v/>
      </c>
      <c r="G19" s="236">
        <f>INPUT!H30</f>
        <v/>
      </c>
      <c r="H19" s="377">
        <f>H17*IF($D$6="Pessimistic",$D$11,IF($D$6="Realistic",$E$11,$F$11))</f>
        <v/>
      </c>
      <c r="I19" s="376">
        <f>I17*IF($D$6="Pessimistic",$D$11,IF($D$6="Realistic",$E$11,$F$11))</f>
        <v/>
      </c>
      <c r="J19" s="376">
        <f>J17*IF($D$6="Pessimistic",$D$11,IF($D$6="Realistic",$E$11,$F$11))</f>
        <v/>
      </c>
      <c r="K19" s="376">
        <f>K17*IF($D$6="Pessimistic",$D$11,IF($D$6="Realistic",$E$11,$F$11))</f>
        <v/>
      </c>
      <c r="L19" s="376">
        <f>L17*IF($D$6="Pessimistic",$D$11,IF($D$6="Realistic",$E$11,$F$11))</f>
        <v/>
      </c>
      <c r="M19" s="97" t="n"/>
    </row>
    <row r="20" ht="15" customHeight="1">
      <c r="A20" s="453" t="n"/>
      <c r="B20" s="72" t="inlineStr">
        <is>
          <t>Net Income</t>
        </is>
      </c>
      <c r="C20" s="615" t="n">
        <v>0</v>
      </c>
      <c r="D20" s="236">
        <f>INPUT!E26</f>
        <v/>
      </c>
      <c r="E20" s="236">
        <f>INPUT!F26</f>
        <v/>
      </c>
      <c r="F20" s="236">
        <f>INPUT!G26</f>
        <v/>
      </c>
      <c r="G20" s="236">
        <f>INPUT!H26</f>
        <v/>
      </c>
      <c r="H20" s="376">
        <f>H19*0.6</f>
        <v/>
      </c>
      <c r="I20" s="376">
        <f>I19*0.6</f>
        <v/>
      </c>
      <c r="J20" s="376">
        <f>J19*0.6</f>
        <v/>
      </c>
      <c r="K20" s="376">
        <f>K19*0.6</f>
        <v/>
      </c>
      <c r="L20" s="376">
        <f>L19*0.6</f>
        <v/>
      </c>
      <c r="M20" s="97" t="n"/>
    </row>
    <row r="21" ht="15" customHeight="1">
      <c r="A21" s="453" t="n"/>
      <c r="B21" s="68" t="inlineStr">
        <is>
          <t>Free Cash Flow (Est.)</t>
        </is>
      </c>
      <c r="C21" s="615" t="n">
        <v>0</v>
      </c>
      <c r="D21" s="375">
        <f>IFERROR(INPUT!E75+INPUT!E78,"–")</f>
        <v/>
      </c>
      <c r="E21" s="375">
        <f>IFERROR(INPUT!F75+INPUT!F78,"–")</f>
        <v/>
      </c>
      <c r="F21" s="375">
        <f>IFERROR(INPUT!G75+INPUT!G78,"–")</f>
        <v/>
      </c>
      <c r="G21" s="375">
        <f>IFERROR(INPUT!H75+INPUT!H78,"–")</f>
        <v/>
      </c>
      <c r="H21" s="378">
        <f>H19*0.5</f>
        <v/>
      </c>
      <c r="I21" s="378">
        <f>I19*0.5</f>
        <v/>
      </c>
      <c r="J21" s="378">
        <f>J19*0.5</f>
        <v/>
      </c>
      <c r="K21" s="378">
        <f>K19*0.5</f>
        <v/>
      </c>
      <c r="L21" s="378">
        <f>L19*0.5</f>
        <v/>
      </c>
      <c r="M21" s="97" t="n"/>
    </row>
    <row r="22" ht="15" customHeight="1" thickBot="1">
      <c r="A22" s="455" t="n"/>
      <c r="B22" s="68" t="inlineStr">
        <is>
          <t>EBITDA Margin</t>
        </is>
      </c>
      <c r="C22" s="216" t="inlineStr">
        <is>
          <t>(%)</t>
        </is>
      </c>
      <c r="D22" s="616">
        <f>IFERROR(INPUT!E30/INPUT!E9,"–")</f>
        <v/>
      </c>
      <c r="E22" s="616">
        <f>IFERROR(INPUT!F30/INPUT!F9,"–")</f>
        <v/>
      </c>
      <c r="F22" s="616">
        <f>IFERROR(INPUT!G30/INPUT!G9,"–")</f>
        <v/>
      </c>
      <c r="G22" s="616">
        <f>IFERROR(INPUT!H30/INPUT!H9,"–")</f>
        <v/>
      </c>
      <c r="H22" s="617">
        <f>IFERROR(H19/H17,"–")</f>
        <v/>
      </c>
      <c r="I22" s="617">
        <f>IFERROR(I19/I17,"–")</f>
        <v/>
      </c>
      <c r="J22" s="617">
        <f>IFERROR(J19/J17,"–")</f>
        <v/>
      </c>
      <c r="K22" s="617">
        <f>IFERROR(K19/K17,"–")</f>
        <v/>
      </c>
      <c r="L22" s="617">
        <f>IFERROR(L19/L17,"–")</f>
        <v/>
      </c>
      <c r="M22" s="97" t="n"/>
    </row>
    <row r="23" ht="15" customHeight="1">
      <c r="A23" s="453" t="n"/>
      <c r="B23" s="70" t="inlineStr">
        <is>
          <t>Implied Share Price</t>
        </is>
      </c>
      <c r="C23" s="214" t="inlineStr">
        <is>
          <t>($)</t>
        </is>
      </c>
      <c r="D23" s="22" t="n"/>
      <c r="E23" s="22" t="n"/>
      <c r="F23" s="57" t="n"/>
      <c r="G23" s="57" t="n"/>
      <c r="H23" s="22" t="n"/>
      <c r="I23" s="22" t="n"/>
      <c r="J23" s="22" t="n"/>
      <c r="K23" s="22" t="n"/>
      <c r="L23" s="22" t="n"/>
      <c r="M23" s="379">
        <f>IFERROR("$"&amp;TEXT(IF($D$6="Pessimistic",DCF!D91*(1+$D$9+$D$11-$E$9-$E$11)*0.8,IF($D$6="Realistic",DCF!D91,DCF!D91*(1+$F$9+$F$11-$E$9-$E$11)*1.2)),"#,##0.00"),"–")</f>
        <v/>
      </c>
    </row>
    <row r="24" ht="18" customHeight="1">
      <c r="B24" s="70" t="n"/>
    </row>
    <row r="25" ht="21" customHeight="1">
      <c r="A25" s="381" t="inlineStr">
        <is>
          <t xml:space="preserve"> </t>
        </is>
      </c>
      <c r="B25" s="217" t="inlineStr">
        <is>
          <t>SCENARIO SUMMARY COMPARISON</t>
        </is>
      </c>
      <c r="C25" s="7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23" t="n"/>
      <c r="M25" s="23" t="n"/>
    </row>
    <row r="26" ht="15" customHeight="1">
      <c r="A26" s="453" t="n"/>
      <c r="B26" s="87" t="inlineStr">
        <is>
          <t>METRIC (Year 5)</t>
        </is>
      </c>
      <c r="C26" s="218" t="n"/>
      <c r="D26" s="89" t="inlineStr">
        <is>
          <t>Pessimistic</t>
        </is>
      </c>
      <c r="E26" s="218" t="inlineStr">
        <is>
          <t>Realistic</t>
        </is>
      </c>
      <c r="F26" s="77" t="inlineStr">
        <is>
          <t>Optimistic</t>
        </is>
      </c>
      <c r="G26" s="218" t="n"/>
      <c r="H26" s="218" t="n"/>
      <c r="I26" s="218" t="n"/>
      <c r="J26" s="218" t="n"/>
      <c r="K26" s="218" t="n"/>
      <c r="L26" s="218" t="n"/>
      <c r="M26" s="218" t="n"/>
    </row>
    <row r="27" ht="15" customHeight="1">
      <c r="A27" s="453" t="n"/>
      <c r="B27" s="72" t="inlineStr">
        <is>
          <t>Revenue (Year 5)</t>
        </is>
      </c>
      <c r="C27" s="615" t="n">
        <v>0</v>
      </c>
      <c r="D27" s="388">
        <f>INPUT!H9*(1+$D$9)^5</f>
        <v/>
      </c>
      <c r="E27" s="236">
        <f>INPUT!H9*(1+$E$9)^5</f>
        <v/>
      </c>
      <c r="F27" s="376">
        <f>INPUT!H9*(1+$F$9)^5</f>
        <v/>
      </c>
      <c r="G27" s="31" t="n"/>
      <c r="H27" s="31" t="n"/>
      <c r="I27" s="97" t="n"/>
    </row>
    <row r="28" ht="15" customHeight="1">
      <c r="A28" s="453" t="n"/>
      <c r="B28" s="72" t="inlineStr">
        <is>
          <t>EBITDA (Year 5)</t>
        </is>
      </c>
      <c r="C28" s="615" t="n">
        <v>0</v>
      </c>
      <c r="D28" s="388">
        <f>D27*$D$11</f>
        <v/>
      </c>
      <c r="E28" s="236">
        <f>E27*$E$11</f>
        <v/>
      </c>
      <c r="F28" s="376">
        <f>F27*$F$11</f>
        <v/>
      </c>
      <c r="G28" s="31" t="n"/>
      <c r="H28" s="31" t="n"/>
      <c r="I28" s="97" t="n"/>
    </row>
    <row r="29" ht="15" customHeight="1">
      <c r="A29" s="453" t="n"/>
      <c r="B29" s="72" t="inlineStr">
        <is>
          <t>Net Income (Year 5)</t>
        </is>
      </c>
      <c r="C29" s="615" t="n">
        <v>0</v>
      </c>
      <c r="D29" s="388">
        <f>D28*0.6</f>
        <v/>
      </c>
      <c r="E29" s="236">
        <f>E28*0.6</f>
        <v/>
      </c>
      <c r="F29" s="376">
        <f>F28*0.6</f>
        <v/>
      </c>
      <c r="G29" s="31" t="n"/>
      <c r="H29" s="31" t="n"/>
      <c r="I29" s="97" t="n"/>
    </row>
    <row r="30" ht="15" customHeight="1">
      <c r="A30" s="453" t="n"/>
      <c r="B30" s="72" t="inlineStr">
        <is>
          <t>FCF (Year 5)</t>
        </is>
      </c>
      <c r="C30" s="615" t="n">
        <v>0</v>
      </c>
      <c r="D30" s="388">
        <f>D28*0.5</f>
        <v/>
      </c>
      <c r="E30" s="236">
        <f>E28*0.5</f>
        <v/>
      </c>
      <c r="F30" s="236">
        <f>F28*0.5</f>
        <v/>
      </c>
      <c r="G30" s="31" t="n"/>
      <c r="H30" s="31" t="n"/>
      <c r="I30" s="97" t="n"/>
    </row>
    <row r="31" ht="15" customHeight="1">
      <c r="A31" s="455" t="n"/>
      <c r="B31" s="68" t="inlineStr">
        <is>
          <t>EBITDA Margin (Year 5)</t>
        </is>
      </c>
      <c r="C31" s="11" t="inlineStr">
        <is>
          <t>(%)</t>
        </is>
      </c>
      <c r="D31" s="618">
        <f>$D$11</f>
        <v/>
      </c>
      <c r="E31" s="619">
        <f>$E$11</f>
        <v/>
      </c>
      <c r="F31" s="619">
        <f>$F$11</f>
        <v/>
      </c>
      <c r="G31" s="31" t="n"/>
      <c r="H31" s="31" t="n"/>
      <c r="I31" s="97" t="n"/>
    </row>
    <row r="32" ht="15" customHeight="1">
      <c r="A32" s="453" t="n"/>
      <c r="B32" s="70" t="inlineStr">
        <is>
          <t>Implied Share Price</t>
        </is>
      </c>
      <c r="C32" s="9" t="inlineStr">
        <is>
          <t>($)</t>
        </is>
      </c>
      <c r="D32" s="390">
        <f>IFERROR("$"&amp;TEXT(DCF!D91*(1+$D$9+$D$11-$E$9-$E$11)*0.8,"#,##0.00"),"–")</f>
        <v/>
      </c>
      <c r="E32" s="380">
        <f>IFERROR("$"&amp;TEXT(DCF!D91,"#,##0.00"),"–")</f>
        <v/>
      </c>
      <c r="F32" s="380">
        <f>IFERROR("$"&amp;TEXT(DCF!D91*(1+$F$9+$F$11-$E$9-$E$11)*1.2,"#,##0.00"),"–")</f>
        <v/>
      </c>
      <c r="G32" s="22" t="n"/>
      <c r="H32" s="22" t="n"/>
      <c r="I32" s="97" t="n"/>
    </row>
    <row r="33" ht="18" customHeight="1">
      <c r="A33" s="381" t="inlineStr">
        <is>
          <t xml:space="preserve"> </t>
        </is>
      </c>
      <c r="B33" s="222" t="inlineStr">
        <is>
          <t>Delta (Opt. vs Pess.)</t>
        </is>
      </c>
      <c r="C33" s="112" t="n"/>
      <c r="D33" s="619">
        <f>"—"</f>
        <v/>
      </c>
      <c r="E33" s="619">
        <f>"—"</f>
        <v/>
      </c>
      <c r="F33" s="619">
        <f>IFERROR(F27/D27-1,"–")</f>
        <v/>
      </c>
      <c r="G33" s="109" t="n"/>
      <c r="H33" s="109" t="n"/>
      <c r="I33" s="109" t="n"/>
      <c r="J33" s="109" t="n"/>
      <c r="K33" s="109" t="n"/>
      <c r="L33" s="109" t="n"/>
      <c r="M33" s="109" t="n"/>
    </row>
    <row r="34" ht="15" customHeight="1">
      <c r="A34" s="453" t="n"/>
      <c r="B34" s="72" t="inlineStr">
        <is>
          <t>Revenue</t>
        </is>
      </c>
      <c r="C34" s="620" t="n"/>
      <c r="D34" s="144" t="n"/>
      <c r="E34" s="143" t="n"/>
      <c r="F34" s="143" t="n"/>
      <c r="G34" s="143" t="n"/>
      <c r="H34" s="143" t="n"/>
      <c r="I34" s="143" t="n"/>
      <c r="J34" s="31" t="n"/>
      <c r="K34" s="31" t="n"/>
      <c r="L34" s="31" t="n"/>
      <c r="M34" s="31" t="n"/>
    </row>
    <row r="35" ht="15" customHeight="1">
      <c r="A35" s="453" t="n"/>
      <c r="B35" s="621">
        <f>"▶ SCÉNARIO SÉLECTIONNÉ : "&amp;$D$6</f>
        <v/>
      </c>
      <c r="C35" s="621" t="n"/>
      <c r="D35" s="621" t="n"/>
      <c r="E35" s="621" t="n"/>
      <c r="F35" s="621" t="n"/>
      <c r="G35" s="621" t="n"/>
      <c r="H35" s="621" t="n"/>
      <c r="I35" s="621" t="n"/>
      <c r="J35" s="621" t="n"/>
      <c r="K35" s="621" t="n"/>
      <c r="L35" s="621" t="n"/>
      <c r="M35" s="621" t="n"/>
    </row>
    <row r="36" ht="15" customHeight="1">
      <c r="A36" s="453" t="n"/>
      <c r="B36" s="72" t="n"/>
      <c r="C36" s="620" t="n"/>
      <c r="D36" s="144" t="n"/>
      <c r="E36" s="143" t="n"/>
      <c r="F36" s="143" t="n"/>
      <c r="G36" s="143" t="n"/>
      <c r="H36" s="143" t="n"/>
      <c r="I36" s="143" t="n"/>
      <c r="J36" s="31" t="n"/>
      <c r="K36" s="31" t="n"/>
      <c r="L36" s="31" t="n"/>
      <c r="M36" s="31" t="n"/>
    </row>
    <row r="37" ht="15" customHeight="1">
      <c r="A37" s="453" t="n"/>
      <c r="B37" s="219" t="inlineStr">
        <is>
          <t>CHART DATA: Revenue by Scenario</t>
        </is>
      </c>
      <c r="C37" s="219" t="n"/>
      <c r="D37" s="219" t="n"/>
      <c r="E37" s="219" t="n"/>
      <c r="F37" s="219" t="n"/>
      <c r="G37" s="219" t="n"/>
      <c r="H37" s="219" t="n"/>
      <c r="I37" s="219" t="n"/>
      <c r="J37" s="219" t="n"/>
      <c r="K37" s="219" t="n"/>
      <c r="L37" s="219" t="n"/>
      <c r="M37" s="219" t="n"/>
    </row>
    <row r="38" ht="15" customHeight="1">
      <c r="A38" s="453" t="n"/>
      <c r="B38" s="87" t="inlineStr">
        <is>
          <t>Year</t>
        </is>
      </c>
      <c r="C38" s="87" t="n"/>
      <c r="D38" s="218">
        <f>TEXT(INPUT!D117+1,"0")&amp;"F"</f>
        <v/>
      </c>
      <c r="E38" s="218">
        <f>TEXT(INPUT!D117+2,"0")&amp;"F"</f>
        <v/>
      </c>
      <c r="F38" s="218">
        <f>TEXT(INPUT!D117+3,"0")&amp;"F"</f>
        <v/>
      </c>
      <c r="G38" s="218">
        <f>TEXT(INPUT!D117+4,"0")&amp;"F"</f>
        <v/>
      </c>
      <c r="H38" s="218">
        <f>TEXT(INPUT!D117+5,"0")&amp;"F"</f>
        <v/>
      </c>
      <c r="I38" s="218" t="n"/>
      <c r="J38" s="218" t="n"/>
      <c r="K38" s="218" t="n"/>
      <c r="L38" s="218" t="n"/>
      <c r="M38" s="218" t="n"/>
    </row>
    <row r="39" ht="15" customHeight="1">
      <c r="A39" s="453" t="n"/>
      <c r="B39" s="72" t="inlineStr">
        <is>
          <t>Pessimistic</t>
        </is>
      </c>
      <c r="C39" s="466" t="n"/>
      <c r="D39" s="240">
        <f>IF(INPUT!H9="",NA(),INPUT!H9*(1+$D$9))</f>
        <v/>
      </c>
      <c r="E39" s="241">
        <f>IF(INPUT!H9="",NA(),D39*(1+$D$9))</f>
        <v/>
      </c>
      <c r="F39" s="241">
        <f>IF(INPUT!H9="",NA(),E39*(1+$D$9))</f>
        <v/>
      </c>
      <c r="G39" s="241">
        <f>IF(INPUT!H9="",NA(),F39*(1+$D$9))</f>
        <v/>
      </c>
      <c r="H39" s="241">
        <f>IF(INPUT!H9="",NA(),G39*(1+$D$9))</f>
        <v/>
      </c>
      <c r="I39" s="622" t="n"/>
      <c r="J39" s="31" t="n"/>
      <c r="K39" s="31" t="n"/>
      <c r="L39" s="31" t="n"/>
      <c r="M39" s="31" t="n"/>
    </row>
    <row r="40" ht="15" customHeight="1">
      <c r="A40" s="455" t="n"/>
      <c r="B40" s="68" t="inlineStr">
        <is>
          <t>Realistic</t>
        </is>
      </c>
      <c r="C40" s="69" t="n"/>
      <c r="D40" s="240">
        <f>IF(INPUT!H9="",NA(),INPUT!H9*(1+$E$9))</f>
        <v/>
      </c>
      <c r="E40" s="241">
        <f>IF(INPUT!H9="",NA(),D40*(1+$E$9))</f>
        <v/>
      </c>
      <c r="F40" s="241">
        <f>IF(INPUT!H9="",NA(),E40*(1+$E$9))</f>
        <v/>
      </c>
      <c r="G40" s="241">
        <f>IF(INPUT!H9="",NA(),F40*(1+$E$9))</f>
        <v/>
      </c>
      <c r="H40" s="241">
        <f>IF(INPUT!H9="",NA(),G40*(1+$E$9))</f>
        <v/>
      </c>
      <c r="I40" s="100" t="n"/>
      <c r="J40" s="31" t="n"/>
      <c r="K40" s="31" t="n"/>
      <c r="L40" s="31" t="n"/>
      <c r="M40" s="31" t="n"/>
    </row>
    <row r="41" ht="15" customHeight="1">
      <c r="A41" s="453" t="n"/>
      <c r="B41" s="75" t="inlineStr">
        <is>
          <t>Optimistic</t>
        </is>
      </c>
      <c r="C41" s="3" t="n"/>
      <c r="D41" s="240">
        <f>IF(INPUT!H9="",NA(),INPUT!H9*(1+$F$9))</f>
        <v/>
      </c>
      <c r="E41" s="240">
        <f>IF(INPUT!H9="",NA(),D41*(1+$F$9))</f>
        <v/>
      </c>
      <c r="F41" s="240">
        <f>IF(INPUT!H9="",NA(),E41*(1+$F$9))</f>
        <v/>
      </c>
      <c r="G41" s="240">
        <f>IF(INPUT!H9="",NA(),F41*(1+$F$9))</f>
        <v/>
      </c>
      <c r="H41" s="240">
        <f>IF(INPUT!H9="",NA(),G41*(1+$F$9))</f>
        <v/>
      </c>
      <c r="I41" s="22" t="n"/>
      <c r="J41" s="22" t="n"/>
      <c r="K41" s="22" t="n"/>
      <c r="L41" s="22" t="n"/>
      <c r="M41" s="22" t="n"/>
    </row>
    <row r="42" ht="12.75" customHeight="1">
      <c r="A42" s="381" t="inlineStr">
        <is>
          <t xml:space="preserve"> </t>
        </is>
      </c>
      <c r="B42" s="382" t="inlineStr">
        <is>
          <t>SCENARIO SUMMARY COMPARISON</t>
        </is>
      </c>
      <c r="C42" s="383" t="n"/>
      <c r="D42" s="384" t="n"/>
      <c r="E42" s="365" t="n"/>
      <c r="F42" s="365" t="n"/>
      <c r="G42" s="365" t="n"/>
      <c r="H42" s="365" t="n"/>
      <c r="I42" s="365" t="n"/>
      <c r="J42" s="365" t="n"/>
      <c r="K42" s="365" t="n"/>
      <c r="L42" s="365" t="n"/>
      <c r="M42" s="365" t="n"/>
    </row>
    <row r="43" ht="15" customHeight="1">
      <c r="A43" s="454" t="n"/>
      <c r="B43" s="26" t="inlineStr">
        <is>
          <t>CHART DATA: EBITDA by Scenario</t>
        </is>
      </c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</row>
    <row r="44" ht="15" customHeight="1">
      <c r="A44" s="453" t="n"/>
      <c r="B44" s="16" t="inlineStr">
        <is>
          <t>Year</t>
        </is>
      </c>
      <c r="C44" s="87" t="n"/>
      <c r="D44" s="87">
        <f>TEXT(INPUT!D117+1,"0")&amp;"F"</f>
        <v/>
      </c>
      <c r="E44" s="87">
        <f>TEXT(INPUT!D117+2,"0")&amp;"F"</f>
        <v/>
      </c>
      <c r="F44" s="87">
        <f>TEXT(INPUT!D117+3,"0")&amp;"F"</f>
        <v/>
      </c>
      <c r="G44" s="87">
        <f>TEXT(INPUT!D117+4,"0")&amp;"F"</f>
        <v/>
      </c>
      <c r="H44" s="87">
        <f>TEXT(INPUT!D117+5,"0")&amp;"F"</f>
        <v/>
      </c>
      <c r="I44" s="220" t="n"/>
      <c r="J44" s="220" t="n"/>
      <c r="K44" s="220" t="n"/>
      <c r="L44" s="220" t="n"/>
      <c r="M44" s="220" t="n"/>
    </row>
    <row r="45" ht="15" customHeight="1">
      <c r="A45" s="453" t="n"/>
      <c r="B45" s="75" t="inlineStr">
        <is>
          <t>Pessimistic</t>
        </is>
      </c>
      <c r="C45" s="620" t="n"/>
      <c r="D45" s="240">
        <f>IF(D40=0,0,D40*$D$11)</f>
        <v/>
      </c>
      <c r="E45" s="236">
        <f>IF(E40=0,0,E40*$D$11)</f>
        <v/>
      </c>
      <c r="F45" s="236">
        <f>IF(F40=0,0,F40*$D$11)</f>
        <v/>
      </c>
      <c r="G45" s="236">
        <f>IF(G40=0,0,G40*$D$11)</f>
        <v/>
      </c>
      <c r="H45" s="387">
        <f>IF(H40=0,0,H40*$D$11)</f>
        <v/>
      </c>
      <c r="I45" s="464" t="n"/>
      <c r="J45" s="31" t="n"/>
      <c r="K45" s="31" t="n"/>
      <c r="L45" s="31" t="n"/>
      <c r="M45" s="31" t="n"/>
    </row>
    <row r="46" ht="15" customHeight="1">
      <c r="A46" s="453" t="n"/>
      <c r="B46" s="75" t="inlineStr">
        <is>
          <t>Realistic</t>
        </is>
      </c>
      <c r="C46" s="620" t="n"/>
      <c r="D46" s="240">
        <f>IF(D41=0,0,D41*$E$11)</f>
        <v/>
      </c>
      <c r="E46" s="236">
        <f>IF(E41=0,0,E41*$E$11)</f>
        <v/>
      </c>
      <c r="F46" s="236">
        <f>IF(F41=0,0,F41*$E$11)</f>
        <v/>
      </c>
      <c r="G46" s="236">
        <f>IF(G41=0,0,G41*$E$11)</f>
        <v/>
      </c>
      <c r="H46" s="387">
        <f>IF(H41=0,0,H41*$E$11)</f>
        <v/>
      </c>
      <c r="I46" s="464" t="n"/>
      <c r="J46" s="31" t="n"/>
      <c r="K46" s="31" t="n"/>
      <c r="L46" s="31" t="n"/>
      <c r="M46" s="31" t="n"/>
    </row>
    <row r="47" ht="15" customHeight="1">
      <c r="A47" s="453" t="n"/>
      <c r="B47" s="75" t="inlineStr">
        <is>
          <t>Optimistic</t>
        </is>
      </c>
      <c r="C47" s="620" t="n"/>
      <c r="D47" s="240">
        <f>IF(D41=0,0,D41*$F$11)</f>
        <v/>
      </c>
      <c r="E47" s="236">
        <f>IF(E41=0,0,E41*$F$11)</f>
        <v/>
      </c>
      <c r="F47" s="236">
        <f>IF(F41=0,0,F41*$F$11)</f>
        <v/>
      </c>
      <c r="G47" s="236">
        <f>IF(G41=0,0,G41*$F$11)</f>
        <v/>
      </c>
      <c r="H47" s="387">
        <f>IF(H41=0,0,H41*$F$11)</f>
        <v/>
      </c>
      <c r="I47" s="464" t="n"/>
      <c r="J47" s="31" t="n"/>
      <c r="K47" s="31" t="n"/>
      <c r="L47" s="31" t="n"/>
      <c r="M47" s="31" t="n"/>
    </row>
    <row r="48" ht="15" customHeight="1">
      <c r="A48" s="453" t="n"/>
      <c r="B48" s="75" t="inlineStr">
        <is>
          <t>EBITDA Margin (Year 5)</t>
        </is>
      </c>
      <c r="C48" s="466" t="n"/>
      <c r="D48" s="623" t="n"/>
      <c r="E48" s="622">
        <f>IFERROR(H45/H39,"–")</f>
        <v/>
      </c>
      <c r="F48" s="622">
        <f>IFERROR(H46/H40,"–")</f>
        <v/>
      </c>
      <c r="G48" s="622">
        <f>IFERROR(H47/H41,"–")</f>
        <v/>
      </c>
      <c r="H48" s="81" t="n"/>
      <c r="I48" s="464" t="n"/>
      <c r="J48" s="31" t="n"/>
      <c r="K48" s="31" t="n"/>
      <c r="L48" s="31" t="n"/>
      <c r="M48" s="31" t="n"/>
    </row>
    <row r="49" ht="15" customHeight="1" thickBot="1">
      <c r="A49" s="455" t="n"/>
      <c r="B49" s="70" t="inlineStr">
        <is>
          <t>Implied Share Price</t>
        </is>
      </c>
      <c r="C49" s="69" t="n"/>
      <c r="D49" s="624" t="n"/>
      <c r="E49" s="386">
        <f>IFERROR("$"&amp;TEXT(DCF!D91*(1+$D$9+$D$11-$E$9-$E$11)*0.8,"#,##0.00"),"–")</f>
        <v/>
      </c>
      <c r="F49" s="386">
        <f>IFERROR("$"&amp;TEXT(DCF!D91,"#,##0.00"),"–")</f>
        <v/>
      </c>
      <c r="G49" s="386">
        <f>IFERROR("$"&amp;TEXT(DCF!D91*(1+$F$9+$F$11-$E$9-$E$11)*1.2,"#,##0.00"),"–")</f>
        <v/>
      </c>
      <c r="H49" s="81" t="n"/>
      <c r="I49" s="60" t="n"/>
      <c r="J49" s="31" t="n"/>
      <c r="K49" s="31" t="n"/>
      <c r="L49" s="31" t="n"/>
      <c r="M49" s="31" t="n"/>
    </row>
    <row r="50" ht="15" customHeight="1">
      <c r="A50" s="453" t="n"/>
      <c r="B50" s="14" t="n"/>
      <c r="C50" s="3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</row>
    <row r="51" ht="15" customHeight="1">
      <c r="A51" s="453" t="n"/>
      <c r="B51" s="40" t="inlineStr">
        <is>
          <t>CHARTS: Revenue &amp; FCF by scenario (insert chart using Scenarios data above D16:I16, D25:I25, D34:I34 for Revenue)</t>
        </is>
      </c>
      <c r="C51" s="3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</row>
    <row r="52" ht="15" customHeight="1">
      <c r="A52" s="453" t="n"/>
      <c r="B52" s="14" t="n"/>
      <c r="C52" s="3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</row>
    <row r="53" ht="15" customHeight="1">
      <c r="A53" s="457" t="n"/>
      <c r="B53" s="32" t="inlineStr">
        <is>
          <t>© 2015 to 2024 FinSight</t>
        </is>
      </c>
      <c r="C53" s="4" t="n"/>
      <c r="D53" s="4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96" t="n"/>
    </row>
    <row r="54" ht="15" customHeight="1">
      <c r="A54" s="457" t="n"/>
      <c r="B54" s="32" t="inlineStr">
        <is>
          <t>This Excel model is for educational purposes only.</t>
        </is>
      </c>
      <c r="C54" s="4" t="n"/>
      <c r="D54" s="4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96" t="n"/>
    </row>
    <row r="55" ht="15" customHeight="1">
      <c r="A55" s="457" t="n"/>
      <c r="B55" s="32" t="inlineStr">
        <is>
          <t>https://finsight.com/</t>
        </is>
      </c>
      <c r="C55" s="4" t="n"/>
      <c r="D55" s="4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96" t="n"/>
    </row>
    <row r="56" ht="15" customHeight="1">
      <c r="A56" s="453" t="n"/>
      <c r="B56" s="14" t="n"/>
      <c r="C56" s="3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</row>
    <row r="57" ht="15" customHeight="1">
      <c r="A57" s="454" t="n"/>
      <c r="B57" s="16" t="inlineStr">
        <is>
          <t>Chart Data: Revenue by Scenario</t>
        </is>
      </c>
      <c r="C57" s="83">
        <f>INPUT!D117+1</f>
        <v/>
      </c>
      <c r="D57" s="83">
        <f>INPUT!D117+2</f>
        <v/>
      </c>
      <c r="E57" s="83">
        <f>INPUT!D117+3</f>
        <v/>
      </c>
      <c r="F57" s="83">
        <f>INPUT!D117+4</f>
        <v/>
      </c>
      <c r="G57" s="83">
        <f>INPUT!D117+5</f>
        <v/>
      </c>
      <c r="H57" s="24" t="n"/>
      <c r="I57" s="24" t="n"/>
      <c r="J57" s="24" t="n"/>
      <c r="K57" s="24" t="n"/>
      <c r="L57" s="24" t="n"/>
      <c r="M57" s="24" t="n"/>
      <c r="N57" s="98" t="n"/>
    </row>
    <row r="58" ht="15" customHeight="1">
      <c r="A58" s="453" t="n"/>
      <c r="B58" s="14" t="inlineStr">
        <is>
          <t>Pessimistic</t>
        </is>
      </c>
      <c r="C58" s="625">
        <f>IF(INPUT!H9="",NA(),INPUT!H9*(1+$D$9))</f>
        <v/>
      </c>
      <c r="D58" s="385">
        <f>IF(INPUT!H9="",NA(),C58*(1+$D$9))</f>
        <v/>
      </c>
      <c r="E58" s="625">
        <f>IF(INPUT!H9="",NA(),D58*(1+$D$9))</f>
        <v/>
      </c>
      <c r="F58" s="625">
        <f>IF(INPUT!H9="",NA(),E58*(1+$D$9))</f>
        <v/>
      </c>
      <c r="G58" s="625">
        <f>IF(INPUT!H9="",NA(),F58*(1+$D$9))</f>
        <v/>
      </c>
      <c r="H58" s="22" t="n"/>
      <c r="I58" s="22" t="n"/>
      <c r="J58" s="22" t="n"/>
      <c r="K58" s="22" t="n"/>
      <c r="L58" s="22" t="n"/>
      <c r="M58" s="22" t="n"/>
    </row>
    <row r="59" ht="15" customHeight="1">
      <c r="A59" s="453" t="n"/>
      <c r="B59" s="14" t="inlineStr">
        <is>
          <t>Realistic</t>
        </is>
      </c>
      <c r="C59" s="625">
        <f>IF(INPUT!H9="",NA(),INPUT!H9*(1+$E$9))</f>
        <v/>
      </c>
      <c r="D59" s="385">
        <f>IF(INPUT!H9="",NA(),C59*(1+$E$9))</f>
        <v/>
      </c>
      <c r="E59" s="625">
        <f>IF(INPUT!H9="",NA(),D59*(1+$E$9))</f>
        <v/>
      </c>
      <c r="F59" s="625">
        <f>IF(INPUT!H9="",NA(),E59*(1+$E$9))</f>
        <v/>
      </c>
      <c r="G59" s="625">
        <f>IF(INPUT!H9="",NA(),F59*(1+$E$9))</f>
        <v/>
      </c>
      <c r="H59" s="22" t="n"/>
      <c r="I59" s="22" t="n"/>
      <c r="J59" s="22" t="n"/>
      <c r="K59" s="22" t="n"/>
      <c r="L59" s="22" t="n"/>
      <c r="M59" s="22" t="n"/>
    </row>
    <row r="60" ht="15" customHeight="1">
      <c r="A60" s="453" t="n"/>
      <c r="B60" s="14" t="inlineStr">
        <is>
          <t>Optimistic</t>
        </is>
      </c>
      <c r="C60" s="625">
        <f>IF(INPUT!H9="",NA(),INPUT!H9*(1+$F$9))</f>
        <v/>
      </c>
      <c r="D60" s="385">
        <f>IF(INPUT!H9="",NA(),C60*(1+$F$9))</f>
        <v/>
      </c>
      <c r="E60" s="625">
        <f>IF(INPUT!H9="",NA(),D60*(1+$F$9))</f>
        <v/>
      </c>
      <c r="F60" s="625">
        <f>IF(INPUT!H9="",NA(),E60*(1+$F$9))</f>
        <v/>
      </c>
      <c r="G60" s="625">
        <f>IF(INPUT!H9="",NA(),F60*(1+$F$9))</f>
        <v/>
      </c>
      <c r="H60" s="22" t="n"/>
      <c r="I60" s="22" t="n"/>
      <c r="J60" s="22" t="n"/>
      <c r="K60" s="22" t="n"/>
      <c r="L60" s="22" t="n"/>
      <c r="M60" s="22" t="n"/>
    </row>
    <row r="61" ht="15" customHeight="1">
      <c r="A61" s="453" t="n"/>
      <c r="B61" s="14" t="n"/>
      <c r="C61" s="3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</row>
    <row r="62" ht="15" customHeight="1">
      <c r="A62" s="454" t="n"/>
      <c r="B62" s="16" t="inlineStr">
        <is>
          <t>Chart Data: EBITDA by Scenario</t>
        </is>
      </c>
      <c r="C62" s="83">
        <f>INPUT!D117+1</f>
        <v/>
      </c>
      <c r="D62" s="83">
        <f>INPUT!D117+2</f>
        <v/>
      </c>
      <c r="E62" s="83">
        <f>INPUT!D117+3</f>
        <v/>
      </c>
      <c r="F62" s="83">
        <f>INPUT!D117+4</f>
        <v/>
      </c>
      <c r="G62" s="83">
        <f>INPUT!D117+5</f>
        <v/>
      </c>
      <c r="H62" s="24" t="n"/>
      <c r="I62" s="24" t="n"/>
      <c r="J62" s="24" t="n"/>
      <c r="K62" s="24" t="n"/>
      <c r="L62" s="24" t="n"/>
      <c r="M62" s="24" t="n"/>
      <c r="N62" s="98" t="n"/>
    </row>
    <row r="63" ht="15" customHeight="1">
      <c r="A63" s="453" t="n"/>
      <c r="B63" s="14" t="inlineStr">
        <is>
          <t>Pessimistic</t>
        </is>
      </c>
      <c r="C63" s="625">
        <f>IF(INPUT!H9="",NA(),INPUT!H9*(1+$D$9)*$D$11)</f>
        <v/>
      </c>
      <c r="D63" s="385">
        <f>IF(INPUT!H9="",NA(),C58*(1+$D$9)*$D$11)</f>
        <v/>
      </c>
      <c r="E63" s="625">
        <f>IF(INPUT!H9="",NA(),D58*(1+$D$9)*$D$11)</f>
        <v/>
      </c>
      <c r="F63" s="625">
        <f>IF(INPUT!H9="",NA(),E58*(1+$D$9)*$D$11)</f>
        <v/>
      </c>
      <c r="G63" s="625">
        <f>IF(INPUT!H9="",NA(),F58*(1+$D$9)*$D$11)</f>
        <v/>
      </c>
      <c r="H63" s="22" t="n"/>
      <c r="I63" s="22" t="n"/>
      <c r="J63" s="22" t="n"/>
      <c r="K63" s="22" t="n"/>
      <c r="L63" s="22" t="n"/>
      <c r="M63" s="22" t="n"/>
    </row>
    <row r="64" ht="15" customHeight="1">
      <c r="A64" s="453" t="n"/>
      <c r="B64" s="14" t="inlineStr">
        <is>
          <t>Realistic</t>
        </is>
      </c>
      <c r="C64" s="625">
        <f>IF(INPUT!H9="",NA(),INPUT!H9*(1+$E$9)*$E$11)</f>
        <v/>
      </c>
      <c r="D64" s="385">
        <f>IF(INPUT!H9="",NA(),C59*(1+$E$9)*$E$11)</f>
        <v/>
      </c>
      <c r="E64" s="625">
        <f>IF(INPUT!H9="",NA(),D59*(1+$E$9)*$E$11)</f>
        <v/>
      </c>
      <c r="F64" s="625">
        <f>IF(INPUT!H9="",NA(),E59*(1+$E$9)*$E$11)</f>
        <v/>
      </c>
      <c r="G64" s="625">
        <f>IF(INPUT!H9="",NA(),F59*(1+$E$9)*$E$11)</f>
        <v/>
      </c>
      <c r="H64" s="22" t="n"/>
      <c r="I64" s="22" t="n"/>
      <c r="J64" s="22" t="n"/>
      <c r="K64" s="22" t="n"/>
      <c r="L64" s="22" t="n"/>
      <c r="M64" s="22" t="n"/>
    </row>
    <row r="65" ht="15" customHeight="1">
      <c r="A65" s="453" t="n"/>
      <c r="B65" s="14" t="inlineStr">
        <is>
          <t>Optimistic</t>
        </is>
      </c>
      <c r="C65" s="625">
        <f>IF(INPUT!H9="",NA(),INPUT!H9*(1+$F$9)*$F$11)</f>
        <v/>
      </c>
      <c r="D65" s="385">
        <f>IF(INPUT!H9="",NA(),C60*(1+$F$9)*$F$11)</f>
        <v/>
      </c>
      <c r="E65" s="625">
        <f>IF(INPUT!H9="",NA(),D60*(1+$F$9)*$F$11)</f>
        <v/>
      </c>
      <c r="F65" s="625">
        <f>IF(INPUT!H9="",NA(),E60*(1+$F$9)*$F$11)</f>
        <v/>
      </c>
      <c r="G65" s="625">
        <f>IF(INPUT!H9="",NA(),F60*(1+$F$9)*$F$11)</f>
        <v/>
      </c>
      <c r="H65" s="22" t="n"/>
      <c r="I65" s="22" t="n"/>
      <c r="J65" s="22" t="n"/>
      <c r="K65" s="22" t="n"/>
      <c r="L65" s="22" t="n"/>
      <c r="M65" s="22" t="n"/>
    </row>
    <row r="66" ht="15" customHeight="1">
      <c r="B66" s="47" t="n"/>
    </row>
    <row r="67" ht="15" customHeight="1">
      <c r="B67" s="47" t="n"/>
    </row>
    <row r="68" ht="15" customHeight="1">
      <c r="B68" s="47" t="n"/>
    </row>
    <row r="69" ht="15" customHeight="1">
      <c r="B69" s="47" t="n"/>
    </row>
    <row r="70" ht="15" customHeight="1">
      <c r="B70" s="47" t="n"/>
    </row>
    <row r="71" ht="15" customHeight="1">
      <c r="B71" s="47" t="n"/>
    </row>
    <row r="72" ht="15" customHeight="1">
      <c r="B72" s="47" t="n"/>
    </row>
    <row r="73" ht="15" customHeight="1">
      <c r="B73" s="47" t="n"/>
    </row>
    <row r="74" ht="15" customHeight="1">
      <c r="B74" s="47" t="n"/>
    </row>
    <row r="75" ht="15" customHeight="1">
      <c r="B75" s="47" t="n"/>
    </row>
    <row r="76" ht="15" customHeight="1">
      <c r="B76" s="47" t="n"/>
    </row>
    <row r="77" ht="15" customHeight="1">
      <c r="B77" s="47" t="n"/>
    </row>
    <row r="78" ht="15" customHeight="1">
      <c r="B78" s="47" t="n"/>
    </row>
    <row r="79" ht="15" customHeight="1">
      <c r="B79" s="47" t="n"/>
    </row>
    <row r="80" ht="15" customHeight="1">
      <c r="B80" s="47" t="n"/>
    </row>
    <row r="81" ht="15" customHeight="1">
      <c r="B81" s="47" t="n"/>
    </row>
    <row r="82" ht="15" customHeight="1">
      <c r="B82" s="47" t="n"/>
    </row>
    <row r="83" ht="15" customHeight="1">
      <c r="B83" s="47" t="n"/>
    </row>
    <row r="84" ht="15" customHeight="1">
      <c r="B84" s="47" t="n"/>
    </row>
    <row r="85" ht="15" customHeight="1">
      <c r="B85" s="47" t="n"/>
    </row>
    <row r="86" ht="15" customHeight="1">
      <c r="B86" s="47" t="n"/>
    </row>
    <row r="87" ht="15" customHeight="1">
      <c r="B87" s="47" t="n"/>
    </row>
    <row r="88" ht="15" customHeight="1">
      <c r="B88" s="47" t="n"/>
    </row>
    <row r="89" ht="15" customHeight="1">
      <c r="B89" s="47" t="n"/>
    </row>
    <row r="90" ht="15" customHeight="1">
      <c r="B90" s="47" t="n"/>
    </row>
    <row r="91" ht="15" customHeight="1">
      <c r="B91" s="47" t="n"/>
    </row>
    <row r="92" ht="15" customHeight="1">
      <c r="B92" s="47" t="n"/>
    </row>
    <row r="93" ht="15" customHeight="1">
      <c r="B93" s="47" t="n"/>
    </row>
    <row r="94" ht="15" customHeight="1">
      <c r="B94" s="47" t="n"/>
    </row>
    <row r="95" ht="15" customHeight="1">
      <c r="B95" s="4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</sheetData>
  <dataValidations disablePrompts="1" count="1">
    <dataValidation sqref="D6" showDropDown="0" showInputMessage="1" showErrorMessage="1" allowBlank="1" errorTitle="Invalid Selection" error="Please select Pessimistic, Realistic, or Optimistic" promptTitle="Select Scenario" prompt="Choose: Pessimistic, Realistic, or Optimistic" type="list">
      <formula1>"Pessimistic,Realistic,Optimistic"</formula1>
    </dataValidation>
  </dataValidations>
  <printOptions horizontalCentered="1"/>
  <pageMargins left="0.005555555555555556" right="0.005555555555555556" top="0.006944444444444444" bottom="0.006944444444444444" header="0.002777777777777778" footer="0.002777777777777778"/>
  <pageSetup orientation="landscape" paperSize="9" scale="97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XFD120"/>
  <sheetViews>
    <sheetView showGridLines="0" topLeftCell="A7" zoomScale="70" zoomScaleNormal="70" workbookViewId="0">
      <selection activeCell="S33" sqref="S33"/>
    </sheetView>
  </sheetViews>
  <sheetFormatPr baseColWidth="10" defaultColWidth="11.5703125" defaultRowHeight="15" outlineLevelRow="1"/>
  <cols>
    <col width="10" customWidth="1" min="1" max="1"/>
    <col width="13.7109375" bestFit="1" customWidth="1" style="19" min="2" max="2"/>
    <col width="15.85546875" customWidth="1" min="3" max="3"/>
    <col width="12" customWidth="1" style="465" min="4" max="4"/>
    <col width="18.5703125" customWidth="1" style="465" min="5" max="5"/>
    <col width="24.7109375" customWidth="1" style="465" min="6" max="6"/>
    <col width="10.140625" customWidth="1" style="465" min="7" max="7"/>
    <col width="17.5703125" customWidth="1" style="465" min="8" max="8"/>
    <col width="20.85546875" customWidth="1" style="465" min="9" max="9"/>
    <col width="16.140625" customWidth="1" style="465" min="10" max="10"/>
    <col width="12.28515625" bestFit="1" customWidth="1" style="465" min="11" max="13"/>
    <col width="11.85546875" customWidth="1" style="465" min="14" max="15"/>
  </cols>
  <sheetData>
    <row r="1" ht="50.1" customHeight="1">
      <c r="A1" s="162" t="n"/>
      <c r="B1" s="104" t="inlineStr">
        <is>
          <t>FinSight</t>
        </is>
      </c>
      <c r="C1" s="162" t="n"/>
      <c r="D1" s="162" t="n"/>
      <c r="E1" s="162" t="n"/>
      <c r="F1" s="162" t="n"/>
      <c r="G1" s="162" t="n"/>
      <c r="H1" s="162" t="n"/>
      <c r="I1" s="162" t="n"/>
      <c r="J1" s="162" t="n"/>
      <c r="K1" s="139" t="n"/>
      <c r="L1" s="151" t="n"/>
      <c r="M1" s="151" t="n"/>
      <c r="N1" s="151" t="n"/>
      <c r="Q1" s="421" t="inlineStr">
        <is>
          <t>Année</t>
        </is>
      </c>
      <c r="R1" s="421" t="n">
        <v>2022</v>
      </c>
      <c r="S1" s="421" t="n">
        <v>2023</v>
      </c>
      <c r="T1" s="421" t="n">
        <v>2024</v>
      </c>
      <c r="U1" s="421" t="n"/>
    </row>
    <row r="2" ht="15" customHeight="1">
      <c r="A2" s="159" t="n"/>
      <c r="B2" s="159" t="n"/>
      <c r="C2" s="159" t="n"/>
      <c r="D2" s="159" t="n"/>
      <c r="E2" s="159" t="n"/>
      <c r="F2" s="159" t="n"/>
      <c r="G2" s="159" t="n"/>
      <c r="H2" s="159" t="n"/>
      <c r="I2" s="159" t="n"/>
      <c r="J2" s="159" t="n"/>
      <c r="K2" s="159" t="n"/>
      <c r="L2" s="159" t="n"/>
      <c r="M2" s="159" t="n"/>
      <c r="N2" s="159" t="n"/>
      <c r="Q2" s="421" t="inlineStr">
        <is>
          <t>Année</t>
        </is>
      </c>
      <c r="R2" s="421" t="inlineStr">
        <is>
          <t>Cumul Revenue</t>
        </is>
      </c>
      <c r="S2" s="421">
        <f>RATIOS!F78</f>
        <v/>
      </c>
      <c r="T2" s="421">
        <f>RATIOS!G78</f>
        <v/>
      </c>
      <c r="U2" s="421" t="n"/>
    </row>
    <row r="3" ht="21" customHeight="1">
      <c r="A3" s="163" t="inlineStr">
        <is>
          <t xml:space="preserve"> </t>
        </is>
      </c>
      <c r="B3" s="141" t="inlineStr">
        <is>
          <t>Financial Performance</t>
        </is>
      </c>
      <c r="C3" s="161" t="n"/>
      <c r="D3" s="161" t="n"/>
      <c r="E3" s="161" t="n"/>
      <c r="F3" s="161" t="n"/>
      <c r="G3" s="161" t="n"/>
      <c r="H3" s="161" t="n"/>
      <c r="I3" s="161" t="n"/>
      <c r="J3" s="161" t="n"/>
      <c r="K3" s="161" t="n"/>
      <c r="L3" s="161" t="n"/>
      <c r="M3" s="161" t="n"/>
      <c r="N3" s="161" t="n"/>
      <c r="Q3" s="422" t="n">
        <v>2022</v>
      </c>
      <c r="R3" s="421">
        <f>RATIOS!E78</f>
        <v/>
      </c>
    </row>
    <row r="4" ht="15" customHeight="1">
      <c r="A4" s="159" t="n"/>
      <c r="B4" s="159" t="n"/>
      <c r="C4" s="159" t="n"/>
      <c r="D4" s="159" t="n"/>
      <c r="E4" s="159" t="n"/>
      <c r="F4" s="159" t="n"/>
      <c r="G4" s="159" t="n"/>
      <c r="H4" s="159" t="n"/>
      <c r="I4" s="159" t="n"/>
      <c r="J4" s="159" t="n"/>
      <c r="K4" s="159" t="n"/>
      <c r="L4" s="159" t="n"/>
      <c r="M4" s="159" t="n"/>
      <c r="N4" s="159" t="n"/>
      <c r="Q4" s="422" t="n">
        <v>2023</v>
      </c>
      <c r="R4" s="421">
        <f>RATIOS!F78</f>
        <v/>
      </c>
    </row>
    <row r="5" ht="15" customHeight="1">
      <c r="A5" s="159" t="n"/>
      <c r="B5" s="159" t="n"/>
      <c r="C5" s="159" t="n"/>
      <c r="D5" s="159" t="n"/>
      <c r="E5" s="159" t="n"/>
      <c r="F5" s="159" t="n"/>
      <c r="G5" s="159" t="n"/>
      <c r="H5" s="159" t="n"/>
      <c r="I5" s="159" t="n"/>
      <c r="J5" s="159" t="n"/>
      <c r="K5" s="159" t="n"/>
      <c r="L5" s="159" t="n"/>
      <c r="M5" s="309">
        <f>"All figures in "&amp;INPUT!D118&amp;" "&amp;INPUT!D119&amp;" unless stated"</f>
        <v/>
      </c>
      <c r="N5" s="159" t="n"/>
      <c r="Q5" s="422" t="n">
        <v>2024</v>
      </c>
      <c r="R5" s="421">
        <f>RATIOS!G78</f>
        <v/>
      </c>
    </row>
    <row r="6" ht="15" customHeight="1">
      <c r="A6" s="159" t="n"/>
      <c r="B6" s="159" t="n"/>
      <c r="C6" s="159" t="n"/>
      <c r="D6" s="159" t="n"/>
      <c r="E6" s="159" t="n"/>
      <c r="F6" s="159" t="n"/>
      <c r="G6" s="159" t="n"/>
      <c r="H6" s="159" t="n"/>
      <c r="I6" s="159" t="n"/>
      <c r="J6" s="159" t="n"/>
      <c r="K6" s="159" t="n"/>
      <c r="L6" s="159" t="n"/>
      <c r="M6" s="159" t="n"/>
      <c r="N6" s="159" t="n"/>
      <c r="Q6" s="421" t="n"/>
      <c r="R6" s="421" t="n"/>
    </row>
    <row r="7" ht="15" customHeight="1">
      <c r="A7" s="159" t="n"/>
      <c r="B7" s="159" t="n"/>
      <c r="C7" s="159" t="n"/>
      <c r="D7" s="159" t="n"/>
      <c r="E7" s="159" t="n"/>
      <c r="F7" s="159" t="n"/>
      <c r="G7" s="159" t="n"/>
      <c r="H7" s="159" t="n"/>
      <c r="I7" s="159" t="n"/>
      <c r="J7" s="159" t="n"/>
      <c r="K7" s="159" t="n"/>
      <c r="L7" s="159" t="n"/>
      <c r="M7" s="159" t="n"/>
      <c r="N7" s="159" t="n"/>
      <c r="Q7" s="448" t="inlineStr">
        <is>
          <t>Year</t>
        </is>
      </c>
      <c r="R7" s="448" t="inlineStr">
        <is>
          <t>Revenue</t>
        </is>
      </c>
      <c r="S7" s="448" t="inlineStr">
        <is>
          <t>Net Income</t>
        </is>
      </c>
      <c r="T7" s="448" t="inlineStr">
        <is>
          <t>Net Margin</t>
        </is>
      </c>
    </row>
    <row r="8" ht="15" customHeight="1">
      <c r="A8" s="159" t="n"/>
      <c r="B8" s="150" t="inlineStr">
        <is>
          <t>Revenue &amp; Profitability</t>
        </is>
      </c>
      <c r="C8" s="150" t="n"/>
      <c r="D8" s="150" t="n"/>
      <c r="E8" s="157" t="n"/>
      <c r="F8" s="157" t="n"/>
      <c r="G8" s="159" t="n"/>
      <c r="H8" s="199" t="inlineStr">
        <is>
          <t>Profit Margins</t>
        </is>
      </c>
      <c r="I8" s="198" t="n"/>
      <c r="J8" s="198" t="n"/>
      <c r="K8" s="198" t="n"/>
      <c r="L8" s="198" t="n"/>
      <c r="M8" s="198" t="n"/>
      <c r="N8" s="159" t="n"/>
      <c r="Q8" s="448" t="n">
        <v>2022</v>
      </c>
      <c r="R8" s="448">
        <f>RATIOS!E75</f>
        <v/>
      </c>
      <c r="S8" s="448">
        <f>RATIOS!E77</f>
        <v/>
      </c>
      <c r="T8" s="448">
        <f>RATIOS!E82</f>
        <v/>
      </c>
    </row>
    <row r="9" ht="15" customHeight="1">
      <c r="A9" s="159" t="n"/>
      <c r="B9" s="165" t="n"/>
      <c r="C9" s="165" t="n"/>
      <c r="D9" s="165" t="n"/>
      <c r="E9" s="165" t="n"/>
      <c r="F9" s="165" t="n"/>
      <c r="G9" s="159" t="n"/>
      <c r="H9" s="165" t="n"/>
      <c r="I9" s="198" t="n"/>
      <c r="J9" s="198" t="n"/>
      <c r="K9" s="198" t="n"/>
      <c r="L9" s="165" t="n"/>
      <c r="M9" s="159" t="n"/>
      <c r="N9" s="159" t="n"/>
      <c r="Q9" s="448" t="n">
        <v>2023</v>
      </c>
      <c r="R9" s="448">
        <f>RATIOS!F75</f>
        <v/>
      </c>
      <c r="S9" s="448">
        <f>RATIOS!F77</f>
        <v/>
      </c>
      <c r="T9" s="448">
        <f>RATIOS!F82</f>
        <v/>
      </c>
    </row>
    <row r="10" ht="15" customHeight="1">
      <c r="A10" s="159" t="n"/>
      <c r="B10" s="159" t="n"/>
      <c r="C10" s="159" t="n"/>
      <c r="D10" s="159" t="n"/>
      <c r="E10" s="159" t="n"/>
      <c r="F10" s="159" t="n"/>
      <c r="G10" s="159" t="n"/>
      <c r="H10" s="159" t="n"/>
      <c r="I10" s="159" t="n"/>
      <c r="J10" s="159" t="n"/>
      <c r="K10" s="159" t="n"/>
      <c r="L10" s="159" t="n"/>
      <c r="M10" s="159" t="n"/>
      <c r="N10" s="159" t="n"/>
      <c r="Q10" s="448" t="n">
        <v>2024</v>
      </c>
      <c r="R10" s="448">
        <f>RATIOS!G75</f>
        <v/>
      </c>
      <c r="S10" s="448">
        <f>RATIOS!G77</f>
        <v/>
      </c>
      <c r="T10" s="448">
        <f>RATIOS!G82</f>
        <v/>
      </c>
    </row>
    <row r="11" ht="15" customHeight="1">
      <c r="A11" s="159" t="n"/>
      <c r="B11" s="159" t="n"/>
      <c r="C11" s="159" t="n"/>
      <c r="D11" s="159" t="n"/>
      <c r="E11" s="159" t="n"/>
      <c r="F11" s="159" t="n"/>
      <c r="G11" s="159" t="n"/>
      <c r="H11" s="159" t="n"/>
      <c r="I11" s="159" t="n"/>
      <c r="J11" s="159" t="n"/>
      <c r="K11" s="159" t="n"/>
      <c r="L11" s="159" t="n"/>
      <c r="M11" s="159" t="n"/>
      <c r="N11" s="159" t="n"/>
      <c r="Q11" s="448" t="inlineStr">
        <is>
          <t>2025 (LTM)</t>
        </is>
      </c>
      <c r="R11" s="448">
        <f>RATIOS!H75</f>
        <v/>
      </c>
      <c r="S11" s="448">
        <f>RATIOS!H77</f>
        <v/>
      </c>
      <c r="T11" s="448">
        <f>RATIOS!H82</f>
        <v/>
      </c>
    </row>
    <row r="12" ht="15" customHeight="1">
      <c r="A12" s="159" t="n"/>
      <c r="B12" s="159" t="n"/>
      <c r="C12" s="159" t="n"/>
      <c r="D12" s="159" t="n"/>
      <c r="E12" s="159" t="n"/>
      <c r="F12" s="159" t="n"/>
      <c r="G12" s="159" t="n"/>
      <c r="H12" s="159" t="n"/>
      <c r="I12" s="159" t="n"/>
      <c r="J12" s="159" t="n"/>
      <c r="K12" s="159" t="n"/>
      <c r="L12" s="159" t="n"/>
      <c r="M12" s="159" t="n"/>
      <c r="N12" s="159" t="n"/>
    </row>
    <row r="13" ht="15" customHeight="1">
      <c r="A13" s="159" t="n"/>
      <c r="B13" s="159" t="n"/>
      <c r="C13" s="159" t="n"/>
      <c r="D13" s="159" t="n"/>
      <c r="E13" s="159" t="n"/>
      <c r="F13" s="159" t="n"/>
      <c r="G13" s="159" t="n"/>
      <c r="H13" s="159" t="n"/>
      <c r="I13" s="159" t="n"/>
      <c r="J13" s="159" t="n"/>
      <c r="K13" s="159" t="n"/>
      <c r="L13" s="159" t="n"/>
      <c r="M13" s="159" t="n"/>
      <c r="N13" s="159" t="n"/>
    </row>
    <row r="14" ht="15" customHeight="1">
      <c r="A14" s="159" t="n"/>
      <c r="B14" s="159" t="n"/>
      <c r="C14" s="159" t="n"/>
      <c r="D14" s="159" t="n"/>
      <c r="E14" s="159" t="n"/>
      <c r="F14" s="159" t="n"/>
      <c r="G14" s="159" t="n"/>
      <c r="H14" s="159" t="n"/>
      <c r="I14" s="159" t="n"/>
      <c r="J14" s="159" t="n"/>
      <c r="K14" s="159" t="n"/>
      <c r="L14" s="159" t="n"/>
      <c r="M14" s="159" t="n"/>
      <c r="N14" s="159" t="n"/>
    </row>
    <row r="15" ht="15" customHeight="1">
      <c r="A15" s="159" t="n"/>
      <c r="B15" s="159" t="n"/>
      <c r="C15" s="159" t="n"/>
      <c r="D15" s="159" t="n"/>
      <c r="E15" s="159" t="n"/>
      <c r="F15" s="159" t="n"/>
      <c r="G15" s="159" t="n"/>
      <c r="H15" s="159" t="n"/>
      <c r="I15" s="159" t="n"/>
      <c r="J15" s="159" t="n"/>
      <c r="K15" s="159" t="n"/>
      <c r="L15" s="159" t="n"/>
      <c r="M15" s="159" t="n"/>
      <c r="N15" s="159" t="n"/>
    </row>
    <row r="16" ht="15" customHeight="1">
      <c r="A16" s="159" t="n"/>
      <c r="B16" s="159" t="n"/>
      <c r="C16" s="159" t="n"/>
      <c r="D16" s="159" t="n"/>
      <c r="E16" s="159" t="n"/>
      <c r="F16" s="159" t="n"/>
      <c r="G16" s="159" t="n"/>
      <c r="H16" s="159" t="n"/>
      <c r="I16" s="159" t="n"/>
      <c r="J16" s="159" t="n"/>
      <c r="K16" s="159" t="n"/>
      <c r="L16" s="159" t="n"/>
      <c r="M16" s="159" t="n"/>
      <c r="N16" s="159" t="n"/>
    </row>
    <row r="17" ht="15" customHeight="1">
      <c r="A17" s="159" t="n"/>
      <c r="B17" s="159" t="n"/>
      <c r="C17" s="159" t="n"/>
      <c r="D17" s="159" t="n"/>
      <c r="E17" s="159" t="n"/>
      <c r="F17" s="159" t="n"/>
      <c r="G17" s="159" t="n"/>
      <c r="H17" s="159" t="n"/>
      <c r="I17" s="159" t="n"/>
      <c r="J17" s="159" t="n"/>
      <c r="K17" s="159" t="n"/>
      <c r="L17" s="159" t="n"/>
      <c r="M17" s="159" t="n"/>
      <c r="N17" s="159" t="n"/>
    </row>
    <row r="18" ht="15" customHeight="1">
      <c r="A18" s="159" t="n"/>
      <c r="B18" s="159" t="n"/>
      <c r="C18" s="159" t="n"/>
      <c r="D18" s="159" t="n"/>
      <c r="E18" s="159" t="n"/>
      <c r="F18" s="159" t="n"/>
      <c r="G18" s="159" t="n"/>
      <c r="H18" s="159" t="n"/>
      <c r="I18" s="159" t="n"/>
      <c r="J18" s="159" t="n"/>
      <c r="K18" s="159" t="n"/>
      <c r="L18" s="159" t="n"/>
      <c r="M18" s="159" t="n"/>
      <c r="N18" s="159" t="n"/>
    </row>
    <row r="19" ht="15" customHeight="1">
      <c r="A19" s="159" t="n"/>
      <c r="B19" s="159" t="n"/>
      <c r="C19" s="159" t="n"/>
      <c r="D19" s="159" t="n"/>
      <c r="E19" s="159" t="n"/>
      <c r="F19" s="159" t="n"/>
      <c r="G19" s="159" t="n"/>
      <c r="H19" s="159" t="n"/>
      <c r="I19" s="159" t="n"/>
      <c r="J19" s="159" t="n"/>
      <c r="K19" s="159" t="n"/>
      <c r="L19" s="159" t="n"/>
      <c r="M19" s="159" t="n"/>
      <c r="N19" s="159" t="n"/>
    </row>
    <row r="20" ht="15" customHeight="1">
      <c r="A20" s="159" t="n"/>
      <c r="B20" s="159" t="n"/>
      <c r="C20" s="159" t="n"/>
      <c r="D20" s="159" t="n"/>
      <c r="E20" s="159" t="n"/>
      <c r="F20" s="159" t="n"/>
      <c r="G20" s="159" t="n"/>
      <c r="H20" s="159" t="n"/>
      <c r="I20" s="159" t="n"/>
      <c r="J20" s="159" t="n"/>
      <c r="K20" s="159" t="n"/>
      <c r="L20" s="159" t="n"/>
      <c r="M20" s="159" t="n"/>
      <c r="N20" s="159" t="n"/>
    </row>
    <row r="21" ht="15" customHeight="1">
      <c r="A21" s="159" t="n"/>
      <c r="B21" s="159" t="n"/>
      <c r="C21" s="159" t="n"/>
      <c r="D21" s="159" t="n"/>
      <c r="E21" s="159" t="n"/>
      <c r="F21" s="159" t="n"/>
      <c r="G21" s="159" t="n"/>
      <c r="H21" s="159" t="n"/>
      <c r="I21" s="159" t="n"/>
      <c r="J21" s="159" t="n"/>
      <c r="K21" s="159" t="n"/>
      <c r="L21" s="159" t="n"/>
      <c r="M21" s="159" t="n"/>
      <c r="N21" s="159" t="n"/>
    </row>
    <row r="22" ht="15" customHeight="1">
      <c r="A22" s="159" t="n"/>
      <c r="B22" s="159" t="n"/>
      <c r="C22" s="159" t="n"/>
      <c r="D22" s="159" t="n"/>
      <c r="E22" s="159" t="n"/>
      <c r="F22" s="159" t="n"/>
      <c r="G22" s="159" t="n"/>
      <c r="H22" s="159" t="n"/>
      <c r="I22" s="159" t="n"/>
      <c r="J22" s="159" t="n"/>
      <c r="K22" s="159" t="n"/>
      <c r="L22" s="159" t="n"/>
      <c r="M22" s="159" t="n"/>
      <c r="N22" s="159" t="n"/>
    </row>
    <row r="23" ht="15" customHeight="1">
      <c r="A23" s="159" t="n"/>
      <c r="B23" s="159" t="n"/>
      <c r="C23" s="159" t="n"/>
      <c r="D23" s="159" t="n"/>
      <c r="E23" s="159" t="n"/>
      <c r="F23" s="159" t="n"/>
      <c r="G23" s="159" t="n"/>
      <c r="H23" s="159" t="n"/>
      <c r="I23" s="159" t="n"/>
      <c r="J23" s="159" t="n"/>
      <c r="K23" s="159" t="n"/>
      <c r="L23" s="159" t="n"/>
      <c r="M23" s="159" t="n"/>
      <c r="N23" s="159" t="n"/>
    </row>
    <row r="24" ht="15" customHeight="1">
      <c r="A24" s="159" t="n"/>
      <c r="B24" s="159" t="n"/>
      <c r="C24" s="159" t="n"/>
      <c r="D24" s="159" t="n"/>
      <c r="E24" s="159" t="n"/>
      <c r="F24" s="159" t="n"/>
      <c r="G24" s="159" t="n"/>
      <c r="H24" s="159" t="n"/>
      <c r="I24" s="159" t="n"/>
      <c r="J24" s="159" t="n"/>
      <c r="K24" s="159" t="n"/>
      <c r="L24" s="159" t="n"/>
      <c r="M24" s="159" t="n"/>
      <c r="N24" s="159" t="n"/>
    </row>
    <row r="25" ht="15" customHeight="1">
      <c r="A25" s="159" t="n"/>
      <c r="B25" s="199" t="inlineStr">
        <is>
          <t>Cumulative revenue</t>
        </is>
      </c>
      <c r="C25" s="199" t="n"/>
      <c r="D25" s="199" t="n"/>
      <c r="E25" s="199" t="n"/>
      <c r="F25" s="200" t="n"/>
      <c r="G25" s="159" t="n"/>
      <c r="H25" s="199" t="inlineStr">
        <is>
          <t>Expense Breakdown</t>
        </is>
      </c>
      <c r="I25" s="198" t="n"/>
      <c r="J25" s="198" t="n"/>
      <c r="K25" s="198" t="n"/>
      <c r="L25" s="198" t="n"/>
      <c r="M25" s="198" t="n"/>
      <c r="N25" s="159" t="n"/>
    </row>
    <row r="26" ht="15" customHeight="1">
      <c r="A26" s="159" t="n"/>
      <c r="B26" s="165" t="n"/>
      <c r="C26" s="165" t="n"/>
      <c r="D26" s="165" t="n"/>
      <c r="E26" s="165" t="n"/>
      <c r="F26" s="165" t="n"/>
      <c r="G26" s="159" t="n"/>
      <c r="H26" s="165" t="n"/>
      <c r="I26" s="165" t="n"/>
      <c r="J26" s="165" t="n"/>
      <c r="K26" s="165" t="n"/>
      <c r="L26" s="165" t="n"/>
      <c r="M26" s="159" t="n"/>
      <c r="N26" s="159" t="n"/>
    </row>
    <row r="27" ht="15" customHeight="1">
      <c r="A27" s="159" t="n"/>
      <c r="B27" s="159" t="n"/>
      <c r="C27" s="159" t="n"/>
      <c r="D27" s="159" t="n"/>
      <c r="E27" s="159" t="n"/>
      <c r="F27" s="159" t="n"/>
      <c r="G27" s="159" t="n"/>
      <c r="H27" s="159" t="n"/>
      <c r="I27" s="159" t="n"/>
      <c r="J27" s="159" t="n"/>
      <c r="K27" s="159" t="n"/>
      <c r="L27" s="159" t="n"/>
      <c r="M27" s="159" t="n"/>
      <c r="N27" s="159" t="n"/>
    </row>
    <row r="28" ht="15" customHeight="1">
      <c r="A28" s="159" t="n"/>
      <c r="B28" s="159" t="n"/>
      <c r="C28" s="159" t="n"/>
      <c r="D28" s="159" t="n"/>
      <c r="E28" s="159" t="n"/>
      <c r="F28" s="159" t="n"/>
      <c r="G28" s="159" t="n"/>
      <c r="H28" s="159" t="n"/>
      <c r="I28" s="159" t="n"/>
      <c r="J28" s="159" t="n"/>
      <c r="K28" s="159" t="n"/>
      <c r="L28" s="159" t="n"/>
      <c r="M28" s="159" t="n"/>
      <c r="N28" s="159" t="n"/>
    </row>
    <row r="29" ht="15" customHeight="1">
      <c r="A29" s="159" t="n"/>
      <c r="B29" s="159" t="n"/>
      <c r="C29" s="159" t="n"/>
      <c r="D29" s="159" t="n"/>
      <c r="E29" s="159" t="n"/>
      <c r="F29" s="159" t="n"/>
      <c r="G29" s="159" t="n"/>
      <c r="H29" s="159" t="n"/>
      <c r="I29" s="159" t="n"/>
      <c r="J29" s="159" t="n"/>
      <c r="K29" s="159" t="n"/>
      <c r="L29" s="159" t="n"/>
      <c r="M29" s="159" t="n"/>
      <c r="N29" s="159" t="n"/>
    </row>
    <row r="30" ht="15" customHeight="1">
      <c r="A30" s="159" t="n"/>
      <c r="B30" s="159" t="n"/>
      <c r="C30" s="159" t="n"/>
      <c r="D30" s="159" t="n"/>
      <c r="E30" s="159" t="n"/>
      <c r="F30" s="159" t="n"/>
      <c r="G30" s="159" t="n"/>
      <c r="H30" s="159" t="n"/>
      <c r="I30" s="159" t="n"/>
      <c r="J30" s="159" t="n"/>
      <c r="K30" s="159" t="n"/>
      <c r="L30" s="159" t="n"/>
      <c r="M30" s="159" t="n"/>
      <c r="N30" s="159" t="n"/>
    </row>
    <row r="31" ht="15" customHeight="1">
      <c r="A31" s="159" t="n"/>
      <c r="B31" s="159" t="n"/>
      <c r="C31" s="159" t="n"/>
      <c r="D31" s="159" t="n"/>
      <c r="E31" s="159" t="n"/>
      <c r="F31" s="159" t="n"/>
      <c r="G31" s="159" t="n"/>
      <c r="H31" s="159" t="n"/>
      <c r="I31" s="159" t="n"/>
      <c r="J31" s="159" t="n"/>
      <c r="K31" s="159" t="n"/>
      <c r="L31" s="159" t="n"/>
      <c r="M31" s="159" t="n"/>
      <c r="N31" s="159" t="n"/>
    </row>
    <row r="32" ht="15" customHeight="1">
      <c r="A32" s="159" t="n"/>
      <c r="B32" s="159" t="n"/>
      <c r="C32" s="159" t="n"/>
      <c r="D32" s="159" t="n"/>
      <c r="E32" s="159" t="n"/>
      <c r="F32" s="159" t="n"/>
      <c r="G32" s="159" t="n"/>
      <c r="H32" s="159" t="n"/>
      <c r="I32" s="159" t="n"/>
      <c r="J32" s="159" t="n"/>
      <c r="K32" s="159" t="n"/>
      <c r="L32" s="159" t="n"/>
      <c r="M32" s="159" t="n"/>
      <c r="N32" s="159" t="n"/>
    </row>
    <row r="33" ht="15" customHeight="1">
      <c r="A33" s="159" t="n"/>
      <c r="B33" s="159" t="n"/>
      <c r="C33" s="159" t="n"/>
      <c r="D33" s="159" t="n"/>
      <c r="E33" s="159" t="n"/>
      <c r="F33" s="159" t="n"/>
      <c r="G33" s="159" t="n"/>
      <c r="H33" s="159" t="n"/>
      <c r="I33" s="159" t="n"/>
      <c r="J33" s="159" t="n"/>
      <c r="K33" s="159" t="n"/>
      <c r="L33" s="159" t="n"/>
      <c r="M33" s="159" t="n"/>
      <c r="N33" s="159" t="n"/>
    </row>
    <row r="34" ht="15" customHeight="1">
      <c r="A34" s="159" t="n"/>
      <c r="B34" s="159" t="n"/>
      <c r="C34" s="159" t="n"/>
      <c r="D34" s="159" t="n"/>
      <c r="E34" s="159" t="n"/>
      <c r="F34" s="159" t="n"/>
      <c r="G34" s="159" t="n"/>
      <c r="H34" s="159" t="n"/>
      <c r="I34" s="159" t="n"/>
      <c r="J34" s="159" t="n"/>
      <c r="K34" s="159" t="n"/>
      <c r="L34" s="159" t="n"/>
      <c r="M34" s="159" t="n"/>
      <c r="N34" s="159" t="n"/>
    </row>
    <row r="35" ht="15" customHeight="1">
      <c r="A35" s="159" t="n"/>
      <c r="B35" s="159" t="n"/>
      <c r="C35" s="159" t="n"/>
      <c r="D35" s="159" t="n"/>
      <c r="E35" s="159" t="n"/>
      <c r="F35" s="159" t="n"/>
      <c r="G35" s="159" t="n"/>
      <c r="H35" s="159" t="n"/>
      <c r="I35" s="159" t="n"/>
      <c r="J35" s="159" t="n"/>
      <c r="K35" s="159" t="n"/>
      <c r="L35" s="159" t="n"/>
      <c r="M35" s="159" t="n"/>
      <c r="N35" s="159" t="n"/>
    </row>
    <row r="36" ht="15" customHeight="1">
      <c r="A36" s="159" t="n"/>
      <c r="B36" s="159" t="n"/>
      <c r="C36" s="159" t="n"/>
      <c r="D36" s="159" t="n"/>
      <c r="E36" s="159" t="n"/>
      <c r="F36" s="159" t="n"/>
      <c r="G36" s="159" t="n"/>
      <c r="H36" s="159" t="n"/>
      <c r="I36" s="159" t="n"/>
      <c r="J36" s="159" t="n"/>
      <c r="K36" s="159" t="n"/>
      <c r="L36" s="159" t="n"/>
      <c r="M36" s="159" t="n"/>
      <c r="N36" s="159" t="n"/>
    </row>
    <row r="37" ht="15" customHeight="1">
      <c r="A37" s="159" t="n"/>
      <c r="B37" s="159" t="n"/>
      <c r="C37" s="159" t="n"/>
      <c r="D37" s="159" t="n"/>
      <c r="E37" s="159" t="n"/>
      <c r="F37" s="159" t="n"/>
      <c r="G37" s="159" t="n"/>
      <c r="H37" s="159" t="n"/>
      <c r="I37" s="159" t="n"/>
      <c r="J37" s="159" t="n"/>
      <c r="K37" s="159" t="n"/>
      <c r="L37" s="159" t="n"/>
      <c r="M37" s="159" t="n"/>
      <c r="N37" s="159" t="n"/>
    </row>
    <row r="38" ht="15" customHeight="1">
      <c r="A38" s="159" t="n"/>
      <c r="B38" s="159" t="n"/>
      <c r="C38" s="159" t="n"/>
      <c r="D38" s="159" t="n"/>
      <c r="E38" s="159" t="n"/>
      <c r="F38" s="159" t="n"/>
      <c r="G38" s="159" t="n"/>
      <c r="H38" s="159" t="n"/>
      <c r="I38" s="159" t="n"/>
      <c r="J38" s="159" t="n"/>
      <c r="K38" s="159" t="n"/>
      <c r="L38" s="159" t="n"/>
      <c r="M38" s="159" t="n"/>
      <c r="N38" s="159" t="n"/>
    </row>
    <row r="39" ht="15" customHeight="1">
      <c r="A39" s="159" t="n"/>
      <c r="B39" s="159" t="n"/>
      <c r="C39" s="159" t="n"/>
      <c r="D39" s="159" t="n"/>
      <c r="E39" s="159" t="n"/>
      <c r="F39" s="159" t="n"/>
      <c r="G39" s="159" t="n"/>
      <c r="H39" s="159" t="n"/>
      <c r="I39" s="159" t="n"/>
      <c r="J39" s="159" t="n"/>
      <c r="K39" s="159" t="n"/>
      <c r="L39" s="159" t="n"/>
      <c r="M39" s="159" t="n"/>
      <c r="N39" s="159" t="n"/>
    </row>
    <row r="40" ht="15" customHeight="1">
      <c r="A40" s="159" t="n"/>
      <c r="B40" s="159" t="n"/>
      <c r="C40" s="159" t="n"/>
      <c r="D40" s="159" t="n"/>
      <c r="E40" s="159" t="n"/>
      <c r="F40" s="159" t="n"/>
      <c r="G40" s="159" t="n"/>
      <c r="H40" s="159" t="n"/>
      <c r="I40" s="159" t="n"/>
      <c r="J40" s="159" t="n"/>
      <c r="K40" s="159" t="n"/>
      <c r="L40" s="159" t="n"/>
      <c r="M40" s="159" t="n"/>
      <c r="N40" s="159" t="n"/>
    </row>
    <row r="41" ht="15" customHeight="1">
      <c r="A41" s="159" t="n"/>
      <c r="B41" s="159" t="n"/>
      <c r="C41" s="159" t="n"/>
      <c r="D41" s="159" t="n"/>
      <c r="E41" s="159" t="n"/>
      <c r="F41" s="159" t="n"/>
      <c r="G41" s="159" t="n"/>
      <c r="H41" s="159" t="n"/>
      <c r="I41" s="159" t="n"/>
      <c r="J41" s="159" t="n"/>
      <c r="K41" s="159" t="n"/>
      <c r="L41" s="159" t="n"/>
      <c r="M41" s="159" t="n"/>
      <c r="N41" s="159" t="n"/>
    </row>
    <row r="42" ht="15" customHeight="1">
      <c r="A42" s="159" t="n"/>
      <c r="B42" s="197" t="inlineStr">
        <is>
          <t>Performance Summary (Five-Year)</t>
        </is>
      </c>
      <c r="C42" s="197" t="n"/>
      <c r="D42" s="197" t="n"/>
      <c r="E42" s="198" t="n"/>
      <c r="G42" s="159" t="n"/>
      <c r="H42" s="197" t="inlineStr">
        <is>
          <t>Income Statement (LTM)</t>
        </is>
      </c>
      <c r="I42" s="198" t="n"/>
      <c r="J42" s="198" t="n"/>
      <c r="K42" s="198" t="n"/>
      <c r="L42" s="198" t="n"/>
      <c r="M42" s="198" t="n"/>
      <c r="N42" s="159" t="n"/>
    </row>
    <row r="43" ht="15" customHeight="1">
      <c r="A43" s="159" t="n"/>
      <c r="B43" s="159" t="n"/>
      <c r="C43" s="159" t="n"/>
      <c r="D43" s="159" t="n"/>
      <c r="E43" s="403" t="n"/>
      <c r="F43" s="159" t="n"/>
      <c r="G43" s="159" t="n"/>
      <c r="H43" s="159" t="n"/>
      <c r="I43" s="159" t="n"/>
      <c r="J43" s="159" t="n"/>
      <c r="K43" s="159" t="n"/>
      <c r="L43" s="159" t="n"/>
      <c r="M43" s="159" t="n"/>
      <c r="N43" s="159" t="n"/>
      <c r="O43" s="159" t="n"/>
      <c r="P43" s="159" t="n"/>
    </row>
    <row r="44" ht="15" customHeight="1">
      <c r="A44" s="159" t="n"/>
      <c r="B44" s="159" t="n"/>
      <c r="C44" s="175" t="inlineStr">
        <is>
          <t>5-Yr Avg</t>
        </is>
      </c>
      <c r="D44" s="404" t="inlineStr">
        <is>
          <t>Trend</t>
        </is>
      </c>
      <c r="E44" s="405" t="n"/>
      <c r="F44" s="402" t="n"/>
      <c r="H44" s="159" t="n"/>
      <c r="I44" s="175" t="inlineStr">
        <is>
          <t>Actual</t>
        </is>
      </c>
      <c r="J44" s="175" t="inlineStr">
        <is>
          <t>Prev Year</t>
        </is>
      </c>
      <c r="K44" s="175" t="inlineStr">
        <is>
          <t>Variance</t>
        </is>
      </c>
      <c r="L44" s="175" t="inlineStr">
        <is>
          <t>Var %</t>
        </is>
      </c>
      <c r="P44" s="159" t="n"/>
    </row>
    <row r="45" outlineLevel="1" ht="15" customHeight="1">
      <c r="A45" s="159" t="n"/>
      <c r="B45" s="173" t="inlineStr">
        <is>
          <t>Revenue</t>
        </is>
      </c>
      <c r="C45" s="419">
        <f>AVERAGE(INPUT!D9:H9)</f>
        <v/>
      </c>
      <c r="D45" s="403" t="n"/>
      <c r="E45" s="403" t="n"/>
      <c r="F45" s="397" t="n"/>
      <c r="H45" s="173" t="inlineStr">
        <is>
          <t>Revenue</t>
        </is>
      </c>
      <c r="I45" s="406">
        <f>INPUT!H9</f>
        <v/>
      </c>
      <c r="J45" s="406">
        <f>INPUT!G9</f>
        <v/>
      </c>
      <c r="K45" s="406">
        <f>I45-J45</f>
        <v/>
      </c>
      <c r="L45" s="310">
        <f>IF(J45=0,NA(),K45/ABS(J45))</f>
        <v/>
      </c>
      <c r="P45" s="159" t="n"/>
    </row>
    <row r="46" ht="15" customHeight="1">
      <c r="A46" s="159" t="n"/>
      <c r="B46" s="174" t="n"/>
      <c r="C46" s="403" t="n"/>
      <c r="D46" s="403" t="n"/>
      <c r="E46" s="403" t="n"/>
      <c r="F46" s="159" t="n"/>
      <c r="H46" s="174" t="n"/>
      <c r="I46" s="626" t="n"/>
      <c r="J46" s="627" t="n"/>
      <c r="K46" s="626" t="n"/>
      <c r="L46" s="202" t="n"/>
      <c r="P46" s="159" t="n"/>
    </row>
    <row r="47" outlineLevel="1" ht="15" customHeight="1">
      <c r="A47" s="159" t="n"/>
      <c r="B47" s="173" t="inlineStr">
        <is>
          <t>COGS</t>
        </is>
      </c>
      <c r="C47" s="409">
        <f>ABS(AVERAGE(INPUT!D10:H10))</f>
        <v/>
      </c>
      <c r="D47" s="403" t="n"/>
      <c r="E47" s="403" t="n"/>
      <c r="F47" s="397" t="n"/>
      <c r="H47" s="173" t="inlineStr">
        <is>
          <t>COGS</t>
        </is>
      </c>
      <c r="I47" s="406">
        <f>ABS(INPUT!H10)</f>
        <v/>
      </c>
      <c r="J47" s="409">
        <f>ABS(INPUT!G10)</f>
        <v/>
      </c>
      <c r="K47" s="406">
        <f>I47-J47</f>
        <v/>
      </c>
      <c r="L47" s="310">
        <f>IF(J47=0,NA(),K47/ABS(J47))</f>
        <v/>
      </c>
      <c r="P47" s="159" t="n"/>
    </row>
    <row r="48" ht="15" customHeight="1">
      <c r="A48" s="159" t="n"/>
      <c r="B48" s="174" t="n"/>
      <c r="C48" s="403" t="n"/>
      <c r="D48" s="403" t="n"/>
      <c r="E48" s="403" t="n"/>
      <c r="F48" s="159" t="n"/>
      <c r="H48" s="174" t="n"/>
      <c r="I48" s="626" t="n"/>
      <c r="J48" s="627" t="n"/>
      <c r="K48" s="626" t="n"/>
      <c r="L48" s="202" t="n"/>
      <c r="P48" s="159" t="n"/>
    </row>
    <row r="49" outlineLevel="1" ht="15" customHeight="1">
      <c r="A49" s="159" t="n"/>
      <c r="B49" s="173" t="inlineStr">
        <is>
          <t>Expenses</t>
        </is>
      </c>
      <c r="C49" s="409">
        <f>ABS(AVERAGE(INPUT!D13:H13))</f>
        <v/>
      </c>
      <c r="D49" s="403" t="n"/>
      <c r="E49" s="403" t="n"/>
      <c r="F49" s="397" t="n"/>
      <c r="H49" s="173" t="inlineStr">
        <is>
          <t>Expenses</t>
        </is>
      </c>
      <c r="I49" s="406">
        <f>ABS(INPUT!H13)</f>
        <v/>
      </c>
      <c r="J49" s="409">
        <f>ABS(INPUT!G13)</f>
        <v/>
      </c>
      <c r="K49" s="406">
        <f>I49-J49</f>
        <v/>
      </c>
      <c r="L49" s="310">
        <f>IF(J49=0,NA(),K49/ABS(J49))</f>
        <v/>
      </c>
      <c r="P49" s="159" t="n"/>
    </row>
    <row r="50" ht="15" customHeight="1">
      <c r="A50" s="159" t="n"/>
      <c r="B50" s="174" t="n"/>
      <c r="C50" s="403" t="n"/>
      <c r="D50" s="403" t="n"/>
      <c r="E50" s="403" t="n"/>
      <c r="F50" s="159" t="n"/>
      <c r="H50" s="174" t="n"/>
      <c r="I50" s="626" t="n"/>
      <c r="J50" s="627" t="n"/>
      <c r="K50" s="626" t="n"/>
      <c r="L50" s="202" t="n"/>
      <c r="P50" s="159" t="n"/>
    </row>
    <row r="51" outlineLevel="1" ht="15" customHeight="1">
      <c r="A51" s="159" t="n"/>
      <c r="B51" s="173" t="inlineStr">
        <is>
          <t>Net Income</t>
        </is>
      </c>
      <c r="C51" s="409">
        <f>AVERAGE(INPUT!D26:H26)</f>
        <v/>
      </c>
      <c r="D51" s="403" t="n"/>
      <c r="E51" s="403" t="n"/>
      <c r="F51" s="397" t="n"/>
      <c r="H51" s="173" t="inlineStr">
        <is>
          <t>Net Income</t>
        </is>
      </c>
      <c r="I51" s="406">
        <f>INPUT!H26</f>
        <v/>
      </c>
      <c r="J51" s="409">
        <f>INPUT!G26</f>
        <v/>
      </c>
      <c r="K51" s="406">
        <f>I51-J51</f>
        <v/>
      </c>
      <c r="L51" s="310">
        <f>IF(J51=0,NA(),K51/ABS(J51))</f>
        <v/>
      </c>
      <c r="P51" s="159" t="n"/>
    </row>
    <row r="52" ht="15" customHeight="1">
      <c r="A52" s="159" t="n"/>
      <c r="B52" s="174" t="n"/>
      <c r="C52" s="403" t="n"/>
      <c r="D52" s="403" t="n"/>
      <c r="E52" s="403" t="n"/>
      <c r="F52" s="159" t="n"/>
      <c r="H52" s="174" t="n"/>
      <c r="I52" s="159" t="n"/>
      <c r="J52" s="408" t="n"/>
      <c r="K52" s="159" t="n"/>
      <c r="L52" s="202" t="n"/>
      <c r="P52" s="159" t="n"/>
    </row>
    <row r="53" ht="15" customHeight="1">
      <c r="A53" s="159" t="n"/>
      <c r="B53" s="173" t="inlineStr">
        <is>
          <t>Net Margin (%)</t>
        </is>
      </c>
      <c r="C53" s="420">
        <f>AVERAGE(INPUT!D26:H26)/AVERAGE(INPUT!D9:H9)</f>
        <v/>
      </c>
      <c r="D53" s="403" t="n"/>
      <c r="E53" s="403" t="n"/>
      <c r="F53" s="401" t="n"/>
      <c r="H53" s="173" t="inlineStr">
        <is>
          <t>Net Margin (%)</t>
        </is>
      </c>
      <c r="I53" s="310">
        <f>INPUT!H26/INPUT!H9</f>
        <v/>
      </c>
      <c r="J53" s="310">
        <f>INPUT!G26/INPUT!G9</f>
        <v/>
      </c>
      <c r="K53" s="310">
        <f>I53-J53</f>
        <v/>
      </c>
      <c r="L53" s="310">
        <f>IF(J53=0,NA(),K53/ABS(J53))</f>
        <v/>
      </c>
      <c r="P53" s="159" t="n"/>
    </row>
    <row r="54" ht="15" customHeight="1">
      <c r="A54" s="159" t="n"/>
      <c r="B54" s="159" t="n"/>
      <c r="C54" s="159" t="n"/>
      <c r="D54" s="159" t="n"/>
      <c r="E54" s="159" t="n"/>
      <c r="F54" s="159" t="n"/>
      <c r="G54" s="159" t="n"/>
      <c r="H54" s="159" t="n"/>
      <c r="I54" s="159" t="n"/>
      <c r="J54" s="159" t="n"/>
      <c r="K54" s="159" t="n"/>
      <c r="L54" s="159" t="n"/>
      <c r="M54" s="159" t="n"/>
      <c r="N54" s="159" t="n"/>
      <c r="O54" s="159" t="n"/>
    </row>
    <row r="55" ht="15" customHeight="1">
      <c r="A55" s="159" t="n"/>
      <c r="B55" s="159" t="n"/>
      <c r="C55" s="159" t="n"/>
      <c r="D55" s="159" t="n"/>
      <c r="E55" s="159" t="n"/>
      <c r="F55" s="159" t="n"/>
      <c r="G55" s="159" t="n"/>
      <c r="H55" s="159" t="n"/>
      <c r="I55" s="159" t="n"/>
      <c r="J55" s="159" t="n"/>
      <c r="K55" s="159" t="n"/>
      <c r="L55" s="159" t="n"/>
      <c r="M55" s="159" t="n"/>
      <c r="N55" s="159" t="n"/>
      <c r="O55" s="159" t="n"/>
      <c r="P55" s="159" t="n"/>
    </row>
    <row r="56" ht="15" customHeight="1">
      <c r="A56" s="159" t="n"/>
      <c r="B56" s="159" t="n"/>
      <c r="C56" s="159" t="n"/>
      <c r="D56" s="159" t="n"/>
      <c r="E56" s="159" t="n"/>
      <c r="F56" s="159" t="n"/>
      <c r="G56" s="159" t="n"/>
      <c r="H56" s="159" t="n"/>
      <c r="I56" s="159" t="n"/>
      <c r="J56" s="159" t="n"/>
      <c r="K56" s="159" t="n"/>
      <c r="L56" s="159" t="n"/>
      <c r="M56" s="159" t="n"/>
      <c r="N56" s="159" t="n"/>
      <c r="O56" s="159" t="n"/>
      <c r="P56" s="159" t="n"/>
    </row>
    <row r="57" ht="15" customHeight="1">
      <c r="A57" s="159" t="n"/>
      <c r="B57" s="159" t="n"/>
      <c r="C57" s="159" t="n"/>
      <c r="D57" s="159" t="n"/>
      <c r="E57" s="159" t="n"/>
      <c r="F57" s="159" t="n"/>
      <c r="G57" s="159" t="n"/>
      <c r="H57" s="159" t="n"/>
      <c r="I57" s="159" t="n"/>
      <c r="J57" s="159" t="n"/>
      <c r="K57" s="159" t="n"/>
      <c r="L57" s="159" t="n"/>
      <c r="M57" s="159" t="n"/>
      <c r="N57" s="159" t="n"/>
      <c r="O57" s="159" t="n"/>
      <c r="P57" s="159" t="n"/>
    </row>
    <row r="58" ht="15" customHeight="1">
      <c r="A58" s="159" t="n"/>
      <c r="B58" s="197" t="inlineStr">
        <is>
          <t>P&amp;L Summary (LTM)</t>
        </is>
      </c>
      <c r="C58" s="197" t="inlineStr">
        <is>
          <t>P&amp;L Summary (LTM)</t>
        </is>
      </c>
      <c r="D58" s="197" t="inlineStr">
        <is>
          <t>P&amp;L Summary (LTM)</t>
        </is>
      </c>
      <c r="E58" s="197" t="inlineStr">
        <is>
          <t>P&amp;L Summary (LTM)</t>
        </is>
      </c>
      <c r="G58" s="159" t="n"/>
      <c r="H58" s="197" t="inlineStr">
        <is>
          <t>Balance Sheet Summary (LTM)</t>
        </is>
      </c>
      <c r="I58" s="198" t="n"/>
      <c r="J58" s="198" t="n"/>
      <c r="K58" s="198" t="n"/>
      <c r="L58" s="198" t="n"/>
      <c r="M58" s="198" t="n"/>
      <c r="N58" s="159" t="n"/>
    </row>
    <row r="59" ht="15" customHeight="1">
      <c r="A59" s="159" t="n"/>
      <c r="B59" s="159" t="n"/>
      <c r="C59" s="159" t="n"/>
      <c r="D59" s="159" t="n"/>
      <c r="E59" s="159" t="n"/>
      <c r="F59" s="159" t="n"/>
      <c r="G59" s="159" t="n"/>
      <c r="H59" s="159" t="n"/>
      <c r="I59" s="159" t="n"/>
      <c r="J59" s="159" t="n"/>
      <c r="K59" s="159" t="n"/>
      <c r="L59" s="159" t="n"/>
      <c r="M59" s="159" t="n"/>
    </row>
    <row r="60" ht="15" customHeight="1">
      <c r="A60" s="159" t="n"/>
      <c r="B60" s="156" t="inlineStr">
        <is>
          <t>Revenue</t>
        </is>
      </c>
      <c r="C60" s="159" t="n"/>
      <c r="D60" s="414">
        <f>INPUT!H9</f>
        <v/>
      </c>
      <c r="E60" s="410">
        <f>INPUT!H9</f>
        <v/>
      </c>
      <c r="F60" s="100" t="n"/>
      <c r="G60" s="100" t="n"/>
      <c r="H60" s="156" t="inlineStr">
        <is>
          <t>Assets</t>
        </is>
      </c>
      <c r="I60" s="159" t="n"/>
      <c r="J60" s="394" t="n"/>
      <c r="K60" s="159" t="n"/>
    </row>
    <row r="61" ht="15" customHeight="1">
      <c r="A61" s="159" t="n"/>
      <c r="B61" s="158" t="inlineStr">
        <is>
          <t>COGS</t>
        </is>
      </c>
      <c r="C61" s="159" t="n"/>
      <c r="D61" s="415">
        <f>INPUT!H10</f>
        <v/>
      </c>
      <c r="E61" s="411">
        <f>ABS(INPUT!H10)</f>
        <v/>
      </c>
      <c r="F61" s="136" t="n"/>
      <c r="G61" s="136" t="n"/>
      <c r="H61" s="158" t="inlineStr">
        <is>
          <t>Current Assets</t>
        </is>
      </c>
      <c r="I61" s="159" t="n"/>
      <c r="J61" s="397">
        <f>INPUT!H38</f>
        <v/>
      </c>
      <c r="K61" s="413">
        <f>INPUT!H38</f>
        <v/>
      </c>
    </row>
    <row r="62" ht="15" customHeight="1">
      <c r="A62" s="159" t="n"/>
      <c r="B62" s="159" t="n"/>
      <c r="C62" s="159" t="n"/>
      <c r="D62" s="416" t="n"/>
      <c r="E62" s="159" t="n"/>
      <c r="F62" s="159" t="n"/>
      <c r="G62" s="159" t="n"/>
      <c r="H62" s="158" t="inlineStr">
        <is>
          <t>Non-current Assets</t>
        </is>
      </c>
      <c r="I62" s="159" t="n"/>
      <c r="J62" s="397">
        <f>SUM(INPUT!H41:H43)</f>
        <v/>
      </c>
      <c r="K62" s="413">
        <f>SUM(INPUT!H41:H43)</f>
        <v/>
      </c>
    </row>
    <row r="63" ht="15" customHeight="1">
      <c r="A63" s="159" t="n"/>
      <c r="B63" s="156" t="inlineStr">
        <is>
          <t>Expenses</t>
        </is>
      </c>
      <c r="C63" s="159" t="n"/>
      <c r="D63" s="417">
        <f>ABS(INPUT!H14)</f>
        <v/>
      </c>
      <c r="E63" s="399" t="n"/>
      <c r="F63" s="159" t="n"/>
      <c r="G63" s="159" t="n"/>
      <c r="H63" s="159" t="n"/>
      <c r="I63" s="159" t="n"/>
      <c r="J63" s="395" t="n"/>
      <c r="K63" s="159" t="n"/>
    </row>
    <row r="64" ht="15" customHeight="1" thickBot="1">
      <c r="A64" s="159" t="n"/>
      <c r="B64" s="158" t="inlineStr">
        <is>
          <t>SG&amp;A</t>
        </is>
      </c>
      <c r="C64" s="159" t="n"/>
      <c r="D64" s="418">
        <f>ABS(INPUT!H15)</f>
        <v/>
      </c>
      <c r="E64" s="411">
        <f>ABS(INPUT!H15)</f>
        <v/>
      </c>
      <c r="F64" s="136" t="n"/>
      <c r="G64" s="136" t="n"/>
      <c r="H64" s="156" t="inlineStr">
        <is>
          <t>Total Assets</t>
        </is>
      </c>
      <c r="I64" s="159" t="n"/>
      <c r="J64" s="400">
        <f>INPUT!H44</f>
        <v/>
      </c>
      <c r="K64" s="412">
        <f>INPUT!H44</f>
        <v/>
      </c>
    </row>
    <row r="65" ht="15" customHeight="1">
      <c r="A65" s="159" t="n"/>
      <c r="B65" s="158" t="inlineStr">
        <is>
          <t>R&amp;D</t>
        </is>
      </c>
      <c r="C65" s="159" t="n"/>
      <c r="D65" s="418">
        <f>ABS(INPUT!H16)</f>
        <v/>
      </c>
      <c r="E65" s="411">
        <f>ABS(INPUT!H16)</f>
        <v/>
      </c>
      <c r="F65" s="136" t="n"/>
      <c r="G65" s="136" t="n"/>
      <c r="H65" s="159" t="n"/>
      <c r="I65" s="159" t="n"/>
      <c r="J65" s="395" t="n"/>
      <c r="K65" s="159" t="n"/>
    </row>
    <row r="66" ht="15" customHeight="1">
      <c r="A66" s="159" t="n"/>
      <c r="B66" s="158" t="inlineStr">
        <is>
          <t>D&amp;A</t>
        </is>
      </c>
      <c r="C66" s="159" t="n"/>
      <c r="D66" s="418">
        <f>ABS(INPUT!H20)</f>
        <v/>
      </c>
      <c r="E66" s="411">
        <f>ABS(INPUT!H20)</f>
        <v/>
      </c>
      <c r="F66" s="136" t="n"/>
      <c r="G66" s="136" t="n"/>
      <c r="H66" s="156" t="inlineStr">
        <is>
          <t>Liabilities</t>
        </is>
      </c>
      <c r="I66" s="159" t="n"/>
      <c r="J66" s="396">
        <f>INPUT!H51</f>
        <v/>
      </c>
      <c r="K66" s="399" t="n"/>
    </row>
    <row r="67" ht="15" customHeight="1">
      <c r="A67" s="159" t="n"/>
      <c r="B67" s="158" t="inlineStr">
        <is>
          <t>Interest</t>
        </is>
      </c>
      <c r="C67" s="159" t="n"/>
      <c r="D67" s="414">
        <f>SUM(D64:D66)</f>
        <v/>
      </c>
      <c r="E67" s="410">
        <f>SUM(E64:E66)</f>
        <v/>
      </c>
      <c r="F67" s="136" t="n"/>
      <c r="G67" s="136" t="n"/>
      <c r="H67" s="158" t="inlineStr">
        <is>
          <t>Current Liabilities</t>
        </is>
      </c>
      <c r="I67" s="159" t="n"/>
      <c r="J67" s="397">
        <f>INPUT!H54</f>
        <v/>
      </c>
      <c r="K67" s="413">
        <f>INPUT!H51</f>
        <v/>
      </c>
    </row>
    <row r="68" ht="15" customHeight="1">
      <c r="A68" s="159" t="n"/>
      <c r="B68" s="158" t="inlineStr">
        <is>
          <t>Total Expenses</t>
        </is>
      </c>
      <c r="C68" s="159" t="n"/>
      <c r="D68" s="398">
        <f>SUM(D64:D67)</f>
        <v/>
      </c>
      <c r="E68" s="411">
        <f>SUM(E64:E67)</f>
        <v/>
      </c>
      <c r="F68" s="136" t="n"/>
      <c r="G68" s="136" t="n"/>
      <c r="H68" s="158" t="inlineStr">
        <is>
          <t>Long-term Liabilities</t>
        </is>
      </c>
      <c r="I68" s="159" t="n"/>
      <c r="J68" s="397">
        <f>INPUT!H60</f>
        <v/>
      </c>
      <c r="K68" s="413">
        <f>INPUT!H54</f>
        <v/>
      </c>
    </row>
    <row r="69" ht="15" customHeight="1">
      <c r="A69" s="159" t="n"/>
      <c r="B69" s="159" t="n"/>
      <c r="C69" s="159" t="n"/>
      <c r="D69" s="395" t="n"/>
      <c r="E69" s="159" t="n"/>
      <c r="F69" s="159" t="n"/>
      <c r="G69" s="159" t="n"/>
      <c r="H69" s="158" t="inlineStr">
        <is>
          <t>Shareholders' Equity</t>
        </is>
      </c>
      <c r="I69" s="159" t="n"/>
      <c r="J69" s="397">
        <f>INPUT!F60</f>
        <v/>
      </c>
      <c r="K69" s="413">
        <f>INPUT!H60</f>
        <v/>
      </c>
    </row>
    <row r="70" ht="15" customHeight="1">
      <c r="A70" s="159" t="n"/>
      <c r="B70" s="159" t="n"/>
      <c r="C70" s="159" t="n"/>
      <c r="D70" s="399">
        <f>D60+D61-D68</f>
        <v/>
      </c>
      <c r="E70" s="399" t="n"/>
      <c r="F70" s="159" t="n"/>
      <c r="G70" s="159" t="n"/>
      <c r="H70" s="159" t="n"/>
      <c r="I70" s="159" t="n"/>
      <c r="J70" s="396">
        <f>INPUT!H63</f>
        <v/>
      </c>
      <c r="K70" s="399" t="n"/>
    </row>
    <row r="71" ht="15" customHeight="1" thickBot="1">
      <c r="A71" s="159" t="n"/>
      <c r="B71" s="156" t="inlineStr">
        <is>
          <t>Net Operating Profit</t>
        </is>
      </c>
      <c r="C71" s="159" t="n"/>
      <c r="D71" s="400">
        <f>D60+D61-D68</f>
        <v/>
      </c>
      <c r="E71" s="410">
        <f>E60-E61-E68</f>
        <v/>
      </c>
      <c r="F71" s="100" t="n"/>
      <c r="G71" s="100" t="n"/>
      <c r="H71" s="156" t="inlineStr">
        <is>
          <t>Liabilities &amp; Shareholders' Equity</t>
        </is>
      </c>
      <c r="I71" s="159" t="n"/>
      <c r="J71" s="400">
        <f>INPUT!F63</f>
        <v/>
      </c>
      <c r="K71" s="412">
        <f>INPUT!H63</f>
        <v/>
      </c>
    </row>
    <row r="72" ht="15" customHeight="1">
      <c r="A72" s="159" t="n"/>
      <c r="B72" s="159" t="n"/>
      <c r="C72" s="159" t="n"/>
      <c r="D72" s="159" t="n"/>
      <c r="E72" s="159" t="n"/>
      <c r="F72" s="159" t="n"/>
      <c r="G72" s="159" t="n"/>
      <c r="H72" s="159" t="n"/>
      <c r="I72" s="159" t="n"/>
      <c r="J72" s="159" t="n"/>
      <c r="K72" s="159" t="n"/>
      <c r="L72" s="159" t="n"/>
    </row>
    <row r="73" ht="15" customHeight="1">
      <c r="L73" s="159" t="n"/>
    </row>
    <row r="74" ht="15" customHeight="1">
      <c r="K74" s="159" t="n"/>
      <c r="XEO74" s="159" t="n"/>
    </row>
    <row r="75" ht="15" customHeight="1">
      <c r="K75" s="159" t="n"/>
      <c r="XEO75" s="159" t="n"/>
    </row>
    <row r="76" ht="15" customHeight="1"/>
    <row r="77" ht="15" customHeight="1"/>
    <row r="78" ht="15" customHeight="1">
      <c r="A78" s="211" t="n"/>
      <c r="B78" s="323" t="n"/>
      <c r="C78" s="323" t="n"/>
      <c r="D78" s="323" t="n"/>
      <c r="E78" s="323" t="n"/>
      <c r="F78" s="323" t="n"/>
      <c r="G78" s="323" t="n"/>
      <c r="H78" s="323" t="n"/>
      <c r="I78" s="323" t="n"/>
      <c r="J78" s="323" t="n"/>
      <c r="K78" s="323" t="n"/>
      <c r="L78" s="323" t="n"/>
      <c r="M78" s="323" t="n"/>
      <c r="N78" s="212" t="n"/>
      <c r="O78" s="212" t="n"/>
    </row>
    <row r="79" ht="15" customHeight="1">
      <c r="A79" s="211" t="n"/>
      <c r="B79" s="323" t="n"/>
      <c r="C79" s="323" t="n"/>
      <c r="D79" s="323" t="n"/>
      <c r="E79" s="323" t="n"/>
      <c r="F79" s="323" t="n"/>
      <c r="G79" s="323" t="n"/>
      <c r="H79" s="323" t="n"/>
      <c r="I79" s="323" t="n"/>
      <c r="J79" s="323" t="n"/>
      <c r="K79" s="323" t="n"/>
      <c r="L79" s="323" t="n"/>
      <c r="M79" s="212" t="n"/>
      <c r="N79" s="212" t="n"/>
      <c r="O79" s="212" t="n"/>
    </row>
    <row r="80" ht="15" customHeight="1">
      <c r="A80" s="211" t="n"/>
      <c r="B80" s="323" t="n"/>
      <c r="C80" s="323" t="n"/>
      <c r="D80" s="323" t="n"/>
      <c r="E80" s="323" t="n"/>
      <c r="F80" s="323" t="n"/>
      <c r="G80" s="323" t="n"/>
      <c r="H80" s="323" t="n"/>
      <c r="I80" s="323" t="n"/>
      <c r="J80" s="323" t="n"/>
      <c r="K80" s="323" t="n"/>
      <c r="L80" s="323" t="n"/>
      <c r="M80" s="212" t="n"/>
      <c r="N80" s="212" t="n"/>
      <c r="O80" s="212" t="n"/>
    </row>
    <row r="81" ht="15" customHeight="1">
      <c r="A81" s="212" t="n"/>
      <c r="B81" s="212" t="n"/>
      <c r="C81" s="324">
        <f>IF(INPUT!D5="",NA(),INPUT!D5)</f>
        <v/>
      </c>
      <c r="D81" s="325">
        <f>INPUT!E5</f>
        <v/>
      </c>
      <c r="E81" s="326">
        <f>INPUT!F5</f>
        <v/>
      </c>
      <c r="F81" s="326">
        <f>INPUT!G5</f>
        <v/>
      </c>
      <c r="G81" s="326">
        <f>INPUT!H5</f>
        <v/>
      </c>
      <c r="H81" s="327" t="n"/>
      <c r="I81" s="326">
        <f>IF(INPUT!D5="",NA(),INPUT!D5)</f>
        <v/>
      </c>
      <c r="J81" s="326">
        <f>INPUT!E5</f>
        <v/>
      </c>
      <c r="K81" s="326">
        <f>INPUT!F5</f>
        <v/>
      </c>
      <c r="L81" s="326">
        <f>INPUT!G5</f>
        <v/>
      </c>
      <c r="M81" s="326">
        <f>INPUT!H5</f>
        <v/>
      </c>
      <c r="N81" s="327" t="n"/>
      <c r="O81" s="212" t="n"/>
    </row>
    <row r="82" ht="15" customHeight="1">
      <c r="A82" s="212" t="n"/>
      <c r="B82" s="212" t="inlineStr">
        <is>
          <t>Revenue</t>
        </is>
      </c>
      <c r="C82" s="328">
        <f>IF(INPUT!D9="",NA(),INPUT!D9)</f>
        <v/>
      </c>
      <c r="D82" s="212">
        <f>IF(INPUT!E9="",NA(),INPUT!E9)</f>
        <v/>
      </c>
      <c r="E82" s="327">
        <f>IF(INPUT!F9="",NA(),INPUT!F9)</f>
        <v/>
      </c>
      <c r="F82" s="327">
        <f>IF(INPUT!G9="",NA(),INPUT!G9)</f>
        <v/>
      </c>
      <c r="G82" s="327">
        <f>IF(INPUT!H9="",NA(),INPUT!H9)</f>
        <v/>
      </c>
      <c r="H82" s="327" t="n"/>
      <c r="I82" s="327" t="n"/>
      <c r="J82" s="327" t="n"/>
      <c r="K82" s="327" t="n"/>
      <c r="L82" s="327" t="n"/>
      <c r="M82" s="327" t="n"/>
      <c r="N82" s="327" t="n"/>
      <c r="O82" s="212" t="n"/>
    </row>
    <row r="83" ht="15" customHeight="1">
      <c r="A83" s="212" t="n"/>
      <c r="B83" s="212" t="n"/>
      <c r="C83" s="212" t="inlineStr">
        <is>
          <t>EBITDA</t>
        </is>
      </c>
      <c r="D83" s="328">
        <f>IF(INPUT!D30="",NA(),INPUT!D30)</f>
        <v/>
      </c>
      <c r="E83" s="212">
        <f>IF(INPUT!E30="",NA(),INPUT!E30)</f>
        <v/>
      </c>
      <c r="F83" s="327">
        <f>IF(INPUT!F30="",NA(),INPUT!F30)</f>
        <v/>
      </c>
      <c r="G83" s="327">
        <f>IF(INPUT!G30="",NA(),INPUT!G30)</f>
        <v/>
      </c>
      <c r="H83" s="327">
        <f>IF(INPUT!H30="",NA(),INPUT!H30)</f>
        <v/>
      </c>
      <c r="I83" s="327" t="n"/>
      <c r="J83" s="327" t="n"/>
      <c r="K83" s="327" t="n"/>
      <c r="L83" s="327" t="n"/>
      <c r="M83" s="327" t="n"/>
      <c r="N83" s="327" t="n"/>
      <c r="O83" s="327" t="n"/>
    </row>
    <row r="84" ht="15" customHeight="1">
      <c r="A84" s="212" t="n"/>
      <c r="B84" s="212" t="n"/>
      <c r="C84" s="212" t="inlineStr">
        <is>
          <t>Net Income</t>
        </is>
      </c>
      <c r="D84" s="328">
        <f>IF(INPUT!D26="",NA(),INPUT!D26)</f>
        <v/>
      </c>
      <c r="E84" s="212">
        <f>IF(INPUT!E26="",NA(),INPUT!E26)</f>
        <v/>
      </c>
      <c r="F84" s="327">
        <f>IF(INPUT!F26="",NA(),INPUT!F26)</f>
        <v/>
      </c>
      <c r="G84" s="327">
        <f>IF(INPUT!G26="",NA(),INPUT!G26)</f>
        <v/>
      </c>
      <c r="H84" s="327">
        <f>IF(INPUT!H26="",NA(),INPUT!H26)</f>
        <v/>
      </c>
      <c r="I84" s="327" t="n"/>
      <c r="J84" s="327" t="n"/>
      <c r="K84" s="327" t="n"/>
      <c r="L84" s="327" t="n"/>
      <c r="M84" s="327" t="n"/>
      <c r="N84" s="327" t="n"/>
      <c r="O84" s="327" t="n"/>
    </row>
    <row r="85" ht="15" customHeight="1">
      <c r="A85" s="212" t="n"/>
      <c r="B85" s="212" t="n"/>
      <c r="C85" s="212" t="n"/>
      <c r="D85" s="328" t="n"/>
      <c r="E85" s="212" t="n"/>
      <c r="F85" s="327" t="n"/>
      <c r="G85" s="327" t="n"/>
      <c r="H85" s="327" t="n"/>
      <c r="I85" s="327" t="n"/>
      <c r="J85" s="326">
        <f>IF(INPUT!D5="",NA(),INPUT!D5)</f>
        <v/>
      </c>
      <c r="K85" s="326">
        <f>INPUT!E5</f>
        <v/>
      </c>
      <c r="L85" s="326">
        <f>INPUT!F5</f>
        <v/>
      </c>
      <c r="M85" s="326">
        <f>INPUT!G5</f>
        <v/>
      </c>
      <c r="N85" s="326">
        <f>INPUT!H5</f>
        <v/>
      </c>
      <c r="O85" s="327" t="n"/>
    </row>
    <row r="86" ht="15" customHeight="1">
      <c r="A86" s="212" t="n"/>
      <c r="B86" s="212" t="n"/>
      <c r="C86" s="212" t="n"/>
      <c r="D86" s="328" t="n"/>
      <c r="E86" s="212" t="n"/>
      <c r="F86" s="327" t="n"/>
      <c r="G86" s="327" t="n"/>
      <c r="H86" s="327" t="n"/>
      <c r="I86" s="327" t="inlineStr">
        <is>
          <t>Gross Margin</t>
        </is>
      </c>
      <c r="J86" s="327">
        <f>IF(INPUT!D9="",NA(),INPUT!D11/INPUT!D9)</f>
        <v/>
      </c>
      <c r="K86" s="327">
        <f>IF(INPUT!E9="",NA(),INPUT!E11/INPUT!E9)</f>
        <v/>
      </c>
      <c r="L86" s="327">
        <f>IF(INPUT!F9="",NA(),INPUT!F11/INPUT!F9)</f>
        <v/>
      </c>
      <c r="M86" s="327">
        <f>IF(INPUT!G9="",NA(),INPUT!G11/INPUT!G9)</f>
        <v/>
      </c>
      <c r="N86" s="327">
        <f>IF(INPUT!H9="",NA(),INPUT!H11/INPUT!H9)</f>
        <v/>
      </c>
      <c r="O86" s="327" t="n"/>
    </row>
    <row r="87" ht="15" customHeight="1">
      <c r="A87" s="212" t="n"/>
      <c r="B87" s="212" t="n"/>
      <c r="C87" s="212" t="n"/>
      <c r="D87" s="328" t="n"/>
      <c r="E87" s="212" t="n"/>
      <c r="F87" s="327" t="n"/>
      <c r="G87" s="327" t="n"/>
      <c r="H87" s="327" t="n"/>
      <c r="I87" s="327" t="inlineStr">
        <is>
          <t>EBITDA Margin</t>
        </is>
      </c>
      <c r="J87" s="327">
        <f>IF(INPUT!D9="",NA(),INPUT!D30/INPUT!D9)</f>
        <v/>
      </c>
      <c r="K87" s="327">
        <f>IF(INPUT!E9="",NA(),INPUT!E30/INPUT!E9)</f>
        <v/>
      </c>
      <c r="L87" s="327">
        <f>IF(INPUT!F9="",NA(),INPUT!F30/INPUT!F9)</f>
        <v/>
      </c>
      <c r="M87" s="327">
        <f>IF(INPUT!G9="",NA(),INPUT!G30/INPUT!G9)</f>
        <v/>
      </c>
      <c r="N87" s="327">
        <f>IF(INPUT!H9="",NA(),INPUT!H30/INPUT!H9)</f>
        <v/>
      </c>
      <c r="O87" s="327" t="n"/>
    </row>
    <row r="88" ht="15" customHeight="1">
      <c r="A88" s="212" t="n"/>
      <c r="B88" s="212" t="n"/>
      <c r="C88" s="212" t="n"/>
      <c r="D88" s="324">
        <f>IF(INPUT!D5="",NA(),INPUT!D5)</f>
        <v/>
      </c>
      <c r="E88" s="325">
        <f>INPUT!E5</f>
        <v/>
      </c>
      <c r="F88" s="326">
        <f>INPUT!F5</f>
        <v/>
      </c>
      <c r="G88" s="326">
        <f>INPUT!G5</f>
        <v/>
      </c>
      <c r="H88" s="326">
        <f>INPUT!H5</f>
        <v/>
      </c>
      <c r="I88" s="327" t="inlineStr">
        <is>
          <t>Net Margin</t>
        </is>
      </c>
      <c r="J88" s="327">
        <f>IF(INPUT!D9="",NA(),INPUT!D26/INPUT!D9)</f>
        <v/>
      </c>
      <c r="K88" s="327">
        <f>IF(INPUT!E9="",NA(),INPUT!E26/INPUT!E9)</f>
        <v/>
      </c>
      <c r="L88" s="327">
        <f>IF(INPUT!F9="",NA(),INPUT!F26/INPUT!F9)</f>
        <v/>
      </c>
      <c r="M88" s="327">
        <f>IF(INPUT!G9="",NA(),INPUT!G26/INPUT!G9)</f>
        <v/>
      </c>
      <c r="N88" s="327">
        <f>IF(INPUT!H9="",NA(),INPUT!H26/INPUT!H9)</f>
        <v/>
      </c>
      <c r="O88" s="327" t="n"/>
    </row>
    <row r="89" ht="15" customHeight="1">
      <c r="A89" s="212" t="n"/>
      <c r="B89" s="212" t="n"/>
      <c r="C89" s="212" t="inlineStr">
        <is>
          <t>Revenue</t>
        </is>
      </c>
      <c r="D89" s="328">
        <f>IF(INPUT!D9="",NA(),INPUT!D9)</f>
        <v/>
      </c>
      <c r="E89" s="212">
        <f>IF(INPUT!E9="",NA(),INPUT!E9)</f>
        <v/>
      </c>
      <c r="F89" s="327">
        <f>IF(INPUT!F9="",NA(),INPUT!F9)</f>
        <v/>
      </c>
      <c r="G89" s="327">
        <f>IF(INPUT!G9="",NA(),INPUT!G9)</f>
        <v/>
      </c>
      <c r="H89" s="327">
        <f>IF(INPUT!H9="",NA(),INPUT!H9)</f>
        <v/>
      </c>
      <c r="I89" s="327" t="n"/>
      <c r="J89" s="327" t="n"/>
      <c r="K89" s="327" t="n"/>
      <c r="L89" s="327" t="n"/>
      <c r="M89" s="327" t="n"/>
      <c r="N89" s="327" t="n"/>
      <c r="O89" s="327" t="n"/>
    </row>
    <row r="90" ht="15" customHeight="1">
      <c r="A90" s="212" t="n"/>
      <c r="B90" s="212" t="n"/>
      <c r="C90" s="212" t="n"/>
      <c r="D90" s="328" t="n"/>
      <c r="E90" s="212" t="n"/>
      <c r="F90" s="327" t="n"/>
      <c r="G90" s="327" t="n"/>
      <c r="H90" s="327" t="n"/>
      <c r="I90" s="327" t="n"/>
      <c r="J90" s="326">
        <f>IF(INPUT!D5="",NA(),INPUT!D5)</f>
        <v/>
      </c>
      <c r="K90" s="326">
        <f>INPUT!E5</f>
        <v/>
      </c>
      <c r="L90" s="326">
        <f>INPUT!F5</f>
        <v/>
      </c>
      <c r="M90" s="326">
        <f>INPUT!G5</f>
        <v/>
      </c>
      <c r="N90" s="326">
        <f>INPUT!H5</f>
        <v/>
      </c>
      <c r="O90" s="327" t="n"/>
    </row>
    <row r="91" ht="15" customHeight="1">
      <c r="A91" s="212" t="n"/>
      <c r="B91" s="212" t="n"/>
      <c r="C91" s="212" t="n"/>
      <c r="D91" s="328" t="n"/>
      <c r="E91" s="212" t="n"/>
      <c r="F91" s="327" t="n"/>
      <c r="G91" s="327" t="n"/>
      <c r="H91" s="327" t="n"/>
      <c r="I91" s="327" t="inlineStr">
        <is>
          <t>SG&amp;A</t>
        </is>
      </c>
      <c r="J91" s="327">
        <f>IF(INPUT!D14="",NA(),ABS(INPUT!D14))</f>
        <v/>
      </c>
      <c r="K91" s="327">
        <f>IF(INPUT!E14="",NA(),ABS(INPUT!E14))</f>
        <v/>
      </c>
      <c r="L91" s="327">
        <f>IF(INPUT!F14="",NA(),ABS(INPUT!F14))</f>
        <v/>
      </c>
      <c r="M91" s="327">
        <f>IF(INPUT!G14="",NA(),ABS(INPUT!G14))</f>
        <v/>
      </c>
      <c r="N91" s="327">
        <f>IF(INPUT!H14="",NA(),ABS(INPUT!H14))</f>
        <v/>
      </c>
      <c r="O91" s="327" t="n"/>
      <c r="XES91" s="47" t="n"/>
      <c r="XEU91" s="465" t="n"/>
      <c r="XEV91" s="465" t="n"/>
      <c r="XEW91" s="465" t="n"/>
      <c r="XEX91" s="465" t="n"/>
      <c r="XEY91" s="465" t="n"/>
      <c r="XEZ91" s="465" t="n"/>
      <c r="XFA91" s="465" t="n"/>
      <c r="XFB91" s="465" t="n"/>
      <c r="XFC91" s="465" t="n"/>
      <c r="XFD91" s="465" t="n"/>
    </row>
    <row r="92" ht="15" customHeight="1">
      <c r="A92" s="212" t="n"/>
      <c r="B92" s="212" t="n"/>
      <c r="C92" s="212" t="n"/>
      <c r="D92" s="328" t="n"/>
      <c r="E92" s="212" t="n"/>
      <c r="F92" s="327" t="n"/>
      <c r="G92" s="327" t="n"/>
      <c r="H92" s="327" t="n"/>
      <c r="I92" s="327" t="inlineStr">
        <is>
          <t>R&amp;D</t>
        </is>
      </c>
      <c r="J92" s="327">
        <f>IF(INPUT!D15="",NA(),ABS(INPUT!D15))</f>
        <v/>
      </c>
      <c r="K92" s="327">
        <f>IF(INPUT!E15="",NA(),ABS(INPUT!E15))</f>
        <v/>
      </c>
      <c r="L92" s="327">
        <f>IF(INPUT!F15="",NA(),ABS(INPUT!F15))</f>
        <v/>
      </c>
      <c r="M92" s="327">
        <f>IF(INPUT!G15="",NA(),ABS(INPUT!G15))</f>
        <v/>
      </c>
      <c r="N92" s="327">
        <f>IF(INPUT!H15="",NA(),ABS(INPUT!H15))</f>
        <v/>
      </c>
      <c r="O92" s="327" t="n"/>
      <c r="XES92" s="47" t="n"/>
      <c r="XEU92" s="465" t="n"/>
      <c r="XEV92" s="465" t="n"/>
      <c r="XEW92" s="465" t="n"/>
      <c r="XEX92" s="465" t="n"/>
      <c r="XEY92" s="465" t="n"/>
      <c r="XEZ92" s="465" t="n"/>
      <c r="XFA92" s="465" t="n"/>
      <c r="XFB92" s="465" t="n"/>
      <c r="XFC92" s="465" t="n"/>
      <c r="XFD92" s="465" t="n"/>
    </row>
    <row r="93" ht="15" customHeight="1">
      <c r="A93" s="212" t="n"/>
      <c r="B93" s="212" t="n"/>
      <c r="C93" s="212" t="n"/>
      <c r="D93" s="328" t="n"/>
      <c r="E93" s="212" t="n"/>
      <c r="F93" s="327" t="n"/>
      <c r="G93" s="327" t="n"/>
      <c r="H93" s="327" t="n"/>
      <c r="I93" s="327" t="inlineStr">
        <is>
          <t>D&amp;A</t>
        </is>
      </c>
      <c r="J93" s="327">
        <f>IF(INPUT!D16="",NA(),ABS(INPUT!D16))</f>
        <v/>
      </c>
      <c r="K93" s="327">
        <f>IF(INPUT!E16="",NA(),ABS(INPUT!E16))</f>
        <v/>
      </c>
      <c r="L93" s="327">
        <f>IF(INPUT!F16="",NA(),ABS(INPUT!F16))</f>
        <v/>
      </c>
      <c r="M93" s="327">
        <f>IF(INPUT!G16="",NA(),ABS(INPUT!G16))</f>
        <v/>
      </c>
      <c r="N93" s="327">
        <f>IF(INPUT!H16="",NA(),ABS(INPUT!H16))</f>
        <v/>
      </c>
      <c r="O93" s="327" t="n"/>
    </row>
    <row r="94" ht="15" customHeight="1">
      <c r="A94" s="212" t="n"/>
      <c r="B94" s="212" t="n"/>
      <c r="C94" s="212" t="n"/>
      <c r="D94" s="328" t="n"/>
      <c r="E94" s="212" t="n"/>
      <c r="F94" s="327" t="n"/>
      <c r="G94" s="327" t="n"/>
      <c r="H94" s="327" t="n"/>
      <c r="I94" s="327" t="inlineStr">
        <is>
          <t>Interest</t>
        </is>
      </c>
      <c r="J94" s="327">
        <f>IF(INPUT!D5="",NA(),INPUT!D5)</f>
        <v/>
      </c>
      <c r="K94" s="327">
        <f>IF(INPUT!E14="",NA(),ABS(INPUT!E20))</f>
        <v/>
      </c>
      <c r="L94" s="327">
        <f>IF(INPUT!F14="",NA(),ABS(INPUT!F20))</f>
        <v/>
      </c>
      <c r="M94" s="327">
        <f>IF(INPUT!G14="",NA(),ABS(INPUT!G20))</f>
        <v/>
      </c>
      <c r="N94" s="327">
        <f>IF(INPUT!H14="",NA(),ABS(INPUT!H20))</f>
        <v/>
      </c>
      <c r="O94" s="327" t="n"/>
    </row>
    <row r="95" ht="15" customHeight="1">
      <c r="A95" s="212" t="n"/>
      <c r="B95" s="212" t="n"/>
      <c r="C95" s="212" t="n"/>
      <c r="D95" s="328" t="n"/>
      <c r="E95" s="212" t="n"/>
      <c r="F95" s="327" t="n"/>
      <c r="G95" s="327" t="n"/>
      <c r="H95" s="327" t="n"/>
      <c r="I95" s="327" t="n"/>
      <c r="J95" s="327" t="n"/>
      <c r="K95" s="327" t="n"/>
      <c r="L95" s="327" t="n"/>
      <c r="M95" s="327" t="n"/>
      <c r="N95" s="327" t="n"/>
      <c r="O95" s="327" t="n"/>
    </row>
    <row r="96" ht="15" customHeight="1">
      <c r="B96" s="47" t="n"/>
    </row>
    <row r="97" ht="15" customHeight="1">
      <c r="B97" s="47" t="n"/>
    </row>
    <row r="98" ht="15" customHeight="1">
      <c r="B98" s="47" t="n"/>
    </row>
    <row r="99" ht="15" customHeight="1">
      <c r="B99" s="47" t="n"/>
    </row>
    <row r="100" ht="15" customHeight="1">
      <c r="B100" s="47" t="n"/>
    </row>
    <row r="101" ht="15" customHeight="1">
      <c r="B101" s="47" t="n"/>
    </row>
    <row r="102" ht="15" customHeight="1">
      <c r="B102" s="47" t="n"/>
    </row>
    <row r="103" ht="15" customHeight="1">
      <c r="B103" s="47" t="n"/>
    </row>
    <row r="104" ht="15" customHeight="1">
      <c r="B104" s="47" t="n"/>
    </row>
    <row r="105" ht="15" customHeight="1">
      <c r="B105" s="47" t="n"/>
    </row>
    <row r="106" ht="15" customHeight="1">
      <c r="B106" s="47" t="n"/>
    </row>
    <row r="107" ht="15" customHeight="1">
      <c r="B107" s="47" t="n"/>
    </row>
    <row r="108" ht="15" customHeight="1">
      <c r="B108" s="47" t="n"/>
    </row>
    <row r="109" ht="15" customHeight="1">
      <c r="B109" s="47" t="n"/>
    </row>
    <row r="110" ht="15" customHeight="1">
      <c r="B110" s="47" t="n"/>
    </row>
    <row r="111" ht="15" customHeight="1">
      <c r="B111" s="47" t="n"/>
    </row>
    <row r="112" ht="15" customHeight="1">
      <c r="B112" s="47" t="n"/>
    </row>
    <row r="113" ht="15" customHeight="1">
      <c r="B113" s="47" t="n"/>
    </row>
    <row r="114" ht="15" customHeight="1">
      <c r="B114" s="47" t="n"/>
    </row>
    <row r="115" ht="15" customHeight="1">
      <c r="B115" s="47" t="n"/>
    </row>
    <row r="116" ht="15" customHeight="1">
      <c r="B116" s="47" t="n"/>
    </row>
    <row r="117" ht="15" customHeight="1">
      <c r="B117" s="47" t="n"/>
    </row>
    <row r="118" ht="15" customHeight="1">
      <c r="B118" s="47" t="n"/>
    </row>
    <row r="119" ht="15" customHeight="1">
      <c r="B119" s="47" t="n"/>
    </row>
    <row r="120" ht="15" customHeight="1">
      <c r="B120" s="47" t="n"/>
    </row>
  </sheetData>
  <printOptions horizontalCentered="1"/>
  <pageMargins left="0.005555555555555556" right="0.005555555555555556" top="0.005555555555555556" bottom="0.005555555555555556" header="0.002777777777777778" footer="0.002777777777777778"/>
  <pageSetup orientation="landscape" paperSize="9" scale="40"/>
  <rowBreaks count="2" manualBreakCount="2">
    <brk id="24" min="0" max="13" man="1"/>
    <brk id="41" min="0" max="16383" man="1"/>
  </rowBreaks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08"/>
  <sheetViews>
    <sheetView showGridLines="0" topLeftCell="D1" zoomScale="70" zoomScaleNormal="70" workbookViewId="0">
      <selection activeCell="V20" sqref="V20"/>
    </sheetView>
  </sheetViews>
  <sheetFormatPr baseColWidth="10" defaultColWidth="9.140625" defaultRowHeight="15" customHeight="1"/>
  <cols>
    <col width="15.28515625" customWidth="1" style="147" min="1" max="1"/>
    <col width="16.7109375" customWidth="1" style="147" min="2" max="2"/>
    <col width="15.85546875" bestFit="1" customWidth="1" style="147" min="3" max="3"/>
    <col width="17.85546875" bestFit="1" customWidth="1" style="147" min="4" max="4"/>
    <col width="13.5703125" customWidth="1" style="147" min="5" max="5"/>
    <col width="12.42578125" customWidth="1" style="147" min="6" max="10"/>
    <col width="13.85546875" customWidth="1" style="147" min="11" max="11"/>
    <col width="12.42578125" customWidth="1" style="147" min="12" max="14"/>
    <col width="13.85546875" customWidth="1" style="148" min="15" max="15"/>
    <col width="13.85546875" customWidth="1" style="147" min="16" max="16"/>
    <col width="12.42578125" customWidth="1" style="147" min="17" max="17"/>
    <col width="16.7109375" customWidth="1" style="147" min="18" max="18"/>
    <col width="17.85546875" bestFit="1" customWidth="1" style="147" min="19" max="19"/>
    <col width="26.140625" customWidth="1" style="147" min="20" max="20"/>
    <col width="18.28515625" customWidth="1" style="147" min="21" max="21"/>
    <col width="16.140625" customWidth="1" style="147" min="22" max="22"/>
    <col width="12.42578125" customWidth="1" style="147" min="23" max="30"/>
    <col width="9.140625" customWidth="1" style="147" min="31" max="32"/>
    <col width="9.140625" customWidth="1" style="147" min="33" max="16384"/>
  </cols>
  <sheetData>
    <row r="1" ht="50.1" customHeight="1">
      <c r="A1" s="162" t="n"/>
      <c r="B1" s="104" t="inlineStr">
        <is>
          <t>FinSight</t>
        </is>
      </c>
      <c r="C1" s="162" t="n"/>
      <c r="D1" s="162" t="n"/>
      <c r="E1" s="162" t="n"/>
      <c r="F1" s="162" t="n"/>
      <c r="G1" s="162" t="n"/>
      <c r="H1" s="162" t="n"/>
      <c r="I1" s="162" t="n"/>
      <c r="J1" s="162" t="n"/>
      <c r="K1" s="162" t="n"/>
      <c r="L1" s="162" t="n"/>
      <c r="M1" s="162" t="n"/>
      <c r="N1" s="162" t="n"/>
      <c r="O1" s="162" t="n"/>
      <c r="P1" s="162" t="n"/>
      <c r="Q1" s="162" t="n"/>
      <c r="R1" s="162">
        <f>INPUT!D114&amp;" ("&amp;INPUT!D115&amp;")  — "&amp;INPUT!D116</f>
        <v/>
      </c>
      <c r="S1" s="162" t="n"/>
      <c r="T1" s="162" t="n"/>
      <c r="U1" s="162" t="n"/>
      <c r="V1" s="162" t="n"/>
      <c r="W1" s="162" t="n"/>
      <c r="X1" s="162" t="n"/>
      <c r="Y1" s="196" t="n"/>
      <c r="Z1" s="196" t="n"/>
      <c r="AA1" s="196" t="n"/>
      <c r="AB1" s="196" t="n"/>
      <c r="AC1" s="196" t="n"/>
      <c r="AD1" s="196" t="n"/>
    </row>
    <row r="2" ht="15" customHeight="1">
      <c r="A2" s="90" t="n"/>
      <c r="B2" s="90" t="n"/>
      <c r="C2" s="90" t="n"/>
      <c r="D2" s="90" t="n"/>
      <c r="E2" s="90" t="n"/>
      <c r="F2" s="90" t="n"/>
      <c r="G2" s="90" t="n"/>
      <c r="H2" s="90" t="n"/>
      <c r="I2" s="90" t="n"/>
      <c r="J2" s="90" t="n"/>
      <c r="K2" s="90" t="n"/>
      <c r="L2" s="90" t="n"/>
      <c r="M2" s="90" t="n"/>
      <c r="N2" s="90" t="n"/>
      <c r="O2" s="90" t="n"/>
      <c r="P2" s="90" t="n"/>
      <c r="Q2" s="90" t="n"/>
      <c r="R2" s="90" t="n"/>
      <c r="S2" s="90" t="n"/>
      <c r="T2" s="90" t="n"/>
      <c r="U2" s="90" t="n"/>
      <c r="V2" s="90" t="n"/>
      <c r="W2" s="90" t="n"/>
      <c r="X2" s="90" t="n"/>
    </row>
    <row r="3" ht="21" customFormat="1" customHeight="1" s="149">
      <c r="B3" s="140" t="inlineStr">
        <is>
          <t>Projected Business Performance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Q3" s="140" t="inlineStr">
        <is>
          <t>Football Field Chart — Valuation Inputs</t>
        </is>
      </c>
      <c r="R3" s="145" t="n"/>
      <c r="S3" s="145" t="n"/>
      <c r="T3" s="145" t="n"/>
      <c r="U3" s="145" t="n"/>
      <c r="V3" s="145" t="n"/>
      <c r="W3" s="145" t="n"/>
      <c r="X3" s="145" t="n"/>
    </row>
    <row r="4" ht="15" customFormat="1" customHeight="1" s="149">
      <c r="A4" s="90" t="n"/>
      <c r="B4" s="90" t="n"/>
      <c r="C4" s="90" t="n"/>
      <c r="D4" s="90" t="n"/>
      <c r="E4" s="90" t="n"/>
      <c r="F4" s="90" t="n"/>
      <c r="G4" s="90" t="n"/>
      <c r="H4" s="90" t="n"/>
      <c r="I4" s="90" t="n"/>
      <c r="Q4" s="147" t="n"/>
      <c r="R4" s="147" t="n"/>
      <c r="S4" s="147" t="n"/>
      <c r="T4" s="147" t="n"/>
      <c r="U4" s="147" t="n"/>
      <c r="V4" s="147" t="n"/>
      <c r="W4" s="147" t="n"/>
      <c r="X4" s="147" t="n"/>
    </row>
    <row r="5" ht="15" customFormat="1" customHeight="1" s="149">
      <c r="A5" s="90" t="n"/>
      <c r="B5" s="164" t="inlineStr">
        <is>
          <t>All figures in USD Thousands unless stated</t>
        </is>
      </c>
      <c r="C5" s="90" t="n"/>
      <c r="D5" s="90" t="n"/>
      <c r="E5" s="90" t="n"/>
      <c r="F5" s="90" t="n"/>
      <c r="G5" s="90" t="n"/>
      <c r="H5" s="90" t="n"/>
      <c r="I5" s="90" t="n"/>
      <c r="Q5" s="147" t="n"/>
      <c r="R5" s="147" t="n"/>
      <c r="S5" s="147" t="n"/>
      <c r="T5" s="452" t="inlineStr">
        <is>
          <t>Low ($)</t>
        </is>
      </c>
      <c r="U5" s="166" t="inlineStr">
        <is>
          <t>Delta ($)</t>
        </is>
      </c>
      <c r="V5" s="166" t="inlineStr">
        <is>
          <t>High ($)</t>
        </is>
      </c>
      <c r="W5" s="147" t="n"/>
      <c r="X5" s="147" t="n"/>
    </row>
    <row r="6" ht="15" customHeight="1">
      <c r="A6" s="90" t="n"/>
      <c r="B6" s="154" t="inlineStr">
        <is>
          <t>Company Information</t>
        </is>
      </c>
      <c r="O6" s="147" t="n"/>
      <c r="Q6" s="169" t="inlineStr">
        <is>
          <t>52-Week Trading Range</t>
        </is>
      </c>
      <c r="T6" s="628">
        <f>INPUT!H95*0.75</f>
        <v/>
      </c>
      <c r="U6" s="629">
        <f>V6-T6</f>
        <v/>
      </c>
      <c r="V6" s="630">
        <f>INPUT!H95*1.45</f>
        <v/>
      </c>
    </row>
    <row r="7" ht="15" customHeight="1">
      <c r="A7" s="90" t="n"/>
      <c r="C7" s="99" t="inlineStr">
        <is>
          <t>Company Name</t>
        </is>
      </c>
      <c r="D7" s="311">
        <f>INPUT!D114</f>
        <v/>
      </c>
      <c r="O7" s="147" t="n"/>
      <c r="Q7" s="169" t="inlineStr">
        <is>
          <t>Consensus Research</t>
        </is>
      </c>
      <c r="T7" s="631">
        <f>INPUT!H95*1.1</f>
        <v/>
      </c>
      <c r="U7" s="632">
        <f>V7-T7</f>
        <v/>
      </c>
      <c r="V7" s="630">
        <f>INPUT!H95*1.6</f>
        <v/>
      </c>
    </row>
    <row r="8" ht="15" customHeight="1">
      <c r="A8" s="90" t="n"/>
      <c r="C8" s="99" t="inlineStr">
        <is>
          <t>Ticker Symbol</t>
        </is>
      </c>
      <c r="D8" s="311">
        <f>INPUT!D115</f>
        <v/>
      </c>
      <c r="O8" s="147" t="n"/>
      <c r="Q8" s="169" t="inlineStr">
        <is>
          <t>Precedent Transactions</t>
        </is>
      </c>
      <c r="R8" s="149" t="n"/>
      <c r="S8" s="149" t="n"/>
      <c r="T8" s="631">
        <f>INPUT!H95*1.2</f>
        <v/>
      </c>
      <c r="U8" s="632">
        <f>V8-T8</f>
        <v/>
      </c>
      <c r="V8" s="630">
        <f>INPUT!H95*1.75</f>
        <v/>
      </c>
      <c r="W8" s="149" t="n"/>
      <c r="X8" s="149" t="n"/>
    </row>
    <row r="9" ht="15" customHeight="1">
      <c r="A9" s="90" t="n"/>
      <c r="C9" s="99" t="inlineStr">
        <is>
          <t>Sector</t>
        </is>
      </c>
      <c r="D9" s="311">
        <f>INPUT!D116</f>
        <v/>
      </c>
      <c r="O9" s="147" t="n"/>
      <c r="Q9" s="169" t="inlineStr">
        <is>
          <t>Sum-of-the-Parts</t>
        </is>
      </c>
      <c r="R9" s="149" t="n"/>
      <c r="S9" s="149" t="n"/>
      <c r="T9" s="631">
        <f>INPUT!H95*1.3</f>
        <v/>
      </c>
      <c r="U9" s="632">
        <f>V9-T9</f>
        <v/>
      </c>
      <c r="V9" s="630">
        <f>INPUT!H95*1.85</f>
        <v/>
      </c>
      <c r="W9" s="149" t="n"/>
      <c r="X9" s="149" t="n"/>
    </row>
    <row r="10" ht="15" customHeight="1">
      <c r="A10" s="90" t="n"/>
      <c r="C10" s="99" t="inlineStr">
        <is>
          <t>Base Year (LTM)</t>
        </is>
      </c>
      <c r="D10" s="311">
        <f>INPUT!D117</f>
        <v/>
      </c>
      <c r="O10" s="147" t="n"/>
      <c r="Q10" s="169" t="inlineStr">
        <is>
          <t>Discounted Cash Flow</t>
        </is>
      </c>
      <c r="R10" s="149" t="n"/>
      <c r="S10" s="149" t="n"/>
      <c r="T10" s="631">
        <f>INPUT!H95*1.15</f>
        <v/>
      </c>
      <c r="U10" s="632">
        <f>V10-T10</f>
        <v/>
      </c>
      <c r="V10" s="630">
        <f>INPUT!H95*1.7</f>
        <v/>
      </c>
      <c r="W10" s="149" t="n"/>
      <c r="X10" s="149" t="n"/>
    </row>
    <row r="11" ht="15" customHeight="1">
      <c r="A11" s="90" t="n"/>
      <c r="C11" s="99" t="inlineStr">
        <is>
          <t>Currency</t>
        </is>
      </c>
      <c r="D11" s="311">
        <f>INPUT!D118</f>
        <v/>
      </c>
      <c r="O11" s="147" t="n"/>
      <c r="Q11" s="155" t="inlineStr">
        <is>
          <t>Current Share Price</t>
        </is>
      </c>
      <c r="R11" s="149" t="n"/>
      <c r="S11" s="149" t="n"/>
      <c r="T11" s="633">
        <f>INPUT!H95</f>
        <v/>
      </c>
      <c r="U11" s="634" t="n"/>
      <c r="V11" s="634" t="n"/>
      <c r="W11" s="149" t="n"/>
      <c r="X11" s="149" t="n"/>
    </row>
    <row r="12" ht="15" customHeight="1">
      <c r="A12" s="90" t="n"/>
      <c r="C12" s="99" t="inlineStr">
        <is>
          <t>Analysis Date</t>
        </is>
      </c>
      <c r="D12" s="312">
        <f>INPUT!D120</f>
        <v/>
      </c>
      <c r="O12" s="147" t="n"/>
      <c r="Q12" s="149" t="n"/>
      <c r="R12" s="149" t="n"/>
      <c r="S12" s="149" t="n"/>
      <c r="T12" s="149" t="n"/>
      <c r="U12" s="149" t="n"/>
      <c r="V12" s="149" t="n"/>
      <c r="W12" s="149" t="n"/>
      <c r="X12" s="149" t="n"/>
    </row>
    <row r="13" ht="15" customHeight="1">
      <c r="A13" s="90" t="n"/>
      <c r="O13" s="147" t="n"/>
      <c r="Q13" s="149" t="n"/>
      <c r="R13" s="149" t="n"/>
      <c r="S13" s="149" t="n"/>
      <c r="T13" s="149" t="n"/>
      <c r="U13" s="149" t="n"/>
      <c r="V13" s="149" t="n"/>
      <c r="W13" s="149" t="n"/>
      <c r="X13" s="149" t="n"/>
    </row>
    <row r="14" ht="21" customHeight="1">
      <c r="A14" s="90" t="n"/>
      <c r="B14" s="90" t="n"/>
      <c r="C14" s="90" t="n"/>
      <c r="D14" s="90" t="n"/>
      <c r="E14" s="90" t="n"/>
      <c r="F14" s="90" t="n"/>
      <c r="G14" s="90" t="n"/>
      <c r="H14" s="90" t="n"/>
      <c r="I14" s="90" t="n"/>
      <c r="J14" s="90" t="n"/>
      <c r="K14" s="90" t="n"/>
      <c r="L14" s="90" t="n"/>
      <c r="M14" s="90" t="n"/>
      <c r="N14" s="90" t="n"/>
      <c r="O14" s="90" t="n"/>
      <c r="P14" s="90" t="n"/>
      <c r="Q14" s="149" t="n"/>
      <c r="R14" s="149" t="n"/>
      <c r="S14" s="149" t="n"/>
      <c r="T14" s="149" t="n"/>
      <c r="U14" s="149" t="n"/>
      <c r="V14" s="149" t="n"/>
      <c r="W14" s="149" t="n"/>
      <c r="X14" s="149" t="n"/>
    </row>
    <row r="15" ht="15" customHeight="1">
      <c r="A15" s="90" t="n"/>
      <c r="B15" s="90" t="n"/>
      <c r="C15" s="90" t="n"/>
      <c r="D15" s="90" t="n"/>
      <c r="E15" s="90" t="n"/>
      <c r="F15" s="90" t="n"/>
      <c r="G15" s="90" t="n"/>
      <c r="H15" s="90" t="n"/>
      <c r="I15" s="90" t="n"/>
      <c r="J15" s="90" t="n"/>
      <c r="K15" s="90" t="n"/>
      <c r="L15" s="90" t="n"/>
      <c r="M15" s="90" t="n"/>
      <c r="N15" s="90" t="n"/>
      <c r="O15" s="90" t="n"/>
      <c r="Q15" s="140" t="inlineStr">
        <is>
          <t>Financial Data — Multi-Year</t>
        </is>
      </c>
      <c r="R15" s="145" t="n"/>
      <c r="S15" s="145" t="n"/>
      <c r="T15" s="145" t="n"/>
      <c r="U15" s="145" t="n"/>
      <c r="V15" s="145" t="n"/>
      <c r="W15" s="145" t="n"/>
      <c r="X15" s="145" t="n"/>
    </row>
    <row r="16" ht="15" customHeight="1">
      <c r="A16" s="90" t="n"/>
      <c r="B16" s="90" t="n"/>
      <c r="C16" s="90" t="n"/>
      <c r="D16" s="90" t="n"/>
      <c r="E16" s="90" t="n"/>
      <c r="F16" s="90" t="n"/>
      <c r="G16" s="90" t="n"/>
      <c r="H16" s="90" t="n"/>
      <c r="I16" s="90" t="n"/>
      <c r="J16" s="90" t="n"/>
      <c r="K16" s="90" t="n"/>
      <c r="L16" s="90" t="n"/>
      <c r="M16" s="90" t="n"/>
      <c r="N16" s="90" t="n"/>
      <c r="O16" s="90" t="n"/>
      <c r="Q16" s="149" t="n"/>
      <c r="R16" s="149" t="n"/>
      <c r="S16" s="149" t="n"/>
      <c r="T16" s="149" t="n"/>
      <c r="U16" s="149" t="n"/>
      <c r="V16" s="149" t="n"/>
      <c r="W16" s="149" t="n"/>
      <c r="X16" s="149" t="n"/>
    </row>
    <row r="17" ht="15" customHeight="1">
      <c r="A17" s="90" t="n"/>
      <c r="B17" s="90" t="n"/>
      <c r="C17" s="90" t="n"/>
      <c r="D17" s="90" t="n"/>
      <c r="E17" s="90" t="n"/>
      <c r="F17" s="90" t="n"/>
      <c r="G17" s="90" t="n"/>
      <c r="H17" s="90" t="n"/>
      <c r="I17" s="90" t="n"/>
      <c r="J17" s="90" t="n"/>
      <c r="K17" s="90" t="n"/>
      <c r="L17" s="90" t="n"/>
      <c r="M17" s="90" t="n"/>
      <c r="N17" s="90" t="n"/>
      <c r="O17" s="90" t="n"/>
      <c r="Q17" s="153" t="inlineStr">
        <is>
          <t>All figures in USD Thousands unless stated</t>
        </is>
      </c>
      <c r="R17" s="146" t="n"/>
      <c r="S17" s="146" t="n"/>
      <c r="T17" s="316">
        <f>INPUT!E5</f>
        <v/>
      </c>
      <c r="U17" s="316">
        <f>INPUT!E5</f>
        <v/>
      </c>
      <c r="V17" s="316">
        <f>INPUT!F5</f>
        <v/>
      </c>
      <c r="W17" s="316">
        <f>INPUT!G5</f>
        <v/>
      </c>
      <c r="X17" s="316">
        <f>INPUT!H5</f>
        <v/>
      </c>
    </row>
    <row r="18" ht="15" customHeight="1">
      <c r="A18" s="90" t="n"/>
      <c r="B18" s="90" t="n"/>
      <c r="C18" s="90" t="n"/>
      <c r="D18" s="90" t="n"/>
      <c r="E18" s="90" t="n"/>
      <c r="F18" s="90" t="n"/>
      <c r="G18" s="90" t="n"/>
      <c r="H18" s="90" t="n"/>
      <c r="I18" s="90" t="n"/>
      <c r="J18" s="90" t="n"/>
      <c r="K18" s="90" t="n"/>
      <c r="L18" s="90" t="n"/>
      <c r="M18" s="90" t="n"/>
      <c r="N18" s="90" t="n"/>
      <c r="O18" s="90" t="n"/>
      <c r="Q18" s="146" t="n"/>
      <c r="R18" s="146" t="n"/>
      <c r="S18" s="146" t="n"/>
      <c r="T18" s="146" t="n"/>
      <c r="U18" s="146" t="n"/>
      <c r="V18" s="146" t="n"/>
      <c r="W18" s="146" t="n"/>
      <c r="X18" s="146" t="n"/>
    </row>
    <row r="19" ht="15" customFormat="1" customHeight="1" s="149">
      <c r="A19" s="90" t="n"/>
      <c r="B19" s="199" t="inlineStr">
        <is>
          <t>Stock Chart: Trailing 52-Weeks</t>
        </is>
      </c>
      <c r="C19" s="203" t="n"/>
      <c r="D19" s="203" t="n"/>
      <c r="E19" s="203" t="n"/>
      <c r="F19" s="203" t="n"/>
      <c r="G19" s="203" t="n"/>
      <c r="H19" s="90" t="n"/>
      <c r="I19" s="199" t="inlineStr">
        <is>
          <t>Valuation Summary: Football Field Chart</t>
        </is>
      </c>
      <c r="J19" s="203" t="n"/>
      <c r="K19" s="203" t="n"/>
      <c r="L19" s="203" t="n"/>
      <c r="M19" s="203" t="n"/>
      <c r="N19" s="203" t="n"/>
      <c r="O19" s="203" t="n"/>
      <c r="Q19" s="160" t="inlineStr">
        <is>
          <t>Revenue Growth (%)</t>
        </is>
      </c>
      <c r="R19" s="146" t="n"/>
      <c r="S19" s="146" t="n"/>
      <c r="T19" s="253">
        <f>""</f>
        <v/>
      </c>
      <c r="U19" s="317">
        <f>IF(INPUT!D9=0,"",INPUT!E9/INPUT!D9-1)</f>
        <v/>
      </c>
      <c r="V19" s="317">
        <f>IF(INPUT!E9=0,"",INPUT!F9/INPUT!E9-1)</f>
        <v/>
      </c>
      <c r="W19" s="317">
        <f>IF(INPUT!F9=0,"",INPUT!G9/INPUT!F9-1)</f>
        <v/>
      </c>
      <c r="X19" s="317">
        <f>IF(INPUT!G9=0,"",INPUT!H9/INPUT!G9-1)</f>
        <v/>
      </c>
    </row>
    <row r="20" ht="15" customFormat="1" customHeight="1" s="149">
      <c r="A20" s="90" t="n"/>
      <c r="B20" s="170" t="n"/>
      <c r="C20" s="90" t="n"/>
      <c r="D20" s="90" t="n"/>
      <c r="E20" s="90" t="n"/>
      <c r="F20" s="90" t="n"/>
      <c r="G20" s="90" t="n"/>
      <c r="H20" s="90" t="n"/>
      <c r="I20" s="90" t="n"/>
      <c r="J20" s="90" t="n"/>
      <c r="K20" s="90" t="n"/>
      <c r="L20" s="90" t="n"/>
      <c r="M20" s="90" t="n"/>
      <c r="N20" s="90" t="n"/>
      <c r="O20" s="90" t="n"/>
      <c r="Q20" s="168" t="inlineStr">
        <is>
          <t>EBITDA Growth (%)</t>
        </is>
      </c>
      <c r="R20" s="146" t="n"/>
      <c r="S20" s="146" t="n"/>
      <c r="T20" s="146">
        <f>""</f>
        <v/>
      </c>
      <c r="U20" s="176">
        <f>""</f>
        <v/>
      </c>
      <c r="V20" s="317">
        <f>IF(INPUT!D30=0,"",INPUT!F30/INPUT!E30-1)</f>
        <v/>
      </c>
      <c r="W20" s="317">
        <f>IF(INPUT!E30=0,"",INPUT!G30/INPUT!F30-1)</f>
        <v/>
      </c>
      <c r="X20" s="317">
        <f>IF(INPUT!F30=0,"",INPUT!H30/INPUT!G30-1)</f>
        <v/>
      </c>
    </row>
    <row r="21" ht="15" customFormat="1" customHeight="1" s="149">
      <c r="A21" s="90" t="n"/>
      <c r="B21" s="90" t="n"/>
      <c r="C21" s="90" t="n"/>
      <c r="D21" s="90" t="n"/>
      <c r="E21" s="90" t="n"/>
      <c r="F21" s="90" t="n"/>
      <c r="G21" s="90" t="n"/>
      <c r="H21" s="90" t="n"/>
      <c r="I21" s="90" t="n"/>
      <c r="J21" s="90" t="n"/>
      <c r="K21" s="90" t="n"/>
      <c r="L21" s="90" t="n"/>
      <c r="M21" s="90" t="n"/>
      <c r="N21" s="90" t="n"/>
      <c r="O21" s="90" t="n"/>
      <c r="Q21" s="146" t="n"/>
      <c r="R21" s="146" t="n"/>
      <c r="S21" s="146" t="n"/>
      <c r="T21" s="146" t="n"/>
      <c r="U21" s="146" t="n"/>
      <c r="V21" s="146" t="n"/>
      <c r="W21" s="146" t="n"/>
      <c r="X21" s="146" t="n"/>
    </row>
    <row r="22" ht="15" customFormat="1" customHeight="1" s="149">
      <c r="A22" s="90" t="n"/>
      <c r="B22" s="90" t="n"/>
      <c r="C22" s="90" t="n"/>
      <c r="D22" s="90" t="n"/>
      <c r="E22" s="90" t="n"/>
      <c r="F22" s="90" t="n"/>
      <c r="G22" s="90" t="n"/>
      <c r="H22" s="90" t="n"/>
      <c r="I22" s="90" t="n"/>
      <c r="J22" s="90" t="n"/>
      <c r="K22" s="90" t="n"/>
      <c r="L22" s="90" t="n"/>
      <c r="M22" s="90" t="n"/>
      <c r="N22" s="90" t="n"/>
      <c r="O22" s="90" t="n"/>
      <c r="Q22" s="154" t="inlineStr">
        <is>
          <t>Revenue</t>
        </is>
      </c>
      <c r="R22" s="146" t="n"/>
      <c r="S22" s="146" t="n"/>
      <c r="T22" s="146" t="n"/>
      <c r="U22" s="146" t="n"/>
      <c r="V22" s="146" t="n"/>
      <c r="W22" s="146" t="n"/>
      <c r="X22" s="146" t="n"/>
    </row>
    <row r="23" ht="15" customFormat="1" customHeight="1" s="149">
      <c r="A23" s="90" t="n"/>
      <c r="B23" s="90" t="n"/>
      <c r="C23" s="90" t="n"/>
      <c r="D23" s="90" t="n"/>
      <c r="E23" s="90" t="n"/>
      <c r="F23" s="90" t="n"/>
      <c r="G23" s="90" t="n"/>
      <c r="H23" s="90" t="n"/>
      <c r="I23" s="90" t="n"/>
      <c r="J23" s="90" t="n"/>
      <c r="K23" s="90" t="n"/>
      <c r="L23" s="90" t="n"/>
      <c r="M23" s="90" t="n"/>
      <c r="N23" s="90" t="n"/>
      <c r="O23" s="90" t="n"/>
      <c r="Q23" s="171" t="inlineStr">
        <is>
          <t>Revenue — Products</t>
        </is>
      </c>
      <c r="R23" s="146" t="n"/>
      <c r="S23" s="146" t="n"/>
      <c r="T23" s="635">
        <f>INPUT!E9</f>
        <v/>
      </c>
      <c r="U23" s="635">
        <f>INPUT!E9</f>
        <v/>
      </c>
      <c r="V23" s="635">
        <f>INPUT!F9</f>
        <v/>
      </c>
      <c r="W23" s="635">
        <f>INPUT!G9</f>
        <v/>
      </c>
      <c r="X23" s="635">
        <f>INPUT!H9</f>
        <v/>
      </c>
    </row>
    <row r="24" ht="15" customFormat="1" customHeight="1" s="149">
      <c r="A24" s="90" t="n"/>
      <c r="B24" s="90" t="n"/>
      <c r="C24" s="90" t="n"/>
      <c r="D24" s="90" t="n"/>
      <c r="E24" s="90" t="n"/>
      <c r="F24" s="90" t="n"/>
      <c r="G24" s="90" t="n"/>
      <c r="H24" s="90" t="n"/>
      <c r="I24" s="90" t="n"/>
      <c r="J24" s="90" t="n"/>
      <c r="K24" s="90" t="n"/>
      <c r="L24" s="90" t="n"/>
      <c r="M24" s="90" t="n"/>
      <c r="N24" s="90" t="n"/>
      <c r="O24" s="90" t="n"/>
      <c r="Q24" s="171" t="inlineStr">
        <is>
          <t>Cost of Revenue (COGS)</t>
        </is>
      </c>
      <c r="R24" s="146" t="n"/>
      <c r="S24" s="146" t="n"/>
      <c r="T24" s="635">
        <f>ABS(INPUT!E10)</f>
        <v/>
      </c>
      <c r="U24" s="635">
        <f>ABS(INPUT!E10)</f>
        <v/>
      </c>
      <c r="V24" s="635">
        <f>ABS(INPUT!F10)</f>
        <v/>
      </c>
      <c r="W24" s="635">
        <f>ABS(INPUT!G10)</f>
        <v/>
      </c>
      <c r="X24" s="635">
        <f>ABS(INPUT!H10)</f>
        <v/>
      </c>
    </row>
    <row r="25" ht="15" customFormat="1" customHeight="1" s="149">
      <c r="A25" s="90" t="n"/>
      <c r="B25" s="90" t="n"/>
      <c r="C25" s="90" t="n"/>
      <c r="D25" s="90" t="n"/>
      <c r="E25" s="90" t="n"/>
      <c r="F25" s="90" t="n"/>
      <c r="G25" s="90" t="n"/>
      <c r="H25" s="90" t="n"/>
      <c r="I25" s="90" t="n"/>
      <c r="J25" s="90" t="n"/>
      <c r="K25" s="90" t="n"/>
      <c r="L25" s="90" t="n"/>
      <c r="M25" s="90" t="n"/>
      <c r="N25" s="90" t="n"/>
      <c r="O25" s="90" t="n"/>
      <c r="Q25" s="171" t="inlineStr">
        <is>
          <t>Gross Profit</t>
        </is>
      </c>
      <c r="R25" s="146" t="n"/>
      <c r="S25" s="146" t="n"/>
      <c r="T25" s="636">
        <f>INPUT!E11</f>
        <v/>
      </c>
      <c r="U25" s="636">
        <f>INPUT!E11</f>
        <v/>
      </c>
      <c r="V25" s="636">
        <f>INPUT!F11</f>
        <v/>
      </c>
      <c r="W25" s="636">
        <f>INPUT!G11</f>
        <v/>
      </c>
      <c r="X25" s="636">
        <f>INPUT!H11</f>
        <v/>
      </c>
    </row>
    <row r="26" ht="21" customFormat="1" customHeight="1" s="149">
      <c r="A26" s="90" t="n"/>
      <c r="B26" s="90" t="n"/>
      <c r="C26" s="90" t="n"/>
      <c r="D26" s="90" t="n"/>
      <c r="E26" s="90" t="n"/>
      <c r="F26" s="90" t="n"/>
      <c r="G26" s="90" t="n"/>
      <c r="H26" s="90" t="n"/>
      <c r="I26" s="90" t="n"/>
      <c r="J26" s="90" t="n"/>
      <c r="K26" s="90" t="n"/>
      <c r="L26" s="90" t="n"/>
      <c r="M26" s="90" t="n"/>
      <c r="N26" s="90" t="n"/>
      <c r="O26" s="90" t="n"/>
      <c r="Q26" s="171" t="inlineStr">
        <is>
          <t>SG&amp;A</t>
        </is>
      </c>
      <c r="R26" s="146" t="n"/>
      <c r="S26" s="146" t="n"/>
      <c r="T26" s="635">
        <f>ABS(INPUT!E14)</f>
        <v/>
      </c>
      <c r="U26" s="635">
        <f>ABS(INPUT!E14)</f>
        <v/>
      </c>
      <c r="V26" s="635">
        <f>ABS(INPUT!F14)</f>
        <v/>
      </c>
      <c r="W26" s="635">
        <f>ABS(INPUT!G14)</f>
        <v/>
      </c>
      <c r="X26" s="635">
        <f>ABS(INPUT!H14)</f>
        <v/>
      </c>
    </row>
    <row r="27" ht="15" customFormat="1" customHeight="1" s="149">
      <c r="A27" s="90" t="n"/>
      <c r="B27" s="90" t="n"/>
      <c r="C27" s="90" t="n"/>
      <c r="D27" s="90" t="n"/>
      <c r="E27" s="90" t="n"/>
      <c r="F27" s="90" t="n"/>
      <c r="G27" s="90" t="n"/>
      <c r="H27" s="90" t="n"/>
      <c r="I27" s="90" t="n"/>
      <c r="J27" s="90" t="n"/>
      <c r="K27" s="90" t="n"/>
      <c r="L27" s="90" t="n"/>
      <c r="M27" s="90" t="n"/>
      <c r="N27" s="90" t="n"/>
      <c r="O27" s="90" t="n"/>
      <c r="Q27" s="171" t="inlineStr">
        <is>
          <t>Total Revenue</t>
        </is>
      </c>
      <c r="R27" s="146" t="n"/>
      <c r="S27" s="146" t="n"/>
      <c r="T27" s="637">
        <f>INPUT!E9</f>
        <v/>
      </c>
      <c r="U27" s="637">
        <f>INPUT!E9</f>
        <v/>
      </c>
      <c r="V27" s="637">
        <f>INPUT!F9</f>
        <v/>
      </c>
      <c r="W27" s="637">
        <f>INPUT!G9</f>
        <v/>
      </c>
      <c r="X27" s="637">
        <f>INPUT!H9</f>
        <v/>
      </c>
    </row>
    <row r="28" ht="15" customFormat="1" customHeight="1" s="146">
      <c r="A28" s="90" t="n"/>
      <c r="B28" s="90" t="n"/>
      <c r="C28" s="90" t="n"/>
      <c r="D28" s="90" t="n"/>
      <c r="E28" s="90" t="n"/>
      <c r="F28" s="90" t="n"/>
      <c r="G28" s="90" t="n"/>
      <c r="H28" s="90" t="n"/>
      <c r="I28" s="90" t="n"/>
      <c r="J28" s="90" t="n"/>
      <c r="K28" s="90" t="n"/>
      <c r="L28" s="90" t="n"/>
      <c r="M28" s="90" t="n"/>
      <c r="N28" s="90" t="n"/>
      <c r="O28" s="90" t="n"/>
      <c r="T28" s="634" t="n"/>
      <c r="U28" s="634" t="n"/>
      <c r="V28" s="634" t="n"/>
      <c r="W28" s="634" t="n"/>
      <c r="X28" s="634" t="n"/>
    </row>
    <row r="29" ht="15" customFormat="1" customHeight="1" s="146">
      <c r="A29" s="90" t="n"/>
      <c r="B29" s="90" t="n"/>
      <c r="C29" s="90" t="n"/>
      <c r="D29" s="90" t="n"/>
      <c r="E29" s="90" t="n"/>
      <c r="F29" s="90" t="n"/>
      <c r="G29" s="90" t="n"/>
      <c r="H29" s="90" t="n"/>
      <c r="I29" s="90" t="n"/>
      <c r="J29" s="90" t="n"/>
      <c r="K29" s="90" t="n"/>
      <c r="L29" s="90" t="n"/>
      <c r="M29" s="90" t="n"/>
      <c r="N29" s="90" t="n"/>
      <c r="O29" s="90" t="n"/>
      <c r="Q29" s="171" t="inlineStr">
        <is>
          <t>EBITDA</t>
        </is>
      </c>
      <c r="T29" s="635">
        <f>INPUT!E30</f>
        <v/>
      </c>
      <c r="U29" s="635">
        <f>INPUT!E30</f>
        <v/>
      </c>
      <c r="V29" s="635">
        <f>INPUT!F30</f>
        <v/>
      </c>
      <c r="W29" s="635">
        <f>INPUT!G30</f>
        <v/>
      </c>
      <c r="X29" s="635">
        <f>INPUT!H30</f>
        <v/>
      </c>
    </row>
    <row r="30" ht="15" customFormat="1" customHeight="1" s="146">
      <c r="A30" s="90" t="n"/>
      <c r="B30" s="90" t="n"/>
      <c r="C30" s="90" t="n"/>
      <c r="D30" s="90" t="n"/>
      <c r="E30" s="90" t="n"/>
      <c r="F30" s="90" t="n"/>
      <c r="G30" s="90" t="n"/>
      <c r="H30" s="90" t="n"/>
      <c r="I30" s="90" t="n"/>
      <c r="J30" s="90" t="n"/>
      <c r="K30" s="90" t="n"/>
      <c r="L30" s="90" t="n"/>
      <c r="M30" s="90" t="n"/>
      <c r="N30" s="90" t="n"/>
      <c r="O30" s="90" t="n"/>
      <c r="Q30" s="171" t="inlineStr">
        <is>
          <t>Cash from Ops (CFO)</t>
        </is>
      </c>
      <c r="T30" s="635">
        <f>INPUT!E75</f>
        <v/>
      </c>
      <c r="U30" s="635">
        <f>INPUT!E75</f>
        <v/>
      </c>
      <c r="V30" s="635">
        <f>INPUT!F75</f>
        <v/>
      </c>
      <c r="W30" s="635">
        <f>INPUT!G75</f>
        <v/>
      </c>
      <c r="X30" s="635">
        <f>INPUT!H75</f>
        <v/>
      </c>
    </row>
    <row r="31" ht="15" customFormat="1" customHeight="1" s="146">
      <c r="A31" s="90" t="n"/>
      <c r="B31" s="90" t="n"/>
      <c r="C31" s="90" t="n"/>
      <c r="D31" s="90" t="n"/>
      <c r="E31" s="90" t="n"/>
      <c r="F31" s="90" t="n"/>
      <c r="G31" s="90" t="n"/>
      <c r="H31" s="90" t="n"/>
      <c r="I31" s="90" t="n"/>
      <c r="J31" s="90" t="n"/>
      <c r="K31" s="90" t="n"/>
      <c r="L31" s="90" t="n"/>
      <c r="M31" s="90" t="n"/>
      <c r="N31" s="90" t="n"/>
      <c r="O31" s="90" t="n"/>
      <c r="Q31" s="171" t="inlineStr">
        <is>
          <t>Net Income</t>
        </is>
      </c>
      <c r="T31" s="635">
        <f>INPUT!E26</f>
        <v/>
      </c>
      <c r="U31" s="635">
        <f>INPUT!E26</f>
        <v/>
      </c>
      <c r="V31" s="635">
        <f>INPUT!F26</f>
        <v/>
      </c>
      <c r="W31" s="635">
        <f>INPUT!G26</f>
        <v/>
      </c>
      <c r="X31" s="635">
        <f>INPUT!H26</f>
        <v/>
      </c>
    </row>
    <row r="32" ht="15" customFormat="1" customHeight="1" s="146">
      <c r="A32" s="90" t="n"/>
      <c r="B32" s="90" t="n"/>
      <c r="C32" s="90" t="n"/>
      <c r="D32" s="90" t="n"/>
      <c r="E32" s="90" t="n"/>
      <c r="F32" s="90" t="n"/>
      <c r="G32" s="90" t="n"/>
      <c r="H32" s="90" t="n"/>
      <c r="I32" s="90" t="n"/>
      <c r="J32" s="90" t="n"/>
      <c r="K32" s="90" t="n"/>
      <c r="L32" s="90" t="n"/>
      <c r="M32" s="90" t="n"/>
      <c r="N32" s="90" t="n"/>
      <c r="O32" s="90" t="n"/>
    </row>
    <row r="33" ht="15" customFormat="1" customHeight="1" s="146">
      <c r="A33" s="90" t="n"/>
      <c r="B33" s="90" t="n"/>
      <c r="C33" s="90" t="n"/>
      <c r="D33" s="90" t="n"/>
      <c r="E33" s="90" t="n"/>
      <c r="F33" s="90" t="n"/>
      <c r="G33" s="90" t="n"/>
      <c r="H33" s="90" t="n"/>
      <c r="I33" s="90" t="n"/>
      <c r="J33" s="90" t="n"/>
      <c r="K33" s="90" t="n"/>
      <c r="L33" s="90" t="n"/>
      <c r="M33" s="90" t="n"/>
      <c r="N33" s="90" t="n"/>
      <c r="O33" s="90" t="n"/>
    </row>
    <row r="34" ht="15" customFormat="1" customHeight="1" s="146">
      <c r="A34" s="90" t="n"/>
      <c r="B34" s="90" t="n"/>
      <c r="C34" s="90" t="n"/>
      <c r="D34" s="90" t="n"/>
      <c r="E34" s="90" t="n"/>
      <c r="F34" s="90" t="n"/>
      <c r="G34" s="90" t="n"/>
      <c r="H34" s="90" t="n"/>
      <c r="I34" s="90" t="n"/>
      <c r="J34" s="90" t="n"/>
      <c r="K34" s="90" t="n"/>
      <c r="L34" s="90" t="n"/>
      <c r="M34" s="90" t="n"/>
      <c r="N34" s="90" t="n"/>
      <c r="O34" s="90" t="n"/>
      <c r="R34" s="146" t="inlineStr">
        <is>
          <t>ly</t>
        </is>
      </c>
    </row>
    <row r="35" ht="15" customFormat="1" customHeight="1" s="146">
      <c r="A35" s="90" t="n"/>
      <c r="B35" s="90" t="n"/>
      <c r="C35" s="90" t="n"/>
      <c r="D35" s="90" t="n"/>
      <c r="E35" s="90" t="n"/>
      <c r="F35" s="90" t="n"/>
      <c r="G35" s="90" t="n"/>
      <c r="H35" s="90" t="n"/>
      <c r="I35" s="90" t="n"/>
      <c r="J35" s="90" t="n"/>
      <c r="K35" s="90" t="n"/>
      <c r="L35" s="90" t="n"/>
      <c r="M35" s="90" t="n"/>
      <c r="N35" s="90" t="n"/>
      <c r="O35" s="90" t="n"/>
    </row>
    <row r="36" ht="15" customFormat="1" customHeight="1" s="146">
      <c r="A36" s="90" t="n"/>
      <c r="B36" s="90" t="n"/>
      <c r="C36" s="90" t="n"/>
      <c r="D36" s="90" t="n"/>
      <c r="E36" s="90" t="n"/>
      <c r="F36" s="90" t="n"/>
      <c r="G36" s="90" t="n"/>
      <c r="H36" s="90" t="n"/>
      <c r="I36" s="90" t="n"/>
      <c r="J36" s="90" t="n"/>
      <c r="K36" s="90" t="n"/>
      <c r="L36" s="90" t="n"/>
      <c r="M36" s="90" t="n"/>
      <c r="N36" s="90" t="n"/>
      <c r="O36" s="90" t="n"/>
    </row>
    <row r="37" ht="15" customFormat="1" customHeight="1" s="146">
      <c r="A37" s="90" t="n"/>
      <c r="B37" s="90" t="n"/>
      <c r="C37" s="90" t="n"/>
      <c r="D37" s="90" t="n"/>
      <c r="E37" s="90" t="n"/>
      <c r="F37" s="90" t="n"/>
      <c r="G37" s="90" t="n"/>
      <c r="H37" s="90" t="n"/>
      <c r="I37" s="90" t="n"/>
      <c r="J37" s="90" t="n"/>
      <c r="K37" s="90" t="n"/>
      <c r="L37" s="90" t="n"/>
      <c r="M37" s="90" t="n"/>
      <c r="N37" s="90" t="n"/>
      <c r="O37" s="90" t="n"/>
    </row>
    <row r="38" ht="15" customFormat="1" customHeight="1" s="146">
      <c r="A38" s="90" t="n"/>
      <c r="B38" s="90" t="n"/>
      <c r="C38" s="90" t="n"/>
      <c r="D38" s="90" t="n"/>
      <c r="E38" s="90" t="n"/>
      <c r="F38" s="90" t="n"/>
      <c r="G38" s="90" t="n"/>
      <c r="H38" s="90" t="n"/>
      <c r="I38" s="90" t="n"/>
      <c r="J38" s="90" t="n"/>
      <c r="K38" s="90" t="n"/>
      <c r="L38" s="90" t="n"/>
      <c r="M38" s="90" t="n"/>
      <c r="N38" s="90" t="n"/>
      <c r="O38" s="90" t="n"/>
    </row>
    <row r="39" ht="15" customFormat="1" customHeight="1" s="146">
      <c r="B39" s="199" t="inlineStr">
        <is>
          <t>Total Revenue ($000)</t>
        </is>
      </c>
      <c r="C39" s="203" t="n"/>
      <c r="D39" s="203" t="n"/>
      <c r="E39" s="203" t="n"/>
      <c r="F39" s="203" t="n"/>
      <c r="G39" s="203" t="n"/>
      <c r="H39" s="90" t="n"/>
      <c r="I39" s="199" t="inlineStr">
        <is>
          <t>Other Financial Metrics ($ Millier)</t>
        </is>
      </c>
      <c r="J39" s="203" t="n"/>
      <c r="K39" s="203" t="n"/>
      <c r="L39" s="203" t="n"/>
      <c r="M39" s="203" t="n"/>
      <c r="N39" s="203" t="n"/>
      <c r="O39" s="203" t="n"/>
    </row>
    <row r="40" ht="15" customFormat="1" customHeight="1" s="146"/>
    <row r="41" ht="15" customFormat="1" customHeight="1" s="146"/>
    <row r="42" ht="15" customFormat="1" customHeight="1" s="146"/>
    <row r="43" ht="15" customFormat="1" customHeight="1" s="146"/>
    <row r="44" ht="15" customFormat="1" customHeight="1" s="146">
      <c r="Q44" s="172" t="n"/>
    </row>
    <row r="45" ht="15" customFormat="1" customHeight="1" s="146">
      <c r="AB45" s="152" t="n"/>
    </row>
    <row r="46" ht="15" customFormat="1" customHeight="1" s="146">
      <c r="AB46" s="152" t="n"/>
    </row>
    <row r="47" ht="15" customFormat="1" customHeight="1" s="146"/>
    <row r="48" ht="15" customFormat="1" customHeight="1" s="146"/>
    <row r="49" ht="15" customFormat="1" customHeight="1" s="146"/>
    <row r="50" ht="15" customFormat="1" customHeight="1" s="146"/>
    <row r="51" ht="15" customFormat="1" customHeight="1" s="146">
      <c r="Q51" s="147" t="n"/>
      <c r="R51" s="147" t="n"/>
      <c r="S51" s="147" t="n"/>
      <c r="T51" s="147" t="n"/>
      <c r="U51" s="147" t="n"/>
      <c r="V51" s="147" t="n"/>
      <c r="W51" s="147" t="n"/>
      <c r="X51" s="147" t="n"/>
    </row>
    <row r="52" ht="15" customFormat="1" customHeight="1" s="146">
      <c r="Q52" s="147" t="n"/>
      <c r="R52" s="147" t="n"/>
      <c r="S52" s="147" t="n"/>
      <c r="T52" s="147" t="n"/>
      <c r="U52" s="147" t="n"/>
      <c r="V52" s="147" t="n"/>
      <c r="W52" s="147" t="n"/>
      <c r="X52" s="147" t="n"/>
    </row>
    <row r="53" ht="15" customFormat="1" customHeight="1" s="146">
      <c r="Q53" s="147" t="n"/>
      <c r="R53" s="147" t="n"/>
      <c r="S53" s="147" t="n"/>
      <c r="T53" s="147" t="n"/>
      <c r="U53" s="147" t="n"/>
      <c r="V53" s="147" t="n"/>
      <c r="W53" s="147" t="n"/>
      <c r="X53" s="147" t="n"/>
    </row>
    <row r="54" ht="15" customFormat="1" customHeight="1" s="146">
      <c r="Q54" s="147" t="n"/>
      <c r="R54" s="147" t="n"/>
      <c r="S54" s="147" t="n"/>
      <c r="T54" s="147" t="n"/>
      <c r="U54" s="147" t="n"/>
      <c r="V54" s="147" t="n"/>
      <c r="W54" s="147" t="n"/>
      <c r="X54" s="147" t="n"/>
    </row>
    <row r="55" ht="15" customFormat="1" customHeight="1" s="146">
      <c r="Q55" s="147" t="n"/>
      <c r="R55" s="147" t="n"/>
      <c r="S55" s="147" t="n"/>
      <c r="T55" s="147" t="n"/>
      <c r="U55" s="147" t="n"/>
      <c r="V55" s="147" t="n"/>
      <c r="W55" s="147" t="n"/>
      <c r="X55" s="147" t="n"/>
    </row>
    <row r="56" ht="15" customFormat="1" customHeight="1" s="146">
      <c r="Q56" s="147" t="n"/>
      <c r="R56" s="147" t="n"/>
      <c r="S56" s="147" t="n"/>
      <c r="T56" s="147" t="n"/>
      <c r="U56" s="147" t="n"/>
      <c r="V56" s="147" t="n"/>
      <c r="W56" s="147" t="n"/>
      <c r="X56" s="147" t="n"/>
    </row>
    <row r="57" ht="15" customFormat="1" customHeight="1" s="146">
      <c r="Q57" s="182" t="n"/>
      <c r="R57" s="182" t="n"/>
      <c r="S57" s="149" t="n"/>
      <c r="T57" s="147" t="n"/>
      <c r="U57" s="147" t="n"/>
      <c r="V57" s="147" t="n"/>
      <c r="W57" s="147" t="n"/>
      <c r="X57" s="147" t="n"/>
    </row>
    <row r="58" ht="15" customFormat="1" customHeight="1" s="146">
      <c r="Q58" s="182" t="n"/>
      <c r="R58" s="182" t="n"/>
      <c r="S58" s="149" t="n"/>
      <c r="T58" s="147" t="n"/>
      <c r="U58" s="147" t="n"/>
      <c r="V58" s="147" t="n"/>
      <c r="W58" s="147" t="n"/>
      <c r="X58" s="147" t="n"/>
    </row>
    <row r="59" ht="15" customFormat="1" customHeight="1" s="146">
      <c r="Q59" s="149" t="n"/>
      <c r="R59" s="149" t="n"/>
      <c r="S59" s="149" t="n"/>
      <c r="T59" s="147" t="n"/>
      <c r="U59" s="147" t="n"/>
      <c r="V59" s="147" t="n"/>
      <c r="W59" s="147" t="n"/>
      <c r="X59" s="147" t="n"/>
    </row>
    <row r="60" ht="15" customFormat="1" customHeight="1" s="146">
      <c r="Q60" s="149" t="n"/>
      <c r="R60" s="149" t="n"/>
      <c r="S60" s="149" t="n"/>
      <c r="T60" s="147" t="n"/>
      <c r="U60" s="147" t="n"/>
      <c r="V60" s="147" t="n"/>
      <c r="W60" s="147" t="n"/>
      <c r="X60" s="147" t="n"/>
    </row>
    <row r="61" ht="15" customFormat="1" customHeight="1" s="146">
      <c r="Q61" s="149" t="n"/>
      <c r="R61" s="149" t="n"/>
      <c r="S61" s="149" t="n"/>
      <c r="T61" s="147" t="n"/>
      <c r="U61" s="147" t="n"/>
      <c r="V61" s="147" t="n"/>
      <c r="W61" s="147" t="n"/>
      <c r="X61" s="147" t="n"/>
    </row>
    <row r="62" ht="15" customHeight="1">
      <c r="Q62" s="149" t="n"/>
      <c r="R62" s="149" t="n"/>
      <c r="S62" s="149" t="n"/>
    </row>
    <row r="63" ht="15" customHeight="1">
      <c r="Q63" s="149" t="n"/>
      <c r="R63" s="149" t="n"/>
      <c r="S63" s="149" t="n"/>
    </row>
    <row r="64" ht="15" customHeight="1">
      <c r="Q64" s="149" t="n"/>
      <c r="R64" s="149" t="n"/>
      <c r="S64" s="149" t="n"/>
    </row>
    <row r="65" ht="15" customHeight="1">
      <c r="Q65" s="149" t="n"/>
      <c r="R65" s="149" t="n"/>
      <c r="S65" s="149" t="n"/>
    </row>
    <row r="66" ht="15" customHeight="1">
      <c r="Q66" s="146" t="n"/>
      <c r="R66" s="146" t="n"/>
      <c r="S66" s="146" t="n"/>
    </row>
    <row r="67" ht="15" customHeight="1"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O67" s="147" t="n"/>
      <c r="Q67" s="146" t="n"/>
      <c r="R67" s="146" t="n"/>
      <c r="S67" s="146" t="n"/>
    </row>
    <row r="68" ht="15" customHeight="1">
      <c r="B68" s="149" t="n"/>
      <c r="C68" s="181" t="n"/>
      <c r="D68" s="182" t="n"/>
      <c r="E68" s="182" t="n"/>
      <c r="F68" s="182" t="n"/>
      <c r="G68" s="182" t="n"/>
      <c r="H68" s="182" t="n"/>
      <c r="I68" s="182" t="n"/>
      <c r="J68" s="182" t="n"/>
      <c r="K68" s="149" t="n"/>
      <c r="L68" s="183" t="n"/>
      <c r="M68" s="182" t="n"/>
      <c r="N68" s="182" t="n"/>
      <c r="O68" s="182" t="n"/>
      <c r="P68" s="182" t="n"/>
      <c r="Q68" s="146" t="n"/>
      <c r="R68" s="146" t="n"/>
      <c r="S68" s="146" t="n"/>
    </row>
    <row r="69" ht="15" customHeight="1">
      <c r="B69" s="149" t="n"/>
      <c r="C69" s="180" t="n"/>
      <c r="D69" s="180" t="n"/>
      <c r="E69" s="180" t="n"/>
      <c r="F69" s="180" t="n"/>
      <c r="G69" s="180" t="n"/>
      <c r="H69" s="184" t="n"/>
      <c r="I69" s="180" t="n"/>
      <c r="J69" s="180" t="n"/>
      <c r="K69" s="149" t="n"/>
      <c r="L69" s="183" t="n"/>
      <c r="M69" s="182" t="n"/>
      <c r="O69" s="182" t="n"/>
      <c r="P69" s="182" t="n"/>
      <c r="Q69" s="146" t="n"/>
      <c r="R69" s="146" t="n"/>
      <c r="S69" s="146" t="n"/>
    </row>
    <row r="70" ht="15" customHeight="1">
      <c r="B70" s="149" t="n"/>
      <c r="C70" s="180" t="n"/>
      <c r="D70" s="180" t="n"/>
      <c r="E70" s="180" t="n"/>
      <c r="F70" s="180" t="n"/>
      <c r="G70" s="180" t="n"/>
      <c r="H70" s="638" t="n"/>
      <c r="I70" s="180" t="n"/>
      <c r="J70" s="149" t="n"/>
      <c r="K70" s="149" t="n"/>
      <c r="L70" s="149" t="n"/>
      <c r="M70" s="149" t="n"/>
      <c r="N70" s="149" t="n"/>
      <c r="O70" s="149" t="n"/>
      <c r="P70" s="149" t="n"/>
      <c r="Q70" s="146" t="n"/>
      <c r="R70" s="146" t="n"/>
      <c r="S70" s="146" t="n"/>
    </row>
    <row r="71" ht="15" customHeight="1">
      <c r="B71" s="149" t="n"/>
      <c r="C71" s="180" t="n"/>
      <c r="D71" s="180" t="n"/>
      <c r="E71" s="180" t="n"/>
      <c r="F71" s="180" t="n"/>
      <c r="G71" s="180" t="n"/>
      <c r="H71" s="638" t="n"/>
      <c r="I71" s="180" t="n"/>
      <c r="J71" s="149" t="n"/>
      <c r="K71" s="149" t="n"/>
      <c r="L71" s="149" t="n"/>
      <c r="M71" s="149" t="n"/>
      <c r="N71" s="149" t="n"/>
      <c r="O71" s="149" t="n"/>
      <c r="P71" s="149" t="n"/>
      <c r="Q71" s="146" t="n"/>
      <c r="R71" s="146" t="n"/>
      <c r="S71" s="146" t="n"/>
    </row>
    <row r="72" ht="15" customHeight="1">
      <c r="B72" s="146" t="n"/>
      <c r="C72" s="180" t="n"/>
      <c r="D72" s="180" t="n"/>
      <c r="E72" s="180" t="n"/>
      <c r="F72" s="180" t="n"/>
      <c r="G72" s="180" t="n"/>
      <c r="H72" s="638" t="n"/>
      <c r="I72" s="180" t="n"/>
      <c r="J72" s="149" t="n"/>
      <c r="K72" s="149" t="n"/>
      <c r="L72" s="149" t="n"/>
      <c r="M72" s="149" t="n"/>
      <c r="N72" s="149" t="n"/>
      <c r="O72" s="149" t="n"/>
      <c r="P72" s="149" t="n"/>
      <c r="Q72" s="146" t="n"/>
      <c r="R72" s="146" t="n"/>
      <c r="S72" s="146" t="n"/>
    </row>
    <row r="73" ht="15" customHeight="1">
      <c r="B73" s="149" t="n"/>
      <c r="C73" s="180" t="n"/>
      <c r="D73" s="180" t="n"/>
      <c r="E73" s="180" t="n"/>
      <c r="F73" s="180" t="n"/>
      <c r="G73" s="180" t="n"/>
      <c r="H73" s="185" t="n"/>
      <c r="I73" s="180" t="n"/>
      <c r="J73" s="149" t="n"/>
      <c r="K73" s="149" t="n"/>
      <c r="L73" s="149" t="n"/>
      <c r="M73" s="149" t="n"/>
      <c r="N73" s="149" t="n"/>
      <c r="O73" s="149" t="n"/>
      <c r="P73" s="149" t="n"/>
      <c r="Q73" s="146" t="n"/>
      <c r="R73" s="146" t="n"/>
      <c r="S73" s="146" t="n"/>
    </row>
    <row r="74" ht="15" customHeight="1">
      <c r="B74" s="149" t="n"/>
      <c r="C74" s="180" t="n"/>
      <c r="D74" s="180" t="n"/>
      <c r="E74" s="180" t="n"/>
      <c r="F74" s="180" t="n"/>
      <c r="G74" s="180" t="n"/>
      <c r="H74" s="180" t="n"/>
      <c r="I74" s="180" t="n"/>
      <c r="J74" s="149" t="n"/>
      <c r="K74" s="149" t="n"/>
      <c r="L74" s="149" t="n"/>
      <c r="M74" s="149" t="n"/>
      <c r="N74" s="149" t="n"/>
      <c r="O74" s="149" t="n"/>
      <c r="P74" s="149" t="n"/>
      <c r="Q74" s="146" t="n"/>
      <c r="R74" s="146" t="n"/>
      <c r="S74" s="146" t="n"/>
    </row>
    <row r="75" ht="15" customHeight="1">
      <c r="B75" s="149" t="n"/>
      <c r="C75" s="180" t="n"/>
      <c r="D75" s="180" t="n"/>
      <c r="E75" s="180" t="n"/>
      <c r="F75" s="180" t="n"/>
      <c r="G75" s="180" t="n"/>
      <c r="H75" s="180" t="n"/>
      <c r="I75" s="186" t="n"/>
      <c r="J75" s="149" t="n"/>
      <c r="K75" s="149" t="n"/>
      <c r="L75" s="149" t="n"/>
      <c r="M75" s="149" t="n"/>
      <c r="N75" s="149" t="n"/>
      <c r="O75" s="149" t="n"/>
      <c r="P75" s="149" t="n"/>
      <c r="Q75" s="146" t="n"/>
      <c r="R75" s="146" t="n"/>
      <c r="S75" s="146" t="n"/>
    </row>
    <row r="76" ht="15" customHeight="1">
      <c r="B76" s="149" t="n"/>
      <c r="C76" s="180" t="n"/>
      <c r="D76" s="180" t="n"/>
      <c r="E76" s="180" t="n"/>
      <c r="F76" s="180" t="n"/>
      <c r="G76" s="180" t="n"/>
      <c r="H76" s="180" t="n"/>
      <c r="I76" s="639" t="n"/>
      <c r="J76" s="149" t="n"/>
      <c r="K76" s="149" t="n"/>
      <c r="L76" s="149" t="n"/>
      <c r="M76" s="149" t="n"/>
      <c r="N76" s="149" t="n"/>
      <c r="O76" s="149" t="n"/>
      <c r="P76" s="149" t="n"/>
      <c r="Q76" s="639" t="n"/>
      <c r="R76" s="640" t="n"/>
      <c r="S76" s="146" t="n"/>
    </row>
    <row r="77" ht="15" customHeight="1">
      <c r="B77" s="146" t="n"/>
      <c r="C77" s="180" t="n"/>
      <c r="D77" s="180" t="n"/>
      <c r="E77" s="180" t="n"/>
      <c r="F77" s="180" t="n"/>
      <c r="G77" s="180" t="n"/>
      <c r="H77" s="180" t="n"/>
      <c r="I77" s="639" t="n"/>
      <c r="J77" s="146" t="n"/>
      <c r="K77" s="146" t="n"/>
      <c r="L77" s="146" t="n"/>
      <c r="M77" s="146" t="n"/>
      <c r="N77" s="146" t="n"/>
      <c r="O77" s="146" t="n"/>
      <c r="P77" s="146" t="n"/>
      <c r="Q77" s="191" t="n"/>
      <c r="R77" s="191" t="n"/>
      <c r="S77" s="146" t="n"/>
    </row>
    <row r="78" ht="15" customHeight="1">
      <c r="B78" s="146" t="n"/>
      <c r="C78" s="180" t="n"/>
      <c r="D78" s="180" t="n"/>
      <c r="E78" s="180" t="n"/>
      <c r="F78" s="180" t="n"/>
      <c r="G78" s="180" t="n"/>
      <c r="H78" s="180" t="n"/>
      <c r="I78" s="639" t="n"/>
      <c r="J78" s="146" t="n"/>
      <c r="K78" s="146" t="n"/>
      <c r="L78" s="146" t="n"/>
      <c r="M78" s="146" t="n"/>
      <c r="N78" s="146" t="n"/>
      <c r="O78" s="146" t="n"/>
      <c r="P78" s="146" t="n"/>
      <c r="Q78" s="193" t="n"/>
      <c r="R78" s="193" t="n"/>
      <c r="S78" s="192" t="n"/>
      <c r="T78" s="192" t="n"/>
      <c r="U78" s="192" t="n"/>
      <c r="V78" s="192" t="n"/>
      <c r="W78" s="192" t="n"/>
      <c r="X78" s="192" t="n"/>
    </row>
    <row r="79" ht="15" customHeight="1">
      <c r="B79" s="146" t="n"/>
      <c r="C79" s="180" t="n"/>
      <c r="D79" s="180" t="n"/>
      <c r="E79" s="180" t="n"/>
      <c r="F79" s="180" t="n"/>
      <c r="G79" s="180" t="n"/>
      <c r="H79" s="180" t="n"/>
      <c r="I79" s="639" t="n"/>
      <c r="J79" s="146" t="n"/>
      <c r="K79" s="146" t="n"/>
      <c r="L79" s="146" t="n"/>
      <c r="M79" s="146" t="n"/>
      <c r="N79" s="146" t="n"/>
      <c r="O79" s="146" t="n"/>
      <c r="P79" s="146" t="n"/>
      <c r="Q79" s="641" t="n"/>
      <c r="R79" s="192" t="n"/>
      <c r="S79" s="192" t="n"/>
      <c r="T79" s="192" t="n"/>
      <c r="U79" s="192" t="n"/>
      <c r="V79" s="192" t="n"/>
      <c r="W79" s="192" t="n"/>
      <c r="X79" s="192" t="n"/>
    </row>
    <row r="80" ht="15" customHeight="1">
      <c r="B80" s="146" t="n"/>
      <c r="C80" s="180" t="n"/>
      <c r="D80" s="180" t="n"/>
      <c r="E80" s="180" t="n"/>
      <c r="F80" s="180" t="n"/>
      <c r="G80" s="180" t="n"/>
      <c r="H80" s="180" t="n"/>
      <c r="I80" s="639" t="n"/>
      <c r="J80" s="146" t="n"/>
      <c r="K80" s="146" t="n"/>
      <c r="L80" s="146" t="n"/>
      <c r="M80" s="146" t="n"/>
      <c r="N80" s="146" t="n"/>
      <c r="O80" s="146" t="n"/>
      <c r="P80" s="146" t="n"/>
      <c r="Q80" s="641" t="n"/>
      <c r="R80" s="192" t="n"/>
      <c r="S80" s="192" t="n"/>
      <c r="T80" s="192" t="n"/>
      <c r="U80" s="192" t="n"/>
      <c r="V80" s="192" t="n"/>
      <c r="W80" s="192" t="n"/>
      <c r="X80" s="192" t="n"/>
    </row>
    <row r="81" ht="15" customHeight="1">
      <c r="B81" s="146" t="n"/>
      <c r="C81" s="180" t="n"/>
      <c r="D81" s="180" t="n"/>
      <c r="E81" s="180" t="n"/>
      <c r="F81" s="180" t="n"/>
      <c r="G81" s="639" t="n"/>
      <c r="H81" s="180" t="n"/>
      <c r="I81" s="180" t="n"/>
      <c r="J81" s="146" t="n"/>
      <c r="K81" s="146" t="n"/>
      <c r="L81" s="146" t="n"/>
      <c r="M81" s="146" t="n"/>
      <c r="N81" s="146" t="n"/>
      <c r="O81" s="146" t="n"/>
      <c r="P81" s="146" t="n"/>
      <c r="Q81" s="641" t="n"/>
      <c r="R81" s="192" t="n"/>
      <c r="S81" s="192" t="n"/>
      <c r="T81" s="192" t="n"/>
      <c r="U81" s="192" t="n"/>
      <c r="V81" s="192" t="n"/>
      <c r="W81" s="192" t="n"/>
      <c r="X81" s="192" t="n"/>
    </row>
    <row r="82" ht="15" customHeight="1">
      <c r="B82" s="146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46" t="n"/>
      <c r="M82" s="146" t="n"/>
      <c r="N82" s="146" t="n"/>
      <c r="O82" s="146" t="n"/>
      <c r="P82" s="146" t="n"/>
      <c r="Q82" s="641" t="n"/>
      <c r="R82" s="192" t="n"/>
      <c r="S82" s="192" t="n"/>
      <c r="T82" s="192" t="n"/>
      <c r="U82" s="192" t="n"/>
      <c r="V82" s="192" t="n"/>
      <c r="W82" s="192" t="n"/>
      <c r="X82" s="192" t="n"/>
    </row>
    <row r="83" ht="15" customHeight="1">
      <c r="B83" s="146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46" t="n"/>
      <c r="M83" s="146" t="n"/>
      <c r="N83" s="146" t="n"/>
      <c r="O83" s="146" t="n"/>
      <c r="P83" s="146" t="n"/>
      <c r="Q83" s="458" t="n"/>
      <c r="R83" s="458" t="n"/>
      <c r="S83" s="458" t="n"/>
      <c r="T83" s="458" t="n"/>
      <c r="U83" s="458" t="n"/>
      <c r="V83" s="458" t="n"/>
      <c r="W83" s="458" t="n"/>
      <c r="X83" s="458" t="n"/>
    </row>
    <row r="84" ht="15" customHeight="1">
      <c r="B84" s="146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46" t="n"/>
      <c r="M84" s="146" t="n"/>
      <c r="N84" s="146" t="n"/>
      <c r="O84" s="146" t="n"/>
      <c r="P84" s="146" t="n"/>
      <c r="Q84" s="458" t="n"/>
      <c r="R84" s="458" t="n"/>
      <c r="S84" s="458" t="n"/>
      <c r="T84" s="458" t="n"/>
      <c r="U84" s="458" t="n"/>
      <c r="V84" s="458" t="inlineStr">
        <is>
          <t>Low</t>
        </is>
      </c>
      <c r="W84" s="458" t="inlineStr">
        <is>
          <t>Delta</t>
        </is>
      </c>
      <c r="X84" s="458" t="inlineStr">
        <is>
          <t>High</t>
        </is>
      </c>
    </row>
    <row r="85" ht="15" customHeight="1">
      <c r="B85" s="146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46" t="n"/>
      <c r="M85" s="146" t="n"/>
      <c r="N85" s="146" t="n"/>
      <c r="O85" s="146" t="n"/>
      <c r="P85" s="146" t="n"/>
      <c r="Q85" s="458" t="n"/>
      <c r="R85" s="458" t="n"/>
      <c r="S85" s="458" t="inlineStr">
        <is>
          <t>52-Week Trading Range</t>
        </is>
      </c>
      <c r="T85" s="458" t="n"/>
      <c r="U85" s="458" t="n"/>
      <c r="V85" s="458">
        <f>T6</f>
        <v/>
      </c>
      <c r="W85" s="458">
        <f>U6</f>
        <v/>
      </c>
      <c r="X85" s="458">
        <f>V6</f>
        <v/>
      </c>
    </row>
    <row r="86" ht="15" customHeight="1">
      <c r="B86" s="146" t="n"/>
      <c r="C86" s="146" t="n"/>
      <c r="D86" s="146" t="n"/>
      <c r="E86" s="146" t="n"/>
      <c r="F86" s="146" t="n"/>
      <c r="G86" s="146" t="n"/>
      <c r="H86" s="146" t="n"/>
      <c r="I86" s="146" t="n"/>
      <c r="J86" s="146" t="n"/>
      <c r="K86" s="146" t="n"/>
      <c r="L86" s="146" t="n"/>
      <c r="M86" s="146" t="n"/>
      <c r="N86" s="146" t="n"/>
      <c r="O86" s="146" t="n"/>
      <c r="P86" s="146" t="n"/>
      <c r="Q86" s="458" t="n"/>
      <c r="R86" s="458" t="n"/>
      <c r="S86" s="458" t="inlineStr">
        <is>
          <t>Consensus Research</t>
        </is>
      </c>
      <c r="T86" s="458" t="n"/>
      <c r="U86" s="458" t="n"/>
      <c r="V86" s="458">
        <f>T7</f>
        <v/>
      </c>
      <c r="W86" s="458">
        <f>U7</f>
        <v/>
      </c>
      <c r="X86" s="458">
        <f>V7</f>
        <v/>
      </c>
    </row>
    <row r="87" ht="15" customHeight="1">
      <c r="B87" s="146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0" t="n"/>
      <c r="P87" s="180" t="n"/>
      <c r="Q87" s="458" t="n"/>
      <c r="R87" s="458" t="n"/>
      <c r="S87" s="458" t="inlineStr">
        <is>
          <t>Precedent Trans.</t>
        </is>
      </c>
      <c r="T87" s="458" t="n"/>
      <c r="U87" s="458" t="n"/>
      <c r="V87" s="458">
        <f>T8</f>
        <v/>
      </c>
      <c r="W87" s="458">
        <f>U8</f>
        <v/>
      </c>
      <c r="X87" s="458">
        <f>V8</f>
        <v/>
      </c>
    </row>
    <row r="88" ht="15" customHeight="1">
      <c r="B88" s="146" t="n"/>
      <c r="C88" s="189" t="n"/>
      <c r="D88" s="190" t="n"/>
      <c r="E88" s="190" t="n"/>
      <c r="F88" s="191" t="n"/>
      <c r="G88" s="191" t="n"/>
      <c r="H88" s="191" t="n"/>
      <c r="I88" s="191" t="n"/>
      <c r="J88" s="191" t="n"/>
      <c r="K88" s="180" t="n"/>
      <c r="L88" s="189" t="n"/>
      <c r="M88" s="190" t="n"/>
      <c r="N88" s="190" t="n"/>
      <c r="O88" s="191" t="n"/>
      <c r="P88" s="191" t="n"/>
      <c r="Q88" s="458" t="n"/>
      <c r="R88" s="458" t="n"/>
      <c r="S88" s="458" t="inlineStr">
        <is>
          <t>Sum-of-the-Parts</t>
        </is>
      </c>
      <c r="T88" s="458" t="n"/>
      <c r="U88" s="458" t="n"/>
      <c r="V88" s="458">
        <f>T9</f>
        <v/>
      </c>
      <c r="W88" s="458">
        <f>U9</f>
        <v/>
      </c>
      <c r="X88" s="458">
        <f>V9</f>
        <v/>
      </c>
    </row>
    <row r="89" ht="15" customHeight="1">
      <c r="A89" s="192" t="n"/>
      <c r="B89" s="192" t="n"/>
      <c r="C89" s="193" t="n"/>
      <c r="D89" s="193" t="n"/>
      <c r="E89" s="193" t="n"/>
      <c r="F89" s="193" t="n"/>
      <c r="G89" s="193" t="n"/>
      <c r="H89" s="193" t="n"/>
      <c r="I89" s="193" t="n"/>
      <c r="J89" s="193" t="n"/>
      <c r="K89" s="192" t="n"/>
      <c r="L89" s="193" t="n"/>
      <c r="M89" s="193" t="n"/>
      <c r="N89" s="193" t="n"/>
      <c r="O89" s="193" t="n"/>
      <c r="P89" s="193" t="n"/>
      <c r="Q89" s="458" t="n"/>
      <c r="R89" s="458" t="n"/>
      <c r="S89" s="458" t="inlineStr">
        <is>
          <t>Discounted Cash Flow</t>
        </is>
      </c>
      <c r="T89" s="458" t="n"/>
      <c r="U89" s="458" t="n"/>
      <c r="V89" s="458">
        <f>T10</f>
        <v/>
      </c>
      <c r="W89" s="458">
        <f>U10</f>
        <v/>
      </c>
      <c r="X89" s="458">
        <f>V10</f>
        <v/>
      </c>
      <c r="Y89" s="192" t="n"/>
      <c r="Z89" s="192" t="n"/>
      <c r="AA89" s="192" t="n"/>
      <c r="AB89" s="192" t="n"/>
      <c r="AC89" s="192" t="n"/>
    </row>
    <row r="90" ht="15" customHeight="1">
      <c r="A90" s="192" t="n"/>
      <c r="B90" s="192" t="n"/>
      <c r="C90" s="192" t="n"/>
      <c r="D90" s="192" t="n"/>
      <c r="E90" s="192" t="n"/>
      <c r="F90" s="192" t="n"/>
      <c r="G90" s="192" t="n"/>
      <c r="H90" s="192" t="n"/>
      <c r="I90" s="192" t="n"/>
      <c r="J90" s="192" t="n"/>
      <c r="K90" s="192" t="n"/>
      <c r="L90" s="193" t="n"/>
      <c r="M90" s="193" t="n"/>
      <c r="N90" s="193" t="n"/>
      <c r="O90" s="193" t="n"/>
      <c r="P90" s="193" t="n"/>
      <c r="Q90" s="458" t="n"/>
      <c r="R90" s="458" t="n"/>
      <c r="S90" s="458" t="n"/>
      <c r="T90" s="458" t="n"/>
      <c r="U90" s="458" t="n"/>
      <c r="V90" s="458" t="n"/>
      <c r="W90" s="458" t="n"/>
      <c r="X90" s="458" t="n"/>
      <c r="Y90" s="192" t="n"/>
      <c r="Z90" s="192" t="n"/>
      <c r="AA90" s="192" t="n"/>
      <c r="AB90" s="192" t="n"/>
      <c r="AC90" s="192" t="n"/>
    </row>
    <row r="91" ht="15" customHeight="1">
      <c r="A91" s="192" t="n"/>
      <c r="B91" s="192" t="n"/>
      <c r="C91" s="192" t="n"/>
      <c r="D91" s="192" t="n"/>
      <c r="E91" s="192" t="n"/>
      <c r="F91" s="192" t="n"/>
      <c r="G91" s="192" t="n"/>
      <c r="H91" s="192" t="n"/>
      <c r="I91" s="192" t="n"/>
      <c r="J91" s="192" t="n"/>
      <c r="K91" s="192" t="n"/>
      <c r="L91" s="193" t="n"/>
      <c r="M91" s="193" t="n"/>
      <c r="N91" s="193" t="n"/>
      <c r="O91" s="193" t="n"/>
      <c r="P91" s="193" t="n"/>
      <c r="Q91" s="458" t="n"/>
      <c r="R91" s="458" t="n"/>
      <c r="S91" s="458" t="n"/>
      <c r="T91" s="458" t="n"/>
      <c r="U91" s="458" t="n"/>
      <c r="V91" s="458" t="n"/>
      <c r="W91" s="458" t="n"/>
      <c r="X91" s="458" t="n"/>
      <c r="Y91" s="192" t="n"/>
      <c r="Z91" s="192" t="n"/>
      <c r="AA91" s="192" t="n"/>
      <c r="AB91" s="192" t="n"/>
      <c r="AC91" s="192" t="n"/>
    </row>
    <row r="92" ht="15" customHeight="1">
      <c r="A92" s="192" t="n"/>
      <c r="B92" s="192" t="n"/>
      <c r="C92" s="192" t="n"/>
      <c r="D92" s="192" t="n"/>
      <c r="E92" s="192" t="n"/>
      <c r="F92" s="192" t="n"/>
      <c r="G92" s="192" t="n"/>
      <c r="H92" s="192" t="n"/>
      <c r="I92" s="192" t="n"/>
      <c r="J92" s="192" t="n"/>
      <c r="K92" s="192" t="n"/>
      <c r="L92" s="193" t="n"/>
      <c r="M92" s="193" t="n"/>
      <c r="N92" s="193" t="n"/>
      <c r="O92" s="193" t="n"/>
      <c r="P92" s="193" t="n"/>
      <c r="Q92" s="458">
        <f>K103</f>
        <v/>
      </c>
      <c r="R92" s="458">
        <f>L103</f>
        <v/>
      </c>
      <c r="S92" s="458">
        <f>M103</f>
        <v/>
      </c>
      <c r="T92" s="458">
        <f>N103</f>
        <v/>
      </c>
      <c r="U92" s="458" t="n"/>
      <c r="V92" s="458" t="n"/>
      <c r="W92" s="458" t="n"/>
      <c r="X92" s="458" t="n"/>
      <c r="Y92" s="192" t="n"/>
      <c r="Z92" s="192" t="n"/>
      <c r="AA92" s="192" t="n"/>
      <c r="AB92" s="192" t="n"/>
      <c r="AC92" s="192" t="n"/>
    </row>
    <row r="93" ht="15" customHeight="1">
      <c r="A93" s="192" t="n"/>
      <c r="B93" s="192" t="n"/>
      <c r="C93" s="192" t="n"/>
      <c r="D93" s="192" t="n"/>
      <c r="E93" s="192" t="n"/>
      <c r="F93" s="192" t="n"/>
      <c r="G93" s="192" t="n"/>
      <c r="H93" s="192" t="n"/>
      <c r="I93" s="192" t="n"/>
      <c r="J93" s="192" t="n"/>
      <c r="K93" s="192" t="n"/>
      <c r="L93" s="193" t="n"/>
      <c r="M93" s="193" t="n"/>
      <c r="N93" s="193" t="n"/>
      <c r="O93" s="193" t="n"/>
      <c r="P93" s="193" t="n"/>
      <c r="Q93" s="458">
        <f>IF(INPUT!E9="",NA(),INPUT!E30/1000)</f>
        <v/>
      </c>
      <c r="R93" s="458">
        <f>IF(INPUT!F9="",NA(),INPUT!F30/1000)</f>
        <v/>
      </c>
      <c r="S93" s="458">
        <f>IF(INPUT!G9="",NA(),INPUT!G30/1000)</f>
        <v/>
      </c>
      <c r="T93" s="458">
        <f>IF(INPUT!H9="",NA(),INPUT!H30/1000)</f>
        <v/>
      </c>
      <c r="U93" s="458" t="n"/>
      <c r="V93" s="458" t="n"/>
      <c r="W93" s="458" t="n"/>
      <c r="X93" s="458" t="n"/>
      <c r="Y93" s="192" t="n"/>
      <c r="Z93" s="192" t="n"/>
      <c r="AA93" s="192" t="n"/>
      <c r="AB93" s="192" t="n"/>
      <c r="AC93" s="192" t="n"/>
    </row>
    <row r="94" ht="15" customFormat="1" customHeight="1" s="459">
      <c r="A94" s="458" t="n"/>
      <c r="B94" s="458" t="n"/>
      <c r="C94" s="458" t="n"/>
      <c r="D94" s="458" t="n"/>
      <c r="E94" s="458" t="n"/>
      <c r="F94" s="458" t="n"/>
      <c r="G94" s="458" t="n"/>
      <c r="H94" s="458" t="n"/>
      <c r="I94" s="458" t="n"/>
      <c r="J94" s="458" t="n"/>
      <c r="K94" s="458" t="n"/>
      <c r="L94" s="458" t="n"/>
      <c r="M94" s="458" t="n"/>
      <c r="N94" s="458" t="n"/>
      <c r="O94" s="458" t="n"/>
      <c r="P94" s="458" t="n"/>
      <c r="Q94" s="458">
        <f>IF(INPUT!E9="",NA(),INPUT!E75/1000)</f>
        <v/>
      </c>
      <c r="R94" s="458">
        <f>IF(INPUT!F9="",NA(),INPUT!F75/1000)</f>
        <v/>
      </c>
      <c r="S94" s="458">
        <f>IF(INPUT!G9="",NA(),INPUT!G75/1000)</f>
        <v/>
      </c>
      <c r="T94" s="458">
        <f>IF(INPUT!H9="",NA(),INPUT!H75/1000)</f>
        <v/>
      </c>
      <c r="U94" s="458" t="n"/>
      <c r="V94" s="458" t="n"/>
      <c r="W94" s="458" t="n"/>
      <c r="X94" s="458" t="n"/>
      <c r="Y94" s="458" t="n"/>
      <c r="Z94" s="458" t="n"/>
      <c r="AA94" s="458" t="n"/>
      <c r="AB94" s="458" t="n"/>
      <c r="AC94" s="458" t="n"/>
    </row>
    <row r="95" ht="15" customFormat="1" customHeight="1" s="459">
      <c r="A95" s="458" t="n"/>
      <c r="B95" s="458" t="n"/>
      <c r="C95" s="458" t="n"/>
      <c r="D95" s="458" t="n"/>
      <c r="E95" s="458" t="n"/>
      <c r="F95" s="458" t="n"/>
      <c r="G95" s="458" t="n"/>
      <c r="H95" s="458" t="n"/>
      <c r="I95" s="458" t="n"/>
      <c r="J95" s="458" t="n"/>
      <c r="K95" s="458" t="n"/>
      <c r="L95" s="458" t="n"/>
      <c r="M95" s="458" t="n"/>
      <c r="N95" s="458" t="n"/>
      <c r="O95" s="458" t="n"/>
      <c r="P95" s="458" t="n"/>
      <c r="Q95" s="458">
        <f>IF(INPUT!E9="",NA(),INPUT!E26/1000)</f>
        <v/>
      </c>
      <c r="R95" s="463" t="n"/>
      <c r="S95" s="463" t="n">
        <v>2022</v>
      </c>
      <c r="T95" s="463" t="n">
        <v>2023</v>
      </c>
      <c r="U95" s="463" t="n">
        <v>2024</v>
      </c>
      <c r="V95" s="463" t="inlineStr">
        <is>
          <t>2025 (LTM)</t>
        </is>
      </c>
      <c r="W95" s="458" t="n"/>
      <c r="X95" s="458" t="n"/>
      <c r="Y95" s="458" t="n"/>
      <c r="Z95" s="458" t="n"/>
      <c r="AA95" s="458" t="n"/>
      <c r="AB95" s="458" t="n"/>
      <c r="AC95" s="458" t="n"/>
    </row>
    <row r="96" ht="15" customFormat="1" customHeight="1" s="459">
      <c r="A96" s="458" t="n"/>
      <c r="B96" s="458" t="n"/>
      <c r="C96" s="458" t="n"/>
      <c r="D96" s="458" t="n"/>
      <c r="E96" s="458" t="n"/>
      <c r="F96" s="458" t="n"/>
      <c r="G96" s="458" t="n"/>
      <c r="H96" s="458" t="n"/>
      <c r="I96" s="458" t="n"/>
      <c r="J96" s="458" t="n"/>
      <c r="K96" s="458" t="n"/>
      <c r="L96" s="458" t="n"/>
      <c r="M96" s="458" t="n"/>
      <c r="N96" s="458" t="n"/>
      <c r="O96" s="458" t="n"/>
      <c r="P96" s="458" t="n"/>
      <c r="Q96" s="461" t="n"/>
      <c r="R96" s="463" t="inlineStr">
        <is>
          <t>EBITDA</t>
        </is>
      </c>
      <c r="S96" s="463">
        <f>U29</f>
        <v/>
      </c>
      <c r="T96" s="463">
        <f>V29</f>
        <v/>
      </c>
      <c r="U96" s="463">
        <f>W29</f>
        <v/>
      </c>
      <c r="V96" s="463">
        <f>X29</f>
        <v/>
      </c>
      <c r="Y96" s="458" t="n"/>
      <c r="Z96" s="458" t="n"/>
      <c r="AA96" s="458" t="n"/>
      <c r="AB96" s="458" t="n"/>
      <c r="AC96" s="458" t="n"/>
    </row>
    <row r="97" ht="15" customFormat="1" customHeight="1" s="459">
      <c r="A97" s="458" t="n"/>
      <c r="B97" s="458" t="n"/>
      <c r="C97" s="458" t="n"/>
      <c r="D97" s="458" t="n"/>
      <c r="E97" s="458" t="n"/>
      <c r="F97" s="458" t="n"/>
      <c r="G97" s="458" t="n"/>
      <c r="H97" s="458" t="n"/>
      <c r="I97" s="458" t="n"/>
      <c r="J97" s="458" t="n"/>
      <c r="K97" s="458" t="n"/>
      <c r="L97" s="458" t="n"/>
      <c r="M97" s="458" t="n"/>
      <c r="N97" s="458" t="n"/>
      <c r="O97" s="458" t="n"/>
      <c r="P97" s="458" t="n"/>
      <c r="R97" s="463" t="inlineStr">
        <is>
          <t>CFO</t>
        </is>
      </c>
      <c r="S97" s="463">
        <f>U30</f>
        <v/>
      </c>
      <c r="T97" s="463">
        <f>V30</f>
        <v/>
      </c>
      <c r="U97" s="463">
        <f>W30</f>
        <v/>
      </c>
      <c r="V97" s="463">
        <f>X30</f>
        <v/>
      </c>
      <c r="Y97" s="458" t="n"/>
      <c r="Z97" s="458" t="n"/>
      <c r="AA97" s="458" t="n"/>
      <c r="AB97" s="458" t="n"/>
      <c r="AC97" s="458" t="n"/>
    </row>
    <row r="98" ht="15" customFormat="1" customHeight="1" s="459">
      <c r="A98" s="458" t="n"/>
      <c r="B98" s="458" t="n"/>
      <c r="C98" s="458" t="n"/>
      <c r="D98" s="458" t="n"/>
      <c r="E98" s="458" t="n"/>
      <c r="F98" s="458" t="n"/>
      <c r="G98" s="458" t="n"/>
      <c r="H98" s="458" t="n"/>
      <c r="I98" s="458" t="n"/>
      <c r="J98" s="458" t="n"/>
      <c r="K98" s="458" t="n"/>
      <c r="L98" s="458" t="n"/>
      <c r="M98" s="458" t="n"/>
      <c r="N98" s="458" t="n"/>
      <c r="O98" s="458" t="n"/>
      <c r="P98" s="458" t="n"/>
      <c r="Q98" s="147" t="n"/>
      <c r="R98" s="463" t="inlineStr">
        <is>
          <t>Net Income</t>
        </is>
      </c>
      <c r="S98" s="463">
        <f>U31</f>
        <v/>
      </c>
      <c r="T98" s="463">
        <f>V31</f>
        <v/>
      </c>
      <c r="U98" s="463">
        <f>W31</f>
        <v/>
      </c>
      <c r="V98" s="463">
        <f>X31</f>
        <v/>
      </c>
      <c r="W98" s="147" t="n"/>
      <c r="X98" s="147" t="n"/>
      <c r="Y98" s="458" t="n"/>
      <c r="Z98" s="458" t="n"/>
      <c r="AA98" s="458" t="n"/>
      <c r="AB98" s="458" t="n"/>
      <c r="AC98" s="458" t="n"/>
    </row>
    <row r="99" ht="15" customFormat="1" customHeight="1" s="459">
      <c r="A99" s="458" t="n"/>
      <c r="B99" s="458" t="n"/>
      <c r="C99" s="458" t="n"/>
      <c r="D99" s="458" t="n"/>
      <c r="E99" s="458" t="n"/>
      <c r="F99" s="458" t="n"/>
      <c r="G99" s="458" t="n"/>
      <c r="H99" s="458" t="n"/>
      <c r="I99" s="458" t="n"/>
      <c r="J99" s="458" t="n"/>
      <c r="K99" s="458" t="n"/>
      <c r="L99" s="458" t="n"/>
      <c r="M99" s="458" t="n"/>
      <c r="N99" s="458" t="n"/>
      <c r="O99" s="458" t="n"/>
      <c r="P99" s="458" t="n"/>
      <c r="Q99" s="147" t="n"/>
      <c r="R99" s="147" t="n"/>
      <c r="S99" s="147" t="n"/>
      <c r="T99" s="147" t="n"/>
      <c r="U99" s="147" t="n"/>
      <c r="V99" s="147" t="n"/>
      <c r="W99" s="147" t="n"/>
      <c r="X99" s="147" t="n"/>
      <c r="Y99" s="458" t="n"/>
      <c r="Z99" s="458" t="n"/>
      <c r="AA99" s="458" t="n"/>
      <c r="AB99" s="458" t="n"/>
      <c r="AC99" s="458" t="n"/>
    </row>
    <row r="100" ht="15" customFormat="1" customHeight="1" s="459">
      <c r="A100" s="458" t="n"/>
      <c r="B100" s="458" t="n"/>
      <c r="C100" s="458" t="n"/>
      <c r="D100" s="458" t="n"/>
      <c r="E100" s="458" t="n"/>
      <c r="F100" s="458" t="n"/>
      <c r="G100" s="458" t="n"/>
      <c r="H100" s="458" t="n"/>
      <c r="I100" s="458" t="n"/>
      <c r="J100" s="458" t="n"/>
      <c r="K100" s="458" t="n"/>
      <c r="L100" s="458" t="n"/>
      <c r="M100" s="458" t="n"/>
      <c r="N100" s="458" t="n"/>
      <c r="O100" s="458" t="n"/>
      <c r="P100" s="458" t="n"/>
      <c r="Q100" s="147" t="n"/>
      <c r="R100" s="147" t="n"/>
      <c r="S100" s="147" t="n"/>
      <c r="T100" s="147" t="n"/>
      <c r="U100" s="147" t="n"/>
      <c r="V100" s="147" t="n"/>
      <c r="W100" s="147" t="n"/>
      <c r="X100" s="147" t="n"/>
      <c r="Y100" s="458" t="n"/>
      <c r="Z100" s="458" t="n"/>
      <c r="AA100" s="458" t="n"/>
      <c r="AB100" s="458" t="n"/>
      <c r="AC100" s="458" t="n"/>
    </row>
    <row r="101" ht="15" customFormat="1" customHeight="1" s="459">
      <c r="A101" s="458" t="n"/>
      <c r="B101" s="458" t="n"/>
      <c r="C101" s="458" t="n"/>
      <c r="D101" s="458" t="n"/>
      <c r="E101" s="458" t="n"/>
      <c r="F101" s="458" t="n"/>
      <c r="G101" s="458" t="n"/>
      <c r="H101" s="458" t="n"/>
      <c r="I101" s="458" t="n"/>
      <c r="J101" s="458" t="n"/>
      <c r="K101" s="458" t="n"/>
      <c r="L101" s="458" t="n"/>
      <c r="M101" s="458" t="n"/>
      <c r="N101" s="458" t="n"/>
      <c r="O101" s="458" t="n"/>
      <c r="P101" s="458" t="n"/>
      <c r="Q101" s="147" t="n"/>
      <c r="R101" s="147" t="n"/>
      <c r="S101" s="147" t="n"/>
      <c r="T101" s="147" t="n"/>
      <c r="U101" s="147" t="n"/>
      <c r="V101" s="147" t="n"/>
      <c r="W101" s="147" t="n"/>
      <c r="X101" s="147" t="n"/>
      <c r="Y101" s="458" t="n"/>
      <c r="Z101" s="458" t="n"/>
      <c r="AA101" s="458" t="n"/>
      <c r="AB101" s="458" t="n"/>
      <c r="AC101" s="458" t="n"/>
    </row>
    <row r="102" ht="15" customFormat="1" customHeight="1" s="459">
      <c r="A102" s="458" t="n"/>
      <c r="B102" s="458" t="n"/>
      <c r="C102" s="458" t="n"/>
      <c r="D102" s="458" t="n"/>
      <c r="E102" s="458" t="n"/>
      <c r="F102" s="458" t="n"/>
      <c r="G102" s="458" t="n"/>
      <c r="H102" s="458" t="n"/>
      <c r="I102" s="458" t="n"/>
      <c r="J102" s="458" t="n"/>
      <c r="K102" s="458" t="n"/>
      <c r="L102" s="458" t="n"/>
      <c r="M102" s="458" t="n"/>
      <c r="N102" s="458" t="n"/>
      <c r="O102" s="458" t="n"/>
      <c r="P102" s="458" t="n"/>
      <c r="Q102" s="147" t="n"/>
      <c r="R102" s="147" t="n"/>
      <c r="S102" s="147" t="n"/>
      <c r="T102" s="147" t="n"/>
      <c r="U102" s="147" t="n"/>
      <c r="V102" s="147" t="n"/>
      <c r="W102" s="147" t="n"/>
      <c r="X102" s="147" t="n"/>
      <c r="Y102" s="458" t="n"/>
      <c r="Z102" s="458" t="n"/>
      <c r="AA102" s="458" t="n"/>
      <c r="AB102" s="458" t="n"/>
      <c r="AC102" s="458" t="n"/>
    </row>
    <row r="103" ht="15" customFormat="1" customHeight="1" s="459">
      <c r="A103" s="458" t="n"/>
      <c r="B103" s="458" t="inlineStr">
        <is>
          <t>Year</t>
        </is>
      </c>
      <c r="C103" s="458">
        <f>IF(INPUT!D9="","",INPUT!D5)</f>
        <v/>
      </c>
      <c r="D103" s="458">
        <f>IF(INPUT!E9="",NA(),'DASHBOARD 2'!U17)</f>
        <v/>
      </c>
      <c r="E103" s="458">
        <f>IF(INPUT!F9="",NA(),'DASHBOARD 2'!V17)</f>
        <v/>
      </c>
      <c r="F103" s="458">
        <f>IF(INPUT!G9="",NA(),'DASHBOARD 2'!W17)</f>
        <v/>
      </c>
      <c r="G103" s="458">
        <f>IF(INPUT!H9="",NA(),'DASHBOARD 2'!X17)</f>
        <v/>
      </c>
      <c r="H103" s="458" t="n"/>
      <c r="I103" s="458" t="inlineStr">
        <is>
          <t>Year</t>
        </is>
      </c>
      <c r="J103" s="458">
        <f>IF(INPUT!D9="","",INPUT!D5)</f>
        <v/>
      </c>
      <c r="K103" s="458">
        <f>IF(INPUT!E9="",NA(),'DASHBOARD 2'!U17)</f>
        <v/>
      </c>
      <c r="L103" s="458">
        <f>IF(INPUT!F9="",NA(),'DASHBOARD 2'!V17)</f>
        <v/>
      </c>
      <c r="M103" s="458">
        <f>IF(INPUT!G9="",NA(),'DASHBOARD 2'!W17)</f>
        <v/>
      </c>
      <c r="N103" s="458">
        <f>IF(INPUT!H9="",NA(),'DASHBOARD 2'!X17)</f>
        <v/>
      </c>
      <c r="O103" s="458" t="n"/>
      <c r="P103" s="458">
        <f>J103</f>
        <v/>
      </c>
      <c r="Q103" s="147" t="n"/>
      <c r="R103" s="147" t="n"/>
      <c r="S103" s="147" t="n"/>
      <c r="T103" s="147" t="n"/>
      <c r="U103" s="147" t="n"/>
      <c r="V103" s="147" t="n"/>
      <c r="W103" s="147" t="n"/>
      <c r="X103" s="147" t="n"/>
      <c r="Y103" s="458" t="n"/>
      <c r="Z103" s="458" t="n"/>
      <c r="AA103" s="458" t="n"/>
      <c r="AB103" s="458" t="n"/>
      <c r="AC103" s="458" t="n"/>
    </row>
    <row r="104" ht="15" customFormat="1" customHeight="1" s="459">
      <c r="A104" s="458" t="n"/>
      <c r="B104" s="458" t="inlineStr">
        <is>
          <t>Revenue Growth (%)</t>
        </is>
      </c>
      <c r="C104" s="458">
        <f>""</f>
        <v/>
      </c>
      <c r="D104" s="458">
        <f>IF(INPUT!E9="",NA(),'DASHBOARD 2'!U19)</f>
        <v/>
      </c>
      <c r="E104" s="458">
        <f>IF(INPUT!F9="",NA(),'DASHBOARD 2'!V19)</f>
        <v/>
      </c>
      <c r="F104" s="458">
        <f>IF(INPUT!G9="",NA(),'DASHBOARD 2'!W19)</f>
        <v/>
      </c>
      <c r="G104" s="458">
        <f>IF(INPUT!H9="",NA(),'DASHBOARD 2'!X19)</f>
        <v/>
      </c>
      <c r="H104" s="458" t="n"/>
      <c r="I104" s="458" t="inlineStr">
        <is>
          <t>EBITDA ($000)</t>
        </is>
      </c>
      <c r="J104" s="458">
        <f>IF(INPUT!D9="","",INPUT!D30)</f>
        <v/>
      </c>
      <c r="K104" s="458">
        <f>IF(INPUT!E9="",NA(),INPUT!E30)</f>
        <v/>
      </c>
      <c r="L104" s="458">
        <f>IF(INPUT!F9="",NA(),INPUT!F30)</f>
        <v/>
      </c>
      <c r="M104" s="458">
        <f>IF(INPUT!G9="",NA(),INPUT!G30)</f>
        <v/>
      </c>
      <c r="N104" s="458">
        <f>IF(INPUT!H9="",NA(),INPUT!H30)</f>
        <v/>
      </c>
      <c r="O104" s="458" t="n"/>
      <c r="P104" s="458">
        <f>IF(INPUT!D9="",NA(),INPUT!D30/1000)</f>
        <v/>
      </c>
      <c r="Q104" s="147" t="n"/>
      <c r="R104" s="147" t="n"/>
      <c r="S104" s="147" t="n"/>
      <c r="T104" s="147" t="n"/>
      <c r="U104" s="147" t="n"/>
      <c r="V104" s="147" t="n"/>
      <c r="W104" s="147" t="n"/>
      <c r="X104" s="147" t="n"/>
      <c r="Y104" s="458" t="n"/>
      <c r="Z104" s="458" t="n"/>
      <c r="AA104" s="458" t="n"/>
      <c r="AB104" s="458" t="n"/>
      <c r="AC104" s="458" t="n"/>
    </row>
    <row r="105" ht="15" customFormat="1" customHeight="1" s="459">
      <c r="A105" s="458" t="n"/>
      <c r="B105" s="458" t="inlineStr">
        <is>
          <t>Total Revenue ($000)</t>
        </is>
      </c>
      <c r="C105" s="460">
        <f>IF(INPUT!D9="","",INPUT!D9)</f>
        <v/>
      </c>
      <c r="D105" s="460">
        <f>IF(INPUT!E9="",NA(),INPUT!E9)</f>
        <v/>
      </c>
      <c r="E105" s="460">
        <f>IF(INPUT!F9="",NA(),INPUT!F9)</f>
        <v/>
      </c>
      <c r="F105" s="460">
        <f>IF(INPUT!G9="",NA(),INPUT!G9)</f>
        <v/>
      </c>
      <c r="G105" s="460">
        <f>IF(INPUT!H9="",NA(),INPUT!H9)</f>
        <v/>
      </c>
      <c r="H105" s="460" t="n"/>
      <c r="I105" s="458" t="inlineStr">
        <is>
          <t>CFO ($000)</t>
        </is>
      </c>
      <c r="J105" s="458">
        <f>IF(INPUT!D9="","",INPUT!D75)</f>
        <v/>
      </c>
      <c r="K105" s="458">
        <f>IF(INPUT!E9="",NA(),INPUT!E75)</f>
        <v/>
      </c>
      <c r="L105" s="458">
        <f>IF(INPUT!F9="",NA(),INPUT!F75)</f>
        <v/>
      </c>
      <c r="M105" s="458">
        <f>IF(INPUT!G9="",NA(),INPUT!G75)</f>
        <v/>
      </c>
      <c r="N105" s="458">
        <f>IF(INPUT!H9="",NA(),INPUT!H75)</f>
        <v/>
      </c>
      <c r="O105" s="458" t="n"/>
      <c r="P105" s="458">
        <f>IF(INPUT!D9="",NA(),INPUT!D75/1000)</f>
        <v/>
      </c>
      <c r="Q105" s="147" t="n"/>
      <c r="R105" s="147" t="n"/>
      <c r="S105" s="147" t="n"/>
      <c r="T105" s="147" t="n"/>
      <c r="U105" s="147" t="n"/>
      <c r="V105" s="147" t="n"/>
      <c r="W105" s="147" t="n"/>
      <c r="X105" s="147" t="n"/>
      <c r="Y105" s="458" t="n"/>
      <c r="Z105" s="458" t="n"/>
      <c r="AA105" s="458" t="n"/>
      <c r="AB105" s="458" t="n"/>
      <c r="AC105" s="458" t="n"/>
    </row>
    <row r="106" ht="15" customFormat="1" customHeight="1" s="459">
      <c r="A106" s="458" t="inlineStr">
        <is>
          <t>Revenue</t>
        </is>
      </c>
      <c r="B106" s="458" t="n"/>
      <c r="C106" s="458" t="n"/>
      <c r="D106" s="458" t="n"/>
      <c r="E106" s="458" t="n"/>
      <c r="F106" s="458" t="n"/>
      <c r="G106" s="458" t="n"/>
      <c r="H106" s="458" t="n"/>
      <c r="I106" s="458" t="inlineStr">
        <is>
          <t>Net Income ($000)</t>
        </is>
      </c>
      <c r="J106" s="458">
        <f>IF(INPUT!D9="","",INPUT!D26)</f>
        <v/>
      </c>
      <c r="K106" s="458">
        <f>IF(INPUT!E9="",NA(),INPUT!E26)</f>
        <v/>
      </c>
      <c r="L106" s="458">
        <f>IF(INPUT!F9="",NA(),INPUT!F26)</f>
        <v/>
      </c>
      <c r="M106" s="458">
        <f>IF(INPUT!G9="",NA(),INPUT!G26)</f>
        <v/>
      </c>
      <c r="N106" s="458">
        <f>IF(INPUT!H9="",NA(),INPUT!H26)</f>
        <v/>
      </c>
      <c r="O106" s="458" t="n"/>
      <c r="P106" s="458">
        <f>IF(INPUT!D9="",NA(),INPUT!D26/1000)</f>
        <v/>
      </c>
      <c r="Q106" s="147" t="n"/>
      <c r="R106" s="147" t="n"/>
      <c r="S106" s="147" t="n"/>
      <c r="T106" s="147" t="n"/>
      <c r="U106" s="147" t="n"/>
      <c r="V106" s="147" t="n"/>
      <c r="W106" s="147" t="n"/>
      <c r="X106" s="147" t="n"/>
      <c r="Y106" s="458" t="n"/>
      <c r="Z106" s="458" t="n"/>
      <c r="AA106" s="458" t="n"/>
      <c r="AB106" s="458" t="n"/>
      <c r="AC106" s="458" t="n"/>
    </row>
    <row r="107" ht="15" customFormat="1" customHeight="1" s="459">
      <c r="B107" s="461" t="n"/>
      <c r="C107" s="461" t="n"/>
      <c r="D107" s="461" t="n"/>
      <c r="E107" s="461" t="n"/>
      <c r="F107" s="461" t="n"/>
      <c r="G107" s="461" t="n"/>
      <c r="H107" s="461" t="n"/>
      <c r="I107" s="461" t="n"/>
      <c r="J107" s="461" t="n"/>
      <c r="K107" s="461" t="n"/>
      <c r="L107" s="461" t="n"/>
      <c r="M107" s="461" t="n"/>
      <c r="N107" s="461" t="n"/>
      <c r="O107" s="461" t="n"/>
      <c r="P107" s="461" t="n"/>
      <c r="Q107" s="147" t="n"/>
      <c r="R107" s="147" t="n"/>
      <c r="S107" s="147" t="n"/>
      <c r="T107" s="147" t="n"/>
      <c r="U107" s="147" t="n"/>
      <c r="V107" s="147" t="n"/>
      <c r="W107" s="147" t="n"/>
      <c r="X107" s="147" t="n"/>
    </row>
    <row r="108" ht="15" customFormat="1" customHeight="1" s="459">
      <c r="O108" s="462" t="n"/>
      <c r="Q108" s="147" t="n"/>
      <c r="R108" s="147" t="n"/>
      <c r="S108" s="147" t="n"/>
      <c r="T108" s="147" t="n"/>
      <c r="U108" s="147" t="n"/>
      <c r="V108" s="147" t="n"/>
      <c r="W108" s="147" t="n"/>
      <c r="X108" s="147" t="n"/>
    </row>
  </sheetData>
  <pageMargins left="0.005555555555555556" right="0.005555555555555556" top="0.005555555555555556" bottom="0.005555555555555556" header="0.3" footer="0.3"/>
  <pageSetup orientation="landscape" paperSize="9" fitToHeight="0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E32" sqref="E32"/>
    </sheetView>
  </sheetViews>
  <sheetFormatPr baseColWidth="10" defaultRowHeight="15"/>
  <cols>
    <col width="55.28515625" bestFit="1" customWidth="1" min="1" max="1"/>
    <col width="6.7109375" bestFit="1" customWidth="1" min="2" max="2"/>
    <col width="14.140625" bestFit="1" customWidth="1" min="3" max="3"/>
    <col width="12.7109375" bestFit="1" customWidth="1" min="4" max="4"/>
  </cols>
  <sheetData>
    <row r="1">
      <c r="A1" s="177" t="inlineStr">
        <is>
          <t>STOCK_DATA — Apple Inc. (AAPL) — Trailing 52 Weeks</t>
        </is>
      </c>
      <c r="B1" s="177" t="n"/>
      <c r="C1" s="177" t="n"/>
    </row>
    <row r="2">
      <c r="A2" s="178" t="inlineStr">
        <is>
          <t>#</t>
        </is>
      </c>
      <c r="B2" s="178" t="inlineStr">
        <is>
          <t>Month</t>
        </is>
      </c>
      <c r="C2" s="178" t="inlineStr">
        <is>
          <t>Close Price ($)</t>
        </is>
      </c>
    </row>
    <row r="3">
      <c r="A3" s="253" t="n">
        <v>1</v>
      </c>
      <c r="B3" t="inlineStr">
        <is>
          <t>May-25</t>
        </is>
      </c>
      <c r="C3" s="642" t="n">
        <v>263.24</v>
      </c>
    </row>
    <row r="4">
      <c r="A4" s="253" t="n">
        <v>2</v>
      </c>
      <c r="B4" t="inlineStr">
        <is>
          <t>Jun-25</t>
        </is>
      </c>
      <c r="C4" s="642" t="n">
        <v>248.52</v>
      </c>
    </row>
    <row r="5">
      <c r="A5" s="253" t="n">
        <v>3</v>
      </c>
      <c r="B5" t="inlineStr">
        <is>
          <t>Jul-25</t>
        </is>
      </c>
      <c r="C5" s="642" t="n">
        <v>234.78</v>
      </c>
    </row>
    <row r="6">
      <c r="A6" s="253" t="n">
        <v>4</v>
      </c>
      <c r="B6" t="inlineStr">
        <is>
          <t>Aug-25</t>
        </is>
      </c>
      <c r="C6" s="642" t="n">
        <v>224.23</v>
      </c>
    </row>
    <row r="7">
      <c r="A7" s="253" t="n">
        <v>5</v>
      </c>
      <c r="B7" t="inlineStr">
        <is>
          <t>Sep-25</t>
        </is>
      </c>
      <c r="C7" s="642" t="n">
        <v>265.45</v>
      </c>
    </row>
    <row r="8">
      <c r="A8" s="253" t="n">
        <v>6</v>
      </c>
      <c r="B8" t="inlineStr">
        <is>
          <t>Oct-25</t>
        </is>
      </c>
      <c r="C8" s="642" t="n">
        <v>245.83</v>
      </c>
    </row>
    <row r="9">
      <c r="A9" s="253" t="n">
        <v>7</v>
      </c>
      <c r="B9" t="inlineStr">
        <is>
          <t>Nov-25</t>
        </is>
      </c>
      <c r="C9" s="642" t="n">
        <v>224.42</v>
      </c>
    </row>
    <row r="10">
      <c r="A10" s="253" t="n">
        <v>8</v>
      </c>
      <c r="B10" t="inlineStr">
        <is>
          <t>Dec-25</t>
        </is>
      </c>
      <c r="C10" s="642" t="n">
        <v>228.81</v>
      </c>
    </row>
    <row r="11">
      <c r="A11" s="253" t="n">
        <v>9</v>
      </c>
      <c r="B11" t="inlineStr">
        <is>
          <t>Jan-26</t>
        </is>
      </c>
      <c r="C11" s="642" t="n">
        <v>256</v>
      </c>
    </row>
    <row r="12">
      <c r="A12" s="253" t="n">
        <v>10</v>
      </c>
      <c r="B12" t="inlineStr">
        <is>
          <t>Feb-26</t>
        </is>
      </c>
      <c r="C12" s="642" t="n">
        <v>254.9</v>
      </c>
    </row>
    <row r="13">
      <c r="A13" s="253" t="n">
        <v>11</v>
      </c>
      <c r="B13" t="inlineStr">
        <is>
          <t>Mar-26</t>
        </is>
      </c>
      <c r="C13" s="642" t="n">
        <v>252.1</v>
      </c>
    </row>
    <row r="14">
      <c r="A14" s="253" t="n">
        <v>12</v>
      </c>
      <c r="B14" t="inlineStr">
        <is>
          <t>Apr-26</t>
        </is>
      </c>
      <c r="C14" s="642" t="n">
        <v>267.3</v>
      </c>
    </row>
    <row r="15">
      <c r="A15" s="253" t="n">
        <v>13</v>
      </c>
      <c r="C15" s="642" t="n"/>
    </row>
    <row r="17">
      <c r="A17" s="179" t="inlineStr">
        <is>
          <t>⚠️  Données simulées. Remplacer par données réelles (Bloomberg/FactSet) en colonne B (Mois) et C (Prix).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61"/>
  <sheetViews>
    <sheetView topLeftCell="A38" workbookViewId="0">
      <selection activeCell="A1" sqref="A1"/>
    </sheetView>
  </sheetViews>
  <sheetFormatPr baseColWidth="10" defaultRowHeight="15"/>
  <cols>
    <col width="23.140625" bestFit="1" customWidth="1" min="1" max="1"/>
    <col width="28.140625" bestFit="1" customWidth="1" min="2" max="2"/>
    <col width="11" bestFit="1" customWidth="1" min="3" max="3"/>
    <col width="8.42578125" bestFit="1" customWidth="1" min="4" max="4"/>
    <col width="10" bestFit="1" customWidth="1" min="5" max="5"/>
  </cols>
  <sheetData>
    <row r="1">
      <c r="A1" s="177" t="inlineStr">
        <is>
          <t>Secteur</t>
        </is>
      </c>
      <c r="B1" s="177" t="inlineStr">
        <is>
          <t>Driver</t>
        </is>
      </c>
      <c r="C1" s="177" t="inlineStr">
        <is>
          <t>Pessimiste</t>
        </is>
      </c>
      <c r="D1" s="177" t="inlineStr">
        <is>
          <t>Realiste</t>
        </is>
      </c>
      <c r="E1" s="177" t="inlineStr">
        <is>
          <t>Optimiste</t>
        </is>
      </c>
    </row>
    <row r="2" ht="15" customHeight="1">
      <c r="A2" s="3" t="inlineStr">
        <is>
          <t>Technologie / SaaS</t>
        </is>
      </c>
      <c r="B2" s="3" t="inlineStr">
        <is>
          <t>Revenue Growth Rate (Y1-Y5)</t>
        </is>
      </c>
      <c r="C2" s="322" t="n">
        <v>0.05</v>
      </c>
      <c r="D2" s="322" t="n">
        <v>0.12</v>
      </c>
      <c r="E2" s="322" t="n">
        <v>0.22</v>
      </c>
    </row>
    <row r="3" ht="15" customHeight="1">
      <c r="A3" s="3" t="inlineStr">
        <is>
          <t>Technologie / SaaS</t>
        </is>
      </c>
      <c r="B3" s="3" t="inlineStr">
        <is>
          <t>Gross Margin</t>
        </is>
      </c>
      <c r="C3" s="322" t="n">
        <v>0.55</v>
      </c>
      <c r="D3" s="322" t="n">
        <v>0.68</v>
      </c>
      <c r="E3" s="322" t="n">
        <v>0.78</v>
      </c>
    </row>
    <row r="4" ht="15" customHeight="1">
      <c r="A4" s="3" t="inlineStr">
        <is>
          <t>Technologie / SaaS</t>
        </is>
      </c>
      <c r="B4" s="3" t="inlineStr">
        <is>
          <t>EBITDA Margin</t>
        </is>
      </c>
      <c r="C4" s="322" t="n">
        <v>0.08</v>
      </c>
      <c r="D4" s="322" t="n">
        <v>0.18</v>
      </c>
      <c r="E4" s="322" t="n">
        <v>0.28</v>
      </c>
    </row>
    <row r="5" ht="15" customHeight="1">
      <c r="A5" s="3" t="inlineStr">
        <is>
          <t>Technologie / SaaS</t>
        </is>
      </c>
      <c r="B5" s="3" t="inlineStr">
        <is>
          <t>SG&amp;A (% Revenue)</t>
        </is>
      </c>
      <c r="C5" s="322" t="n">
        <v>0.3</v>
      </c>
      <c r="D5" s="322" t="n">
        <v>0.22</v>
      </c>
      <c r="E5" s="322" t="n">
        <v>0.15</v>
      </c>
    </row>
    <row r="6" ht="15" customHeight="1">
      <c r="A6" s="3" t="inlineStr">
        <is>
          <t>Technologie / SaaS</t>
        </is>
      </c>
      <c r="B6" s="3" t="inlineStr">
        <is>
          <t>R&amp;D (% Revenue)</t>
        </is>
      </c>
      <c r="C6" s="322" t="n">
        <v>0.18</v>
      </c>
      <c r="D6" s="322" t="n">
        <v>0.12</v>
      </c>
      <c r="E6" s="322" t="n">
        <v>0.08</v>
      </c>
    </row>
    <row r="7" ht="15" customHeight="1">
      <c r="A7" s="3" t="inlineStr">
        <is>
          <t>Technologie / SaaS</t>
        </is>
      </c>
      <c r="B7" s="3" t="inlineStr">
        <is>
          <t>CapEx (% Revenue)</t>
        </is>
      </c>
      <c r="C7" s="322" t="n">
        <v>0.08</v>
      </c>
      <c r="D7" s="322" t="n">
        <v>0.05</v>
      </c>
      <c r="E7" s="322" t="n">
        <v>0.03</v>
      </c>
    </row>
    <row r="8" ht="15" customHeight="1">
      <c r="A8" s="3" t="inlineStr">
        <is>
          <t>Technologie / SaaS</t>
        </is>
      </c>
      <c r="B8" s="3" t="inlineStr">
        <is>
          <t>Change in NWC (% Rev Change)</t>
        </is>
      </c>
      <c r="C8" s="322" t="n">
        <v>0.05</v>
      </c>
      <c r="D8" s="322" t="n">
        <v>0.03</v>
      </c>
      <c r="E8" s="322" t="n">
        <v>0.02</v>
      </c>
    </row>
    <row r="9" ht="15" customHeight="1">
      <c r="A9" s="3" t="inlineStr">
        <is>
          <t>Technologie / SaaS</t>
        </is>
      </c>
      <c r="B9" s="3" t="inlineStr">
        <is>
          <t>Terminal Growth Rate</t>
        </is>
      </c>
      <c r="C9" s="322" t="n">
        <v>0.02</v>
      </c>
      <c r="D9" s="322" t="n">
        <v>0.03</v>
      </c>
      <c r="E9" s="322" t="n">
        <v>0.04</v>
      </c>
    </row>
    <row r="10" ht="15" customHeight="1">
      <c r="A10" s="3" t="inlineStr">
        <is>
          <t>Technologie / SaaS</t>
        </is>
      </c>
      <c r="B10" s="3" t="inlineStr">
        <is>
          <t>WACC</t>
        </is>
      </c>
      <c r="C10" s="322" t="n">
        <v>0.11</v>
      </c>
      <c r="D10" s="322" t="n">
        <v>0.09</v>
      </c>
      <c r="E10" s="322" t="n">
        <v>0.07000000000000001</v>
      </c>
    </row>
    <row r="11" ht="15" customHeight="1">
      <c r="A11" s="3" t="inlineStr">
        <is>
          <t>Technologie / SaaS</t>
        </is>
      </c>
      <c r="B11" s="3" t="inlineStr">
        <is>
          <t>EV/EBITDA Exit Multiple</t>
        </is>
      </c>
      <c r="C11" s="322" t="n">
        <v>12</v>
      </c>
      <c r="D11" s="322" t="n">
        <v>16</v>
      </c>
      <c r="E11" s="322" t="n">
        <v>22</v>
      </c>
    </row>
    <row r="12" ht="15" customHeight="1">
      <c r="A12" s="3" t="inlineStr">
        <is>
          <t>Industrie / Manufacturing</t>
        </is>
      </c>
      <c r="B12" s="3" t="inlineStr">
        <is>
          <t>Revenue Growth Rate (Y1-Y5)</t>
        </is>
      </c>
      <c r="C12" s="322" t="n">
        <v>0.01</v>
      </c>
      <c r="D12" s="322" t="n">
        <v>0.04</v>
      </c>
      <c r="E12" s="322" t="n">
        <v>0.07000000000000001</v>
      </c>
    </row>
    <row r="13" ht="15" customHeight="1">
      <c r="A13" s="3" t="inlineStr">
        <is>
          <t>Industrie / Manufacturing</t>
        </is>
      </c>
      <c r="B13" s="3" t="inlineStr">
        <is>
          <t>Gross Margin</t>
        </is>
      </c>
      <c r="C13" s="322" t="n">
        <v>0.18</v>
      </c>
      <c r="D13" s="322" t="n">
        <v>0.25</v>
      </c>
      <c r="E13" s="322" t="n">
        <v>0.32</v>
      </c>
    </row>
    <row r="14" ht="15" customHeight="1">
      <c r="A14" s="3" t="inlineStr">
        <is>
          <t>Industrie / Manufacturing</t>
        </is>
      </c>
      <c r="B14" s="3" t="inlineStr">
        <is>
          <t>EBITDA Margin</t>
        </is>
      </c>
      <c r="C14" s="322" t="n">
        <v>0.06</v>
      </c>
      <c r="D14" s="322" t="n">
        <v>0.12</v>
      </c>
      <c r="E14" s="322" t="n">
        <v>0.18</v>
      </c>
    </row>
    <row r="15" ht="15" customHeight="1">
      <c r="A15" s="3" t="inlineStr">
        <is>
          <t>Industrie / Manufacturing</t>
        </is>
      </c>
      <c r="B15" s="3" t="inlineStr">
        <is>
          <t>SG&amp;A (% Revenue)</t>
        </is>
      </c>
      <c r="C15" s="322" t="n">
        <v>0.1</v>
      </c>
      <c r="D15" s="322" t="n">
        <v>0.08</v>
      </c>
      <c r="E15" s="322" t="n">
        <v>0.06</v>
      </c>
    </row>
    <row r="16" ht="15" customHeight="1">
      <c r="A16" s="3" t="inlineStr">
        <is>
          <t>Industrie / Manufacturing</t>
        </is>
      </c>
      <c r="B16" s="3" t="inlineStr">
        <is>
          <t>R&amp;D (% Revenue)</t>
        </is>
      </c>
      <c r="C16" s="322" t="n">
        <v>0.03</v>
      </c>
      <c r="D16" s="322" t="n">
        <v>0.02</v>
      </c>
      <c r="E16" s="322" t="n">
        <v>0.01</v>
      </c>
    </row>
    <row r="17" ht="15" customHeight="1">
      <c r="A17" s="3" t="inlineStr">
        <is>
          <t>Industrie / Manufacturing</t>
        </is>
      </c>
      <c r="B17" s="3" t="inlineStr">
        <is>
          <t>CapEx (% Revenue)</t>
        </is>
      </c>
      <c r="C17" s="322" t="n">
        <v>0.1</v>
      </c>
      <c r="D17" s="322" t="n">
        <v>0.07000000000000001</v>
      </c>
      <c r="E17" s="322" t="n">
        <v>0.04</v>
      </c>
    </row>
    <row r="18" ht="15" customHeight="1">
      <c r="A18" s="3" t="inlineStr">
        <is>
          <t>Industrie / Manufacturing</t>
        </is>
      </c>
      <c r="B18" s="3" t="inlineStr">
        <is>
          <t>Change in NWC (% Rev Change)</t>
        </is>
      </c>
      <c r="C18" s="322" t="n">
        <v>0.12</v>
      </c>
      <c r="D18" s="322" t="n">
        <v>0.08</v>
      </c>
      <c r="E18" s="322" t="n">
        <v>0.05</v>
      </c>
    </row>
    <row r="19" ht="15" customHeight="1">
      <c r="A19" s="3" t="inlineStr">
        <is>
          <t>Industrie / Manufacturing</t>
        </is>
      </c>
      <c r="B19" s="3" t="inlineStr">
        <is>
          <t>Terminal Growth Rate</t>
        </is>
      </c>
      <c r="C19" s="322" t="n">
        <v>0</v>
      </c>
      <c r="D19" s="322" t="n">
        <v>0.01</v>
      </c>
      <c r="E19" s="322" t="n">
        <v>0.02</v>
      </c>
    </row>
    <row r="20" ht="15" customHeight="1">
      <c r="A20" s="3" t="inlineStr">
        <is>
          <t>Industrie / Manufacturing</t>
        </is>
      </c>
      <c r="B20" s="3" t="inlineStr">
        <is>
          <t>WACC</t>
        </is>
      </c>
      <c r="C20" s="322" t="n">
        <v>0.09</v>
      </c>
      <c r="D20" s="322" t="n">
        <v>0.08</v>
      </c>
      <c r="E20" s="322" t="n">
        <v>0.06</v>
      </c>
    </row>
    <row r="21" ht="15" customHeight="1">
      <c r="A21" s="3" t="inlineStr">
        <is>
          <t>Industrie / Manufacturing</t>
        </is>
      </c>
      <c r="B21" s="3" t="inlineStr">
        <is>
          <t>EV/EBITDA Exit Multiple</t>
        </is>
      </c>
      <c r="C21" s="322" t="n">
        <v>5</v>
      </c>
      <c r="D21" s="322" t="n">
        <v>7</v>
      </c>
      <c r="E21" s="322" t="n">
        <v>10</v>
      </c>
    </row>
    <row r="22" ht="15" customHeight="1">
      <c r="A22" s="3" t="inlineStr">
        <is>
          <t>Consommation / Retail</t>
        </is>
      </c>
      <c r="B22" s="3" t="inlineStr">
        <is>
          <t>Revenue Growth Rate (Y1-Y5)</t>
        </is>
      </c>
      <c r="C22" s="322" t="n">
        <v>0.01</v>
      </c>
      <c r="D22" s="322" t="n">
        <v>0.04</v>
      </c>
      <c r="E22" s="322" t="n">
        <v>0.08</v>
      </c>
    </row>
    <row r="23" ht="15" customHeight="1">
      <c r="A23" s="3" t="inlineStr">
        <is>
          <t>Consommation / Retail</t>
        </is>
      </c>
      <c r="B23" s="3" t="inlineStr">
        <is>
          <t>Gross Margin</t>
        </is>
      </c>
      <c r="C23" s="322" t="n">
        <v>0.25</v>
      </c>
      <c r="D23" s="322" t="n">
        <v>0.35</v>
      </c>
      <c r="E23" s="322" t="n">
        <v>0.45</v>
      </c>
    </row>
    <row r="24" ht="15" customHeight="1">
      <c r="A24" s="3" t="inlineStr">
        <is>
          <t>Consommation / Retail</t>
        </is>
      </c>
      <c r="B24" s="3" t="inlineStr">
        <is>
          <t>EBITDA Margin</t>
        </is>
      </c>
      <c r="C24" s="322" t="n">
        <v>0.04</v>
      </c>
      <c r="D24" s="322" t="n">
        <v>0.09</v>
      </c>
      <c r="E24" s="322" t="n">
        <v>0.14</v>
      </c>
    </row>
    <row r="25" ht="15" customHeight="1">
      <c r="A25" s="3" t="inlineStr">
        <is>
          <t>Consommation / Retail</t>
        </is>
      </c>
      <c r="B25" s="3" t="inlineStr">
        <is>
          <t>SG&amp;A (% Revenue)</t>
        </is>
      </c>
      <c r="C25" s="322" t="n">
        <v>0.18</v>
      </c>
      <c r="D25" s="322" t="n">
        <v>0.14</v>
      </c>
      <c r="E25" s="322" t="n">
        <v>0.1</v>
      </c>
    </row>
    <row r="26" ht="15" customHeight="1">
      <c r="A26" s="3" t="inlineStr">
        <is>
          <t>Consommation / Retail</t>
        </is>
      </c>
      <c r="B26" s="3" t="inlineStr">
        <is>
          <t>R&amp;D (% Revenue)</t>
        </is>
      </c>
      <c r="C26" s="322" t="n">
        <v>0.01</v>
      </c>
      <c r="D26" s="322" t="n">
        <v>0.01</v>
      </c>
      <c r="E26" s="322" t="n">
        <v>0</v>
      </c>
    </row>
    <row r="27" ht="15" customHeight="1">
      <c r="A27" s="3" t="inlineStr">
        <is>
          <t>Consommation / Retail</t>
        </is>
      </c>
      <c r="B27" s="3" t="inlineStr">
        <is>
          <t>CapEx (% Revenue)</t>
        </is>
      </c>
      <c r="C27" s="322" t="n">
        <v>0.05</v>
      </c>
      <c r="D27" s="322" t="n">
        <v>0.03</v>
      </c>
      <c r="E27" s="322" t="n">
        <v>0.02</v>
      </c>
    </row>
    <row r="28" ht="15" customHeight="1">
      <c r="A28" s="3" t="inlineStr">
        <is>
          <t>Consommation / Retail</t>
        </is>
      </c>
      <c r="B28" s="3" t="inlineStr">
        <is>
          <t>Change in NWC (% Rev Change)</t>
        </is>
      </c>
      <c r="C28" s="322" t="n">
        <v>0.1</v>
      </c>
      <c r="D28" s="322" t="n">
        <v>0.07000000000000001</v>
      </c>
      <c r="E28" s="322" t="n">
        <v>0.04</v>
      </c>
    </row>
    <row r="29" ht="15" customHeight="1">
      <c r="A29" s="3" t="inlineStr">
        <is>
          <t>Consommation / Retail</t>
        </is>
      </c>
      <c r="B29" s="3" t="inlineStr">
        <is>
          <t>Terminal Growth Rate</t>
        </is>
      </c>
      <c r="C29" s="322" t="n">
        <v>0</v>
      </c>
      <c r="D29" s="322" t="n">
        <v>0.01</v>
      </c>
      <c r="E29" s="322" t="n">
        <v>0.02</v>
      </c>
    </row>
    <row r="30" ht="15" customHeight="1">
      <c r="A30" s="3" t="inlineStr">
        <is>
          <t>Consommation / Retail</t>
        </is>
      </c>
      <c r="B30" s="3" t="inlineStr">
        <is>
          <t>WACC</t>
        </is>
      </c>
      <c r="C30" s="322" t="n">
        <v>0.09</v>
      </c>
      <c r="D30" s="322" t="n">
        <v>0.08</v>
      </c>
      <c r="E30" s="322" t="n">
        <v>0.06</v>
      </c>
    </row>
    <row r="31" ht="15" customHeight="1">
      <c r="A31" s="3" t="inlineStr">
        <is>
          <t>Consommation / Retail</t>
        </is>
      </c>
      <c r="B31" s="3" t="inlineStr">
        <is>
          <t>EV/EBITDA Exit Multiple</t>
        </is>
      </c>
      <c r="C31" s="322" t="n">
        <v>5</v>
      </c>
      <c r="D31" s="322" t="n">
        <v>8</v>
      </c>
      <c r="E31" s="322" t="n">
        <v>11</v>
      </c>
    </row>
    <row r="32" ht="15" customHeight="1">
      <c r="A32" s="3" t="inlineStr">
        <is>
          <t>Luxe / Premium</t>
        </is>
      </c>
      <c r="B32" s="3" t="inlineStr">
        <is>
          <t>Revenue Growth Rate (Y1-Y5)</t>
        </is>
      </c>
      <c r="C32" s="322" t="n">
        <v>0.03</v>
      </c>
      <c r="D32" s="322" t="n">
        <v>0.08</v>
      </c>
      <c r="E32" s="322" t="n">
        <v>0.15</v>
      </c>
    </row>
    <row r="33" ht="15" customHeight="1">
      <c r="A33" s="3" t="inlineStr">
        <is>
          <t>Luxe / Premium</t>
        </is>
      </c>
      <c r="B33" s="3" t="inlineStr">
        <is>
          <t>Gross Margin</t>
        </is>
      </c>
      <c r="C33" s="322" t="n">
        <v>0.55</v>
      </c>
      <c r="D33" s="322" t="n">
        <v>0.65</v>
      </c>
      <c r="E33" s="322" t="n">
        <v>0.72</v>
      </c>
    </row>
    <row r="34" ht="15" customHeight="1">
      <c r="A34" s="3" t="inlineStr">
        <is>
          <t>Luxe / Premium</t>
        </is>
      </c>
      <c r="B34" s="3" t="inlineStr">
        <is>
          <t>EBITDA Margin</t>
        </is>
      </c>
      <c r="C34" s="322" t="n">
        <v>0.18</v>
      </c>
      <c r="D34" s="322" t="n">
        <v>0.28</v>
      </c>
      <c r="E34" s="322" t="n">
        <v>0.35</v>
      </c>
    </row>
    <row r="35" ht="15" customHeight="1">
      <c r="A35" s="3" t="inlineStr">
        <is>
          <t>Luxe / Premium</t>
        </is>
      </c>
      <c r="B35" s="3" t="inlineStr">
        <is>
          <t>SG&amp;A (% Revenue)</t>
        </is>
      </c>
      <c r="C35" s="322" t="n">
        <v>0.25</v>
      </c>
      <c r="D35" s="322" t="n">
        <v>0.18</v>
      </c>
      <c r="E35" s="322" t="n">
        <v>0.12</v>
      </c>
    </row>
    <row r="36" ht="15" customHeight="1">
      <c r="A36" s="3" t="inlineStr">
        <is>
          <t>Luxe / Premium</t>
        </is>
      </c>
      <c r="B36" s="3" t="inlineStr">
        <is>
          <t>R&amp;D (% Revenue)</t>
        </is>
      </c>
      <c r="C36" s="322" t="n">
        <v>0.02</v>
      </c>
      <c r="D36" s="322" t="n">
        <v>0.01</v>
      </c>
      <c r="E36" s="322" t="n">
        <v>0.01</v>
      </c>
    </row>
    <row r="37" ht="15" customHeight="1">
      <c r="A37" s="3" t="inlineStr">
        <is>
          <t>Luxe / Premium</t>
        </is>
      </c>
      <c r="B37" s="3" t="inlineStr">
        <is>
          <t>CapEx (% Revenue)</t>
        </is>
      </c>
      <c r="C37" s="322" t="n">
        <v>0.06</v>
      </c>
      <c r="D37" s="322" t="n">
        <v>0.04</v>
      </c>
      <c r="E37" s="322" t="n">
        <v>0.03</v>
      </c>
    </row>
    <row r="38" ht="15" customHeight="1">
      <c r="A38" s="3" t="inlineStr">
        <is>
          <t>Luxe / Premium</t>
        </is>
      </c>
      <c r="B38" s="3" t="inlineStr">
        <is>
          <t>Change in NWC (% Rev Change)</t>
        </is>
      </c>
      <c r="C38" s="322" t="n">
        <v>0.08</v>
      </c>
      <c r="D38" s="322" t="n">
        <v>0.05</v>
      </c>
      <c r="E38" s="322" t="n">
        <v>0.03</v>
      </c>
    </row>
    <row r="39" ht="15" customHeight="1">
      <c r="A39" s="3" t="inlineStr">
        <is>
          <t>Luxe / Premium</t>
        </is>
      </c>
      <c r="B39" s="3" t="inlineStr">
        <is>
          <t>Terminal Growth Rate</t>
        </is>
      </c>
      <c r="C39" s="322" t="n">
        <v>0.01</v>
      </c>
      <c r="D39" s="322" t="n">
        <v>0.02</v>
      </c>
      <c r="E39" s="322" t="n">
        <v>0.03</v>
      </c>
    </row>
    <row r="40" ht="15" customHeight="1">
      <c r="A40" s="3" t="inlineStr">
        <is>
          <t>Luxe / Premium</t>
        </is>
      </c>
      <c r="B40" s="3" t="inlineStr">
        <is>
          <t>WACC</t>
        </is>
      </c>
      <c r="C40" s="322" t="n">
        <v>0.08</v>
      </c>
      <c r="D40" s="322" t="n">
        <v>0.07000000000000001</v>
      </c>
      <c r="E40" s="322" t="n">
        <v>0.05</v>
      </c>
    </row>
    <row r="41" ht="15" customHeight="1">
      <c r="A41" s="3" t="inlineStr">
        <is>
          <t>Luxe / Premium</t>
        </is>
      </c>
      <c r="B41" s="3" t="inlineStr">
        <is>
          <t>EV/EBITDA Exit Multiple</t>
        </is>
      </c>
      <c r="C41" s="322" t="n">
        <v>12</v>
      </c>
      <c r="D41" s="322" t="n">
        <v>18</v>
      </c>
      <c r="E41" s="322" t="n">
        <v>25</v>
      </c>
    </row>
    <row r="42" ht="15" customHeight="1">
      <c r="A42" s="3" t="inlineStr">
        <is>
          <t>Energie / Utilities</t>
        </is>
      </c>
      <c r="B42" s="3" t="inlineStr">
        <is>
          <t>Revenue Growth Rate (Y1-Y5)</t>
        </is>
      </c>
      <c r="C42" s="322" t="n">
        <v>-0.02</v>
      </c>
      <c r="D42" s="322" t="n">
        <v>0.02</v>
      </c>
      <c r="E42" s="322" t="n">
        <v>0.05</v>
      </c>
    </row>
    <row r="43" ht="15" customHeight="1">
      <c r="A43" s="3" t="inlineStr">
        <is>
          <t>Energie / Utilities</t>
        </is>
      </c>
      <c r="B43" s="3" t="inlineStr">
        <is>
          <t>Gross Margin</t>
        </is>
      </c>
      <c r="C43" s="322" t="n">
        <v>0.2</v>
      </c>
      <c r="D43" s="322" t="n">
        <v>0.3</v>
      </c>
      <c r="E43" s="322" t="n">
        <v>0.4</v>
      </c>
    </row>
    <row r="44" ht="15" customHeight="1">
      <c r="A44" s="3" t="inlineStr">
        <is>
          <t>Energie / Utilities</t>
        </is>
      </c>
      <c r="B44" s="3" t="inlineStr">
        <is>
          <t>EBITDA Margin</t>
        </is>
      </c>
      <c r="C44" s="322" t="n">
        <v>0.15</v>
      </c>
      <c r="D44" s="322" t="n">
        <v>0.25</v>
      </c>
      <c r="E44" s="322" t="n">
        <v>0.35</v>
      </c>
    </row>
    <row r="45" ht="15" customHeight="1">
      <c r="A45" s="3" t="inlineStr">
        <is>
          <t>Energie / Utilities</t>
        </is>
      </c>
      <c r="B45" s="3" t="inlineStr">
        <is>
          <t>SG&amp;A (% Revenue)</t>
        </is>
      </c>
      <c r="C45" s="322" t="n">
        <v>0.08</v>
      </c>
      <c r="D45" s="322" t="n">
        <v>0.06</v>
      </c>
      <c r="E45" s="322" t="n">
        <v>0.04</v>
      </c>
    </row>
    <row r="46" ht="15" customHeight="1">
      <c r="A46" s="3" t="inlineStr">
        <is>
          <t>Energie / Utilities</t>
        </is>
      </c>
      <c r="B46" s="3" t="inlineStr">
        <is>
          <t>R&amp;D (% Revenue)</t>
        </is>
      </c>
      <c r="C46" s="322" t="n">
        <v>0.02</v>
      </c>
      <c r="D46" s="322" t="n">
        <v>0.01</v>
      </c>
      <c r="E46" s="322" t="n">
        <v>0.01</v>
      </c>
    </row>
    <row r="47" ht="15" customHeight="1">
      <c r="A47" s="3" t="inlineStr">
        <is>
          <t>Energie / Utilities</t>
        </is>
      </c>
      <c r="B47" s="3" t="inlineStr">
        <is>
          <t>CapEx (% Revenue)</t>
        </is>
      </c>
      <c r="C47" s="322" t="n">
        <v>0.15</v>
      </c>
      <c r="D47" s="322" t="n">
        <v>0.1</v>
      </c>
      <c r="E47" s="322" t="n">
        <v>0.07000000000000001</v>
      </c>
    </row>
    <row r="48" ht="15" customHeight="1">
      <c r="A48" s="3" t="inlineStr">
        <is>
          <t>Energie / Utilities</t>
        </is>
      </c>
      <c r="B48" s="3" t="inlineStr">
        <is>
          <t>Change in NWC (% Rev Change)</t>
        </is>
      </c>
      <c r="C48" s="322" t="n">
        <v>0.05</v>
      </c>
      <c r="D48" s="322" t="n">
        <v>0.04</v>
      </c>
      <c r="E48" s="322" t="n">
        <v>0.03</v>
      </c>
    </row>
    <row r="49" ht="15" customHeight="1">
      <c r="A49" s="3" t="inlineStr">
        <is>
          <t>Energie / Utilities</t>
        </is>
      </c>
      <c r="B49" s="3" t="inlineStr">
        <is>
          <t>Terminal Growth Rate</t>
        </is>
      </c>
      <c r="C49" s="322" t="n">
        <v>0</v>
      </c>
      <c r="D49" s="322" t="n">
        <v>0.01</v>
      </c>
      <c r="E49" s="322" t="n">
        <v>0.02</v>
      </c>
    </row>
    <row r="50" ht="15" customHeight="1">
      <c r="A50" s="3" t="inlineStr">
        <is>
          <t>Energie / Utilities</t>
        </is>
      </c>
      <c r="B50" s="3" t="inlineStr">
        <is>
          <t>WACC</t>
        </is>
      </c>
      <c r="C50" s="322" t="n">
        <v>0.07000000000000001</v>
      </c>
      <c r="D50" s="322" t="n">
        <v>0.06</v>
      </c>
      <c r="E50" s="322" t="n">
        <v>0.05</v>
      </c>
    </row>
    <row r="51" ht="15" customHeight="1">
      <c r="A51" s="3" t="inlineStr">
        <is>
          <t>Energie / Utilities</t>
        </is>
      </c>
      <c r="B51" s="3" t="inlineStr">
        <is>
          <t>EV/EBITDA Exit Multiple</t>
        </is>
      </c>
      <c r="C51" s="322" t="n">
        <v>6</v>
      </c>
      <c r="D51" s="322" t="n">
        <v>8</v>
      </c>
      <c r="E51" s="322" t="n">
        <v>11</v>
      </c>
    </row>
    <row r="52" ht="15" customHeight="1">
      <c r="A52" s="3" t="inlineStr">
        <is>
          <t>Sante / Pharma</t>
        </is>
      </c>
      <c r="B52" s="3" t="inlineStr">
        <is>
          <t>Revenue Growth Rate (Y1-Y5)</t>
        </is>
      </c>
      <c r="C52" s="322" t="n">
        <v>0.02</v>
      </c>
      <c r="D52" s="322" t="n">
        <v>0.06</v>
      </c>
      <c r="E52" s="322" t="n">
        <v>0.12</v>
      </c>
    </row>
    <row r="53" ht="15" customHeight="1">
      <c r="A53" s="3" t="inlineStr">
        <is>
          <t>Sante / Pharma</t>
        </is>
      </c>
      <c r="B53" s="3" t="inlineStr">
        <is>
          <t>Gross Margin</t>
        </is>
      </c>
      <c r="C53" s="322" t="n">
        <v>0.45</v>
      </c>
      <c r="D53" s="322" t="n">
        <v>0.6</v>
      </c>
      <c r="E53" s="322" t="n">
        <v>0.72</v>
      </c>
    </row>
    <row r="54" ht="15" customHeight="1">
      <c r="A54" s="3" t="inlineStr">
        <is>
          <t>Sante / Pharma</t>
        </is>
      </c>
      <c r="B54" s="3" t="inlineStr">
        <is>
          <t>EBITDA Margin</t>
        </is>
      </c>
      <c r="C54" s="322" t="n">
        <v>0.1</v>
      </c>
      <c r="D54" s="322" t="n">
        <v>0.2</v>
      </c>
      <c r="E54" s="322" t="n">
        <v>0.3</v>
      </c>
    </row>
    <row r="55" ht="15" customHeight="1">
      <c r="A55" s="3" t="inlineStr">
        <is>
          <t>Sante / Pharma</t>
        </is>
      </c>
      <c r="B55" s="3" t="inlineStr">
        <is>
          <t>SG&amp;A (% Revenue)</t>
        </is>
      </c>
      <c r="C55" s="322" t="n">
        <v>0.25</v>
      </c>
      <c r="D55" s="322" t="n">
        <v>0.18</v>
      </c>
      <c r="E55" s="322" t="n">
        <v>0.12</v>
      </c>
    </row>
    <row r="56" ht="15" customHeight="1">
      <c r="A56" s="3" t="inlineStr">
        <is>
          <t>Sante / Pharma</t>
        </is>
      </c>
      <c r="B56" s="3" t="inlineStr">
        <is>
          <t>R&amp;D (% Revenue)</t>
        </is>
      </c>
      <c r="C56" s="322" t="n">
        <v>0.2</v>
      </c>
      <c r="D56" s="322" t="n">
        <v>0.15</v>
      </c>
      <c r="E56" s="322" t="n">
        <v>0.1</v>
      </c>
    </row>
    <row r="57" ht="15" customHeight="1">
      <c r="A57" s="3" t="inlineStr">
        <is>
          <t>Sante / Pharma</t>
        </is>
      </c>
      <c r="B57" s="3" t="inlineStr">
        <is>
          <t>CapEx (% Revenue)</t>
        </is>
      </c>
      <c r="C57" s="322" t="n">
        <v>0.06</v>
      </c>
      <c r="D57" s="322" t="n">
        <v>0.04</v>
      </c>
      <c r="E57" s="322" t="n">
        <v>0.03</v>
      </c>
    </row>
    <row r="58" ht="15" customHeight="1">
      <c r="A58" s="3" t="inlineStr">
        <is>
          <t>Sante / Pharma</t>
        </is>
      </c>
      <c r="B58" s="3" t="inlineStr">
        <is>
          <t>Change in NWC (% Rev Change)</t>
        </is>
      </c>
      <c r="C58" s="322" t="n">
        <v>0.08</v>
      </c>
      <c r="D58" s="322" t="n">
        <v>0.05</v>
      </c>
      <c r="E58" s="322" t="n">
        <v>0.03</v>
      </c>
    </row>
    <row r="59" ht="15" customHeight="1">
      <c r="A59" s="3" t="inlineStr">
        <is>
          <t>Sante / Pharma</t>
        </is>
      </c>
      <c r="B59" s="3" t="inlineStr">
        <is>
          <t>Terminal Growth Rate</t>
        </is>
      </c>
      <c r="C59" s="322" t="n">
        <v>0.01</v>
      </c>
      <c r="D59" s="322" t="n">
        <v>0.02</v>
      </c>
      <c r="E59" s="322" t="n">
        <v>0.03</v>
      </c>
    </row>
    <row r="60" ht="15" customHeight="1">
      <c r="A60" s="3" t="inlineStr">
        <is>
          <t>Sante / Pharma</t>
        </is>
      </c>
      <c r="B60" s="3" t="inlineStr">
        <is>
          <t>WACC</t>
        </is>
      </c>
      <c r="C60" s="322" t="n">
        <v>0.08</v>
      </c>
      <c r="D60" s="322" t="n">
        <v>0.07000000000000001</v>
      </c>
      <c r="E60" s="322" t="n">
        <v>0.06</v>
      </c>
    </row>
    <row r="61" ht="15" customHeight="1">
      <c r="A61" s="3" t="inlineStr">
        <is>
          <t>Sante / Pharma</t>
        </is>
      </c>
      <c r="B61" s="3" t="inlineStr">
        <is>
          <t>EV/EBITDA Exit Multiple</t>
        </is>
      </c>
      <c r="C61" s="322" t="n">
        <v>8</v>
      </c>
      <c r="D61" s="322" t="n">
        <v>12</v>
      </c>
      <c r="E61" s="322" t="n">
        <v>18</v>
      </c>
    </row>
  </sheetData>
  <pageMargins left="0.7" right="0.7" top="0.75" bottom="0.75" header="0.3" footer="0.3"/>
  <pageSetup orientation="portrait" paperSize="9" scal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Baptiste jeh</dc:creator>
  <dcterms:created xmlns:dcterms="http://purl.org/dc/terms/" xmlns:xsi="http://www.w3.org/2001/XMLSchema-instance" xsi:type="dcterms:W3CDTF">2026-03-05T17:41:12Z</dcterms:created>
  <dcterms:modified xmlns:dcterms="http://purl.org/dc/terms/" xmlns:xsi="http://www.w3.org/2001/XMLSchema-instance" xsi:type="dcterms:W3CDTF">2026-04-09T07:39:04Z</dcterms:modified>
  <cp:lastModifiedBy>Baptiste jeh</cp:lastModifiedBy>
  <cp:lastPrinted>2026-03-07T11:51:18Z</cp:lastPrinted>
</cp:coreProperties>
</file>