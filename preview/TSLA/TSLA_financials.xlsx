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  <sheet xmlns:r="http://schemas.openxmlformats.org/officeDocument/2006/relationships" name="LBO MODEL" sheetId="12" state="visible" r:id="rId12"/>
    <sheet xmlns:r="http://schemas.openxmlformats.org/officeDocument/2006/relationships" name="_LBO_CALC" sheetId="13" state="hidden" r:id="rId13"/>
  </sheets>
  <definedNames>
    <definedName name="LBO_ELIGIBLE">'LBO MODEL'!$C$62</definedName>
    <definedName name="LBO_MEGA_FLAG">'LBO MODEL'!$C$63</definedName>
    <definedName name="LBO_IRR_BASE">'LBO MODEL'!$C$64</definedName>
    <definedName name="LBO_MOIC_BASE">'LBO MODEL'!$C$65</definedName>
    <definedName name="LBO_IRR_BULL">'LBO MODEL'!$C$66</definedName>
    <definedName name="LBO_IRR_BEAR">'LBO MODEL'!$C$67</definedName>
    <definedName name="LBO_LEVERAGE_EXIT">'LBO MODEL'!$C$68</definedName>
    <definedName name="LBO_EQUITY_ENTRY">'LBO MODEL'!$C$69</definedName>
    <definedName name="LBO_EQUITY_EXIT">'LBO MODEL'!$C$70</definedName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31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  <numFmt numFmtId="188" formatCode="#,##0_);[Red](#,##0);&quot;—&quot;"/>
    <numFmt numFmtId="189" formatCode="0.0&quot;x&quot;"/>
    <numFmt numFmtId="190" formatCode="+0.0%;-0.0%;0.0%"/>
    <numFmt numFmtId="191" formatCode="+0.0&quot;x&quot;;-0.0&quot;x&quot;;0.0&quot;x&quot;"/>
    <numFmt numFmtId="192" formatCode="0.00&quot;x&quot;"/>
    <numFmt numFmtId="193" formatCode="0.000%"/>
    <numFmt numFmtId="194" formatCode="#,##0;(#,##0)"/>
  </numFmts>
  <fonts count="147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  <font>
      <name val="Open Sans"/>
      <b val="1"/>
      <color rgb="FFFFFFFF"/>
      <sz val="18"/>
    </font>
    <font>
      <name val="Open Sans"/>
      <b val="1"/>
      <color rgb="FF3271D2"/>
      <sz val="14"/>
    </font>
    <font>
      <name val="Open Sans"/>
      <i val="1"/>
      <color rgb="FF555555"/>
      <sz val="9"/>
    </font>
    <font>
      <name val="Open Sans"/>
      <b val="1"/>
      <color rgb="FF3271D2"/>
      <sz val="10"/>
    </font>
    <font>
      <name val="Open Sans"/>
      <color rgb="FF555555"/>
      <sz val="10"/>
    </font>
    <font>
      <name val="Open Sans"/>
      <b val="1"/>
      <color rgb="FF132E57"/>
      <sz val="10"/>
    </font>
    <font>
      <name val="Open Sans"/>
      <b val="1"/>
      <color rgb="FF132E57"/>
      <sz val="12"/>
    </font>
    <font>
      <name val="Open Sans"/>
      <color rgb="FF132E57"/>
      <sz val="9"/>
    </font>
    <font>
      <name val="Open Sans"/>
      <b val="1"/>
      <color rgb="FFB06000"/>
      <sz val="10"/>
    </font>
    <font>
      <name val="Open Sans"/>
      <color rgb="FF132E57"/>
      <sz val="10"/>
    </font>
    <font>
      <name val="Open Sans"/>
      <b val="1"/>
      <color rgb="FF0000FF"/>
      <sz val="10"/>
    </font>
    <font>
      <name val="Open Sans"/>
      <i val="1"/>
      <color rgb="FF555555"/>
      <sz val="10"/>
    </font>
    <font>
      <name val="Open Sans"/>
      <color rgb="FF555555"/>
      <sz val="9"/>
    </font>
    <font>
      <name val="Open Sans"/>
      <b val="1"/>
      <color rgb="FF132E57"/>
      <sz val="9"/>
    </font>
    <font>
      <name val="Open Sans"/>
      <b val="1"/>
      <color rgb="FF555555"/>
      <sz val="9"/>
    </font>
    <font>
      <name val="Open Sans"/>
      <b val="1"/>
      <color rgb="FF1A7A4A"/>
      <sz val="9"/>
    </font>
    <font>
      <name val="Open Sans"/>
      <i val="1"/>
      <color rgb="FF888888"/>
      <sz val="8"/>
    </font>
    <font>
      <name val="Open Sans"/>
      <color rgb="FF999999"/>
      <sz val="8"/>
    </font>
    <font>
      <name val="Open Sans"/>
      <b val="1"/>
      <color rgb="FF555555"/>
      <sz val="8"/>
    </font>
    <font>
      <name val="Open Sans"/>
      <b val="1"/>
      <color rgb="FF555555"/>
      <sz val="10"/>
    </font>
    <font>
      <name val="Open Sans"/>
      <b val="1"/>
      <color rgb="FF132E57"/>
      <sz val="22"/>
    </font>
    <font>
      <name val="Open Sans"/>
      <b val="1"/>
      <color rgb="FF1A7A4A"/>
      <sz val="10"/>
    </font>
    <font>
      <name val="Open Sans"/>
      <b val="1"/>
      <color rgb="FFA82020"/>
      <sz val="10"/>
    </font>
    <font>
      <name val="Open Sans"/>
      <b val="1"/>
      <color rgb="FFFFFFFF"/>
      <sz val="14"/>
    </font>
    <font>
      <name val="Open Sans"/>
      <i val="1"/>
      <color rgb="FF888888"/>
      <sz val="9"/>
    </font>
    <font>
      <name val="Open Sans"/>
      <b val="1"/>
      <color rgb="FF3271D2"/>
      <sz val="9"/>
    </font>
    <font>
      <name val="Open Sans"/>
      <color rgb="FF1A7A4A"/>
      <sz val="9"/>
    </font>
    <font>
      <name val="Open Sans"/>
      <color rgb="FFA82020"/>
      <sz val="9"/>
    </font>
    <font>
      <name val="Open Sans"/>
      <b val="1"/>
      <color rgb="FFA82020"/>
      <sz val="9"/>
    </font>
  </fonts>
  <fills count="2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C3F"/>
        <bgColor rgb="FF000C3F"/>
      </patternFill>
    </fill>
    <fill>
      <patternFill patternType="solid">
        <fgColor rgb="FFE7F2FF"/>
        <bgColor rgb="FFE7F2FF"/>
      </patternFill>
    </fill>
    <fill>
      <patternFill patternType="solid">
        <fgColor rgb="FFE8F5EE"/>
        <bgColor rgb="FFE8F5EE"/>
      </patternFill>
    </fill>
    <fill>
      <patternFill patternType="solid">
        <fgColor rgb="FFFDF3E5"/>
        <bgColor rgb="FFFDF3E5"/>
      </patternFill>
    </fill>
    <fill>
      <patternFill patternType="solid">
        <fgColor rgb="FFFFF4D6"/>
        <bgColor rgb="FFFFF4D6"/>
      </patternFill>
    </fill>
    <fill>
      <patternFill patternType="solid">
        <fgColor rgb="FFF2F2F2"/>
        <bgColor rgb="FFF2F2F2"/>
      </patternFill>
    </fill>
    <fill>
      <patternFill patternType="solid">
        <fgColor rgb="FFD9E5F7"/>
        <bgColor rgb="FFD9E5F7"/>
      </patternFill>
    </fill>
    <fill>
      <patternFill patternType="solid">
        <fgColor rgb="FFFFFFFF"/>
        <bgColor rgb="FFFFFFFF"/>
      </patternFill>
    </fill>
    <fill>
      <patternFill patternType="solid">
        <fgColor rgb="FFFBEBEB"/>
        <bgColor rgb="FFFBEBEB"/>
      </patternFill>
    </fill>
    <fill>
      <patternFill patternType="solid">
        <fgColor rgb="FFEEF3FA"/>
        <bgColor rgb="FFEEF3FA"/>
      </patternFill>
    </fill>
  </fills>
  <borders count="15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</border>
    <border>
      <left/>
      <right/>
      <top style="thin">
        <color rgb="FFBFBFBF"/>
      </top>
      <bottom style="thin">
        <color rgb="FFBFBFBF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/>
      <right/>
      <top style="thin">
        <color rgb="FFBFBFBF"/>
      </top>
      <bottom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730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  <xf numFmtId="0" fontId="118" fillId="11" borderId="0" applyAlignment="1" pivotButton="0" quotePrefix="0" xfId="0">
      <alignment horizontal="left" vertical="center" indent="1"/>
    </xf>
    <xf numFmtId="0" fontId="119" fillId="12" borderId="0" applyAlignment="1" pivotButton="0" quotePrefix="0" xfId="0">
      <alignment horizontal="left" vertical="center" indent="1"/>
    </xf>
    <xf numFmtId="0" fontId="120" fillId="0" borderId="0" applyAlignment="1" pivotButton="0" quotePrefix="0" xfId="0">
      <alignment horizontal="left" vertical="center" indent="1"/>
    </xf>
    <xf numFmtId="0" fontId="121" fillId="12" borderId="0" applyAlignment="1" pivotButton="0" quotePrefix="0" xfId="0">
      <alignment horizontal="left" vertical="center" indent="1"/>
    </xf>
    <xf numFmtId="0" fontId="122" fillId="0" borderId="0" pivotButton="0" quotePrefix="0" xfId="0"/>
    <xf numFmtId="0" fontId="123" fillId="0" borderId="0" pivotButton="0" quotePrefix="0" xfId="0"/>
    <xf numFmtId="188" fontId="123" fillId="0" borderId="0" applyAlignment="1" pivotButton="0" quotePrefix="0" xfId="0">
      <alignment horizontal="right" vertical="center"/>
    </xf>
    <xf numFmtId="189" fontId="123" fillId="0" borderId="0" applyAlignment="1" pivotButton="0" quotePrefix="0" xfId="0">
      <alignment horizontal="right" vertical="center"/>
    </xf>
    <xf numFmtId="170" fontId="123" fillId="0" borderId="0" applyAlignment="1" pivotButton="0" quotePrefix="0" xfId="0">
      <alignment horizontal="right" vertical="center"/>
    </xf>
    <xf numFmtId="0" fontId="124" fillId="13" borderId="0" applyAlignment="1" pivotButton="0" quotePrefix="0" xfId="0">
      <alignment horizontal="left" vertical="center"/>
    </xf>
    <xf numFmtId="0" fontId="125" fillId="0" borderId="0" pivotButton="0" quotePrefix="0" xfId="0"/>
    <xf numFmtId="0" fontId="126" fillId="14" borderId="0" applyAlignment="1" pivotButton="0" quotePrefix="0" xfId="0">
      <alignment horizontal="left" vertical="center"/>
    </xf>
    <xf numFmtId="0" fontId="127" fillId="0" borderId="0" applyAlignment="1" pivotButton="0" quotePrefix="0" xfId="0">
      <alignment horizontal="left" vertical="center"/>
    </xf>
    <xf numFmtId="189" fontId="128" fillId="15" borderId="11" applyAlignment="1" pivotButton="0" quotePrefix="0" xfId="0">
      <alignment horizontal="center" vertical="center"/>
    </xf>
    <xf numFmtId="0" fontId="130" fillId="0" borderId="0" applyAlignment="1" pivotButton="0" quotePrefix="0" xfId="0">
      <alignment horizontal="left" vertical="center"/>
    </xf>
    <xf numFmtId="189" fontId="131" fillId="16" borderId="0" applyAlignment="1" pivotButton="0" quotePrefix="0" xfId="0">
      <alignment horizontal="right" vertical="center"/>
    </xf>
    <xf numFmtId="0" fontId="129" fillId="0" borderId="0" applyAlignment="1" pivotButton="0" quotePrefix="0" xfId="0">
      <alignment horizontal="left" vertical="center"/>
    </xf>
    <xf numFmtId="190" fontId="123" fillId="16" borderId="0" applyAlignment="1" pivotButton="0" quotePrefix="0" xfId="0">
      <alignment horizontal="center" vertical="center"/>
    </xf>
    <xf numFmtId="191" fontId="131" fillId="16" borderId="0" applyAlignment="1" pivotButton="0" quotePrefix="0" xfId="0">
      <alignment horizontal="right" vertical="center"/>
    </xf>
    <xf numFmtId="0" fontId="132" fillId="0" borderId="0" applyAlignment="1" pivotButton="0" quotePrefix="0" xfId="0">
      <alignment horizontal="left" vertical="center"/>
    </xf>
    <xf numFmtId="189" fontId="133" fillId="13" borderId="0" applyAlignment="1" pivotButton="0" quotePrefix="0" xfId="0">
      <alignment horizontal="right" vertical="center"/>
    </xf>
    <xf numFmtId="170" fontId="128" fillId="15" borderId="11" applyAlignment="1" pivotButton="0" quotePrefix="0" xfId="0">
      <alignment horizontal="center" vertical="center"/>
    </xf>
    <xf numFmtId="0" fontId="134" fillId="0" borderId="0" applyAlignment="1" pivotButton="0" quotePrefix="0" xfId="0">
      <alignment horizontal="left" vertical="center" indent="1"/>
    </xf>
    <xf numFmtId="1" fontId="128" fillId="15" borderId="11" applyAlignment="1" pivotButton="0" quotePrefix="0" xfId="0">
      <alignment horizontal="center" vertical="center"/>
    </xf>
    <xf numFmtId="0" fontId="135" fillId="0" borderId="0" applyAlignment="1" pivotButton="0" quotePrefix="0" xfId="0">
      <alignment horizontal="right" vertical="center"/>
    </xf>
    <xf numFmtId="3" fontId="136" fillId="0" borderId="0" applyAlignment="1" pivotButton="0" quotePrefix="0" xfId="0">
      <alignment horizontal="right" vertical="center"/>
    </xf>
    <xf numFmtId="0" fontId="121" fillId="17" borderId="0" applyAlignment="1" pivotButton="0" quotePrefix="0" xfId="0">
      <alignment horizontal="center" vertical="center"/>
    </xf>
    <xf numFmtId="0" fontId="127" fillId="0" borderId="0" pivotButton="0" quotePrefix="0" xfId="0"/>
    <xf numFmtId="170" fontId="122" fillId="0" borderId="0" applyAlignment="1" pivotButton="0" quotePrefix="0" xfId="0">
      <alignment horizontal="right" vertical="center"/>
    </xf>
    <xf numFmtId="0" fontId="121" fillId="12" borderId="12" pivotButton="0" quotePrefix="0" xfId="0"/>
    <xf numFmtId="188" fontId="121" fillId="12" borderId="12" applyAlignment="1" pivotButton="0" quotePrefix="0" xfId="0">
      <alignment horizontal="right" vertical="center"/>
    </xf>
    <xf numFmtId="170" fontId="121" fillId="12" borderId="12" applyAlignment="1" pivotButton="0" quotePrefix="0" xfId="0">
      <alignment horizontal="right" vertical="center"/>
    </xf>
    <xf numFmtId="3" fontId="123" fillId="0" borderId="0" applyAlignment="1" pivotButton="0" quotePrefix="0" xfId="0">
      <alignment horizontal="right" vertical="center"/>
    </xf>
    <xf numFmtId="0" fontId="137" fillId="17" borderId="0" applyAlignment="1" pivotButton="0" quotePrefix="0" xfId="0">
      <alignment horizontal="center" vertical="center"/>
    </xf>
    <xf numFmtId="170" fontId="138" fillId="12" borderId="0" applyAlignment="1" pivotButton="0" quotePrefix="0" xfId="0">
      <alignment horizontal="center" vertical="center"/>
    </xf>
    <xf numFmtId="192" fontId="138" fillId="12" borderId="0" applyAlignment="1" pivotButton="0" quotePrefix="0" xfId="0">
      <alignment horizontal="center" vertical="center"/>
    </xf>
    <xf numFmtId="0" fontId="123" fillId="0" borderId="0" applyAlignment="1" pivotButton="0" quotePrefix="0" xfId="0">
      <alignment horizontal="right" vertical="center"/>
    </xf>
    <xf numFmtId="0" fontId="132" fillId="17" borderId="0" applyAlignment="1" pivotButton="0" quotePrefix="0" xfId="0">
      <alignment horizontal="center" vertical="center"/>
    </xf>
    <xf numFmtId="189" fontId="132" fillId="17" borderId="0" applyAlignment="1" pivotButton="0" quotePrefix="0" xfId="0">
      <alignment horizontal="center" vertical="center"/>
    </xf>
    <xf numFmtId="170" fontId="127" fillId="18" borderId="13" applyAlignment="1" pivotButton="0" quotePrefix="0" xfId="0">
      <alignment horizontal="center" vertical="center"/>
    </xf>
    <xf numFmtId="0" fontId="137" fillId="17" borderId="0" applyAlignment="1" pivotButton="0" quotePrefix="0" xfId="0">
      <alignment horizontal="left" vertical="center" indent="1"/>
    </xf>
    <xf numFmtId="0" fontId="139" fillId="13" borderId="0" applyAlignment="1" pivotButton="0" quotePrefix="0" xfId="0">
      <alignment horizontal="center" vertical="center"/>
    </xf>
    <xf numFmtId="0" fontId="123" fillId="12" borderId="0" applyAlignment="1" pivotButton="0" quotePrefix="0" xfId="0">
      <alignment horizontal="center" vertical="center"/>
    </xf>
    <xf numFmtId="0" fontId="140" fillId="19" borderId="0" applyAlignment="1" pivotButton="0" quotePrefix="0" xfId="0">
      <alignment horizontal="center" vertical="center"/>
    </xf>
    <xf numFmtId="0" fontId="127" fillId="0" borderId="0" applyAlignment="1" pivotButton="0" quotePrefix="0" xfId="0">
      <alignment horizontal="left" vertical="center" indent="1"/>
    </xf>
    <xf numFmtId="170" fontId="139" fillId="0" borderId="0" applyAlignment="1" pivotButton="0" quotePrefix="0" xfId="0">
      <alignment horizontal="center" vertical="center"/>
    </xf>
    <xf numFmtId="170" fontId="123" fillId="0" borderId="0" applyAlignment="1" pivotButton="0" quotePrefix="0" xfId="0">
      <alignment horizontal="center" vertical="center"/>
    </xf>
    <xf numFmtId="170" fontId="140" fillId="0" borderId="0" applyAlignment="1" pivotButton="0" quotePrefix="0" xfId="0">
      <alignment horizontal="center" vertical="center"/>
    </xf>
    <xf numFmtId="192" fontId="139" fillId="0" borderId="0" applyAlignment="1" pivotButton="0" quotePrefix="0" xfId="0">
      <alignment horizontal="center" vertical="center"/>
    </xf>
    <xf numFmtId="192" fontId="123" fillId="0" borderId="0" applyAlignment="1" pivotButton="0" quotePrefix="0" xfId="0">
      <alignment horizontal="center" vertical="center"/>
    </xf>
    <xf numFmtId="192" fontId="140" fillId="0" borderId="0" applyAlignment="1" pivotButton="0" quotePrefix="0" xfId="0">
      <alignment horizontal="center" vertical="center"/>
    </xf>
    <xf numFmtId="189" fontId="139" fillId="0" borderId="0" applyAlignment="1" pivotButton="0" quotePrefix="0" xfId="0">
      <alignment horizontal="center" vertical="center"/>
    </xf>
    <xf numFmtId="189" fontId="123" fillId="0" borderId="0" applyAlignment="1" pivotButton="0" quotePrefix="0" xfId="0">
      <alignment horizontal="center" vertical="center"/>
    </xf>
    <xf numFmtId="189" fontId="140" fillId="0" borderId="0" applyAlignment="1" pivotButton="0" quotePrefix="0" xfId="0">
      <alignment horizontal="center" vertical="center"/>
    </xf>
    <xf numFmtId="0" fontId="130" fillId="20" borderId="0" applyAlignment="1" pivotButton="0" quotePrefix="0" xfId="0">
      <alignment horizontal="left" vertical="center" indent="1"/>
    </xf>
    <xf numFmtId="49" fontId="131" fillId="20" borderId="0" applyAlignment="1" pivotButton="0" quotePrefix="0" xfId="0">
      <alignment horizontal="right" vertical="center"/>
    </xf>
    <xf numFmtId="193" fontId="131" fillId="20" borderId="0" applyAlignment="1" pivotButton="0" quotePrefix="0" xfId="0">
      <alignment horizontal="right" vertical="center"/>
    </xf>
    <xf numFmtId="182" fontId="131" fillId="20" borderId="0" applyAlignment="1" pivotButton="0" quotePrefix="0" xfId="0">
      <alignment horizontal="right" vertical="center"/>
    </xf>
    <xf numFmtId="3" fontId="131" fillId="20" borderId="0" applyAlignment="1" pivotButton="0" quotePrefix="0" xfId="0">
      <alignment horizontal="right" vertical="center"/>
    </xf>
    <xf numFmtId="0" fontId="134" fillId="0" borderId="0" applyAlignment="1" pivotButton="0" quotePrefix="0" xfId="0">
      <alignment horizontal="left" vertical="center" indent="1"/>
    </xf>
    <xf numFmtId="0" fontId="141" fillId="11" borderId="0" applyAlignment="1" pivotButton="0" quotePrefix="0" xfId="0">
      <alignment horizontal="left" vertical="center" indent="1"/>
    </xf>
    <xf numFmtId="0" fontId="142" fillId="0" borderId="0" pivotButton="0" quotePrefix="0" xfId="0"/>
    <xf numFmtId="188" fontId="127" fillId="16" borderId="0" applyAlignment="1" pivotButton="0" quotePrefix="0" xfId="0">
      <alignment horizontal="right" vertical="center"/>
    </xf>
    <xf numFmtId="0" fontId="143" fillId="0" borderId="0" pivotButton="0" quotePrefix="0" xfId="0"/>
    <xf numFmtId="3" fontId="125" fillId="0" borderId="0" applyAlignment="1" pivotButton="0" quotePrefix="0" xfId="0">
      <alignment horizontal="right" vertical="center"/>
    </xf>
    <xf numFmtId="0" fontId="130" fillId="0" borderId="0" pivotButton="0" quotePrefix="0" xfId="0"/>
    <xf numFmtId="0" fontId="131" fillId="0" borderId="0" pivotButton="0" quotePrefix="0" xfId="0"/>
    <xf numFmtId="3" fontId="131" fillId="0" borderId="14" applyAlignment="1" pivotButton="0" quotePrefix="0" xfId="0">
      <alignment horizontal="right" vertical="center"/>
    </xf>
    <xf numFmtId="3" fontId="131" fillId="16" borderId="0" applyAlignment="1" pivotButton="0" quotePrefix="0" xfId="0">
      <alignment horizontal="right" vertical="center"/>
    </xf>
    <xf numFmtId="192" fontId="125" fillId="0" borderId="0" applyAlignment="1" pivotButton="0" quotePrefix="0" xfId="0">
      <alignment horizontal="right" vertical="center"/>
    </xf>
    <xf numFmtId="189" fontId="125" fillId="0" borderId="0" applyAlignment="1" pivotButton="0" quotePrefix="0" xfId="0">
      <alignment horizontal="right" vertical="center"/>
    </xf>
    <xf numFmtId="3" fontId="131" fillId="0" borderId="0" applyAlignment="1" pivotButton="0" quotePrefix="0" xfId="0">
      <alignment horizontal="right" vertical="center"/>
    </xf>
    <xf numFmtId="194" fontId="125" fillId="0" borderId="0" applyAlignment="1" pivotButton="0" quotePrefix="0" xfId="0">
      <alignment horizontal="right" vertical="center"/>
    </xf>
    <xf numFmtId="3" fontId="131" fillId="16" borderId="12" applyAlignment="1" pivotButton="0" quotePrefix="0" xfId="0">
      <alignment horizontal="right" vertical="center"/>
    </xf>
    <xf numFmtId="0" fontId="132" fillId="0" borderId="0" applyAlignment="1" pivotButton="0" quotePrefix="0" xfId="0">
      <alignment horizontal="center" vertical="center"/>
    </xf>
    <xf numFmtId="0" fontId="132" fillId="0" borderId="0" pivotButton="0" quotePrefix="0" xfId="0"/>
    <xf numFmtId="170" fontId="131" fillId="0" borderId="0" applyAlignment="1" pivotButton="0" quotePrefix="0" xfId="0">
      <alignment horizontal="right" vertical="center"/>
    </xf>
    <xf numFmtId="192" fontId="131" fillId="0" borderId="0" applyAlignment="1" pivotButton="0" quotePrefix="0" xfId="0">
      <alignment horizontal="right" vertical="center"/>
    </xf>
    <xf numFmtId="0" fontId="144" fillId="0" borderId="0" pivotButton="0" quotePrefix="0" xfId="0"/>
    <xf numFmtId="170" fontId="133" fillId="0" borderId="0" applyAlignment="1" pivotButton="0" quotePrefix="0" xfId="0">
      <alignment horizontal="right" vertical="center"/>
    </xf>
    <xf numFmtId="192" fontId="133" fillId="0" borderId="0" applyAlignment="1" pivotButton="0" quotePrefix="0" xfId="0">
      <alignment horizontal="right" vertical="center"/>
    </xf>
    <xf numFmtId="189" fontId="133" fillId="0" borderId="0" applyAlignment="1" pivotButton="0" quotePrefix="0" xfId="0">
      <alignment horizontal="right" vertical="center"/>
    </xf>
    <xf numFmtId="189" fontId="131" fillId="0" borderId="0" applyAlignment="1" pivotButton="0" quotePrefix="0" xfId="0">
      <alignment horizontal="right" vertical="center"/>
    </xf>
    <xf numFmtId="0" fontId="145" fillId="0" borderId="0" pivotButton="0" quotePrefix="0" xfId="0"/>
    <xf numFmtId="170" fontId="146" fillId="0" borderId="0" applyAlignment="1" pivotButton="0" quotePrefix="0" xfId="0">
      <alignment horizontal="right" vertical="center"/>
    </xf>
    <xf numFmtId="192" fontId="146" fillId="0" borderId="0" applyAlignment="1" pivotButton="0" quotePrefix="0" xfId="0">
      <alignment horizontal="right" vertical="center"/>
    </xf>
    <xf numFmtId="189" fontId="146" fillId="0" borderId="0" applyAlignment="1" pivotButton="0" quotePrefix="0" xfId="0">
      <alignment horizontal="right" vertical="center"/>
    </xf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>None</a:t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($M)</t>
        </is>
      </c>
      <c r="D9" s="233" t="n"/>
      <c r="E9" s="233" t="n">
        <v>81462</v>
      </c>
      <c r="F9" s="233" t="n">
        <v>96773</v>
      </c>
      <c r="G9" s="233" t="n">
        <v>97690</v>
      </c>
      <c r="H9" s="233" t="n">
        <v>94827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($M)</t>
        </is>
      </c>
      <c r="D10" s="234" t="n"/>
      <c r="E10" s="234" t="n">
        <v>-60609</v>
      </c>
      <c r="F10" s="234" t="n">
        <v>-79113</v>
      </c>
      <c r="G10" s="234" t="n">
        <v>-80240</v>
      </c>
      <c r="H10" s="234" t="n">
        <v>-77733</v>
      </c>
    </row>
    <row r="11" ht="15" customHeight="1">
      <c r="A11" s="3" t="n"/>
      <c r="B11" s="51" t="inlineStr">
        <is>
          <t>Gross Profit</t>
        </is>
      </c>
      <c r="C11" s="52" t="inlineStr">
        <is>
          <t>($M)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($M)</t>
        </is>
      </c>
      <c r="D14" s="233" t="n"/>
      <c r="E14" s="233" t="n">
        <v>-3946</v>
      </c>
      <c r="F14" s="233" t="n">
        <v>-4800</v>
      </c>
      <c r="G14" s="233" t="n">
        <v>-5150</v>
      </c>
      <c r="H14" s="233" t="n">
        <v>-5834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($M)</t>
        </is>
      </c>
      <c r="D15" s="233" t="n"/>
      <c r="E15" s="233" t="n">
        <v>-3075</v>
      </c>
      <c r="F15" s="233" t="n">
        <v>-3969</v>
      </c>
      <c r="G15" s="233" t="n">
        <v>-4540</v>
      </c>
      <c r="H15" s="233" t="n">
        <v>-6411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($M)</t>
        </is>
      </c>
      <c r="D16" s="235" t="n"/>
      <c r="E16" s="235" t="n">
        <v>-3747</v>
      </c>
      <c r="F16" s="235" t="n">
        <v>-4667</v>
      </c>
      <c r="G16" s="235" t="n">
        <v>-5368</v>
      </c>
      <c r="H16" s="235" t="n">
        <v>-6148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($M)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($M)</t>
        </is>
      </c>
      <c r="D20" s="233" t="n"/>
      <c r="E20" s="233" t="n">
        <v>-191</v>
      </c>
      <c r="F20" s="233" t="n">
        <v>-156</v>
      </c>
      <c r="G20" s="233" t="n">
        <v>-350</v>
      </c>
      <c r="H20" s="233" t="n">
        <v>-338</v>
      </c>
    </row>
    <row r="21" ht="15" customHeight="1">
      <c r="A21" s="3" t="n"/>
      <c r="B21" s="17" t="inlineStr">
        <is>
          <t>Interest Income</t>
        </is>
      </c>
      <c r="C21" s="41" t="inlineStr">
        <is>
          <t>($M)</t>
        </is>
      </c>
      <c r="D21" s="235" t="n"/>
      <c r="E21" s="235" t="n">
        <v>297</v>
      </c>
      <c r="F21" s="235" t="n">
        <v>1066</v>
      </c>
      <c r="G21" s="235" t="n">
        <v>1569</v>
      </c>
      <c r="H21" s="235" t="n">
        <v>1680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($M)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($M)</t>
        </is>
      </c>
      <c r="D25" s="233" t="n"/>
      <c r="E25" s="233" t="n">
        <v>-1132</v>
      </c>
      <c r="F25" s="233" t="n">
        <v>-5001</v>
      </c>
      <c r="G25" s="233" t="n">
        <v>-1837</v>
      </c>
      <c r="H25" s="233" t="n">
        <v>-1423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($M)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($M)</t>
        </is>
      </c>
      <c r="D29" s="233" t="n"/>
      <c r="E29" s="233" t="n">
        <v>-89402</v>
      </c>
      <c r="F29" s="233" t="n">
        <v>-77550</v>
      </c>
      <c r="G29" s="233" t="n">
        <v>-94949</v>
      </c>
      <c r="H29" s="233" t="n">
        <v>-90711</v>
      </c>
    </row>
    <row r="30" ht="15" customHeight="1">
      <c r="A30" s="3" t="n"/>
      <c r="B30" s="51" t="inlineStr">
        <is>
          <t>EBITDA</t>
        </is>
      </c>
      <c r="C30" s="52" t="inlineStr">
        <is>
          <t>($M)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($M)</t>
        </is>
      </c>
      <c r="D34" s="236" t="n"/>
      <c r="E34" s="236" t="n">
        <v>16253</v>
      </c>
      <c r="F34" s="236" t="n">
        <v>16398</v>
      </c>
      <c r="G34" s="236" t="n">
        <v>16139</v>
      </c>
      <c r="H34" s="236" t="n">
        <v>16513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($M)</t>
        </is>
      </c>
      <c r="D35" s="233" t="n"/>
      <c r="E35" s="233" t="n">
        <v>2952</v>
      </c>
      <c r="F35" s="233" t="n">
        <v>3508</v>
      </c>
      <c r="G35" s="233" t="n">
        <v>4418</v>
      </c>
      <c r="H35" s="233" t="n">
        <v>4576</v>
      </c>
    </row>
    <row r="36" ht="15" customHeight="1">
      <c r="A36" s="3" t="n"/>
      <c r="B36" s="17" t="inlineStr">
        <is>
          <t>Inventories</t>
        </is>
      </c>
      <c r="C36" s="41" t="inlineStr">
        <is>
          <t>($M)</t>
        </is>
      </c>
      <c r="D36" s="233" t="n"/>
      <c r="E36" s="233" t="n">
        <v>12839</v>
      </c>
      <c r="F36" s="233" t="n">
        <v>13626</v>
      </c>
      <c r="G36" s="233" t="n">
        <v>12017</v>
      </c>
      <c r="H36" s="233" t="n">
        <v>12392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($M)</t>
        </is>
      </c>
      <c r="D37" s="235" t="n"/>
      <c r="E37" s="235" t="n">
        <v>2941</v>
      </c>
      <c r="F37" s="235" t="n">
        <v>3388</v>
      </c>
      <c r="G37" s="235" t="n">
        <v>5362</v>
      </c>
      <c r="H37" s="235" t="n">
        <v>7615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($M)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($M)</t>
        </is>
      </c>
      <c r="D41" s="233" t="n"/>
      <c r="E41" s="233" t="n">
        <v>36635</v>
      </c>
      <c r="F41" s="233" t="n">
        <v>45124</v>
      </c>
      <c r="G41" s="233" t="n">
        <v>51506</v>
      </c>
      <c r="H41" s="233" t="n">
        <v>56180</v>
      </c>
    </row>
    <row r="42" ht="15" customHeight="1">
      <c r="A42" s="3" t="n"/>
      <c r="B42" s="17" t="inlineStr">
        <is>
          <t>Intangible Assets</t>
        </is>
      </c>
      <c r="C42" s="41" t="inlineStr">
        <is>
          <t>($M)</t>
        </is>
      </c>
      <c r="D42" s="233" t="n"/>
      <c r="E42" s="233" t="n">
        <v>593</v>
      </c>
      <c r="F42" s="233" t="n">
        <v>615</v>
      </c>
      <c r="G42" s="233" t="n">
        <v>1470</v>
      </c>
      <c r="H42" s="233" t="n">
        <v>1389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($M)</t>
        </is>
      </c>
      <c r="D43" s="233" t="n"/>
      <c r="E43" s="233" t="n">
        <v>3865</v>
      </c>
      <c r="F43" s="233" t="n">
        <v>4531</v>
      </c>
      <c r="G43" s="233" t="n">
        <v>4215</v>
      </c>
      <c r="H43" s="233" t="n">
        <v>4664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($M)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($M)</t>
        </is>
      </c>
      <c r="D47" s="233" t="n"/>
      <c r="E47" s="233" t="n">
        <v>15255</v>
      </c>
      <c r="F47" s="233" t="n">
        <v>14431</v>
      </c>
      <c r="G47" s="233" t="n">
        <v>12474</v>
      </c>
      <c r="H47" s="233" t="n">
        <v>13371</v>
      </c>
    </row>
    <row r="48" ht="15" customHeight="1">
      <c r="A48" s="3" t="n"/>
      <c r="B48" s="17" t="inlineStr">
        <is>
          <t>Short-Term Debt</t>
        </is>
      </c>
      <c r="C48" s="41" t="inlineStr">
        <is>
          <t>($M)</t>
        </is>
      </c>
      <c r="D48" s="233" t="n"/>
      <c r="E48" s="233" t="n">
        <v>1016</v>
      </c>
      <c r="F48" s="233" t="n">
        <v>1975</v>
      </c>
      <c r="G48" s="233" t="n">
        <v>2343</v>
      </c>
      <c r="H48" s="233" t="n">
        <v>1569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($M)</t>
        </is>
      </c>
      <c r="D49" s="233" t="n"/>
      <c r="E49" s="233" t="n">
        <v>1235</v>
      </c>
      <c r="F49" s="233" t="n">
        <v>1204</v>
      </c>
      <c r="G49" s="233" t="n">
        <v>1367</v>
      </c>
      <c r="H49" s="233" t="n">
        <v>1594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($M)</t>
        </is>
      </c>
      <c r="D50" s="235" t="n"/>
      <c r="E50" s="235" t="n">
        <v>354</v>
      </c>
      <c r="F50" s="235" t="n">
        <v>517</v>
      </c>
      <c r="G50" s="235" t="n">
        <v>1549</v>
      </c>
      <c r="H50" s="235" t="n">
        <v>1932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($M)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($M)</t>
        </is>
      </c>
      <c r="D54" s="235" t="n"/>
      <c r="E54" s="235" t="n">
        <v>1029</v>
      </c>
      <c r="F54" s="235" t="n">
        <v>2682</v>
      </c>
      <c r="G54" s="235" t="n">
        <v>5535</v>
      </c>
      <c r="H54" s="235" t="n">
        <v>6584</v>
      </c>
    </row>
    <row r="55" ht="15" customHeight="1">
      <c r="A55" s="3" t="n"/>
      <c r="B55" s="54" t="inlineStr">
        <is>
          <t>Total Liabilities</t>
        </is>
      </c>
      <c r="C55" s="52" t="inlineStr">
        <is>
          <t>($M)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($M)</t>
        </is>
      </c>
      <c r="D58" s="233" t="n"/>
      <c r="E58" s="233" t="n">
        <v>32180</v>
      </c>
      <c r="F58" s="233" t="n">
        <v>34895</v>
      </c>
      <c r="G58" s="233" t="n">
        <v>38374</v>
      </c>
      <c r="H58" s="233" t="n">
        <v>42773</v>
      </c>
    </row>
    <row r="59" ht="15" customHeight="1">
      <c r="A59" s="3" t="n"/>
      <c r="B59" s="17" t="inlineStr">
        <is>
          <t>Retained Earnings</t>
        </is>
      </c>
      <c r="C59" s="41" t="inlineStr">
        <is>
          <t>($M)</t>
        </is>
      </c>
      <c r="D59" s="243" t="n"/>
      <c r="E59" s="243" t="n">
        <v>12885</v>
      </c>
      <c r="F59" s="243" t="n">
        <v>27882</v>
      </c>
      <c r="G59" s="243" t="n">
        <v>35209</v>
      </c>
      <c r="H59" s="243" t="n">
        <v>39003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($M)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($M)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($M)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($M)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($M)</t>
        </is>
      </c>
      <c r="D71" s="233" t="n"/>
      <c r="E71" s="233" t="n">
        <v>-1124</v>
      </c>
      <c r="F71" s="233" t="n">
        <v>-586</v>
      </c>
      <c r="G71" s="233" t="n">
        <v>-1083</v>
      </c>
      <c r="H71" s="233" t="n">
        <v>-261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($M)</t>
        </is>
      </c>
      <c r="D72" s="233" t="n"/>
      <c r="E72" s="233" t="n">
        <v>-6465</v>
      </c>
      <c r="F72" s="233" t="n">
        <v>-1195</v>
      </c>
      <c r="G72" s="233" t="n">
        <v>937</v>
      </c>
      <c r="H72" s="233" t="n">
        <v>-630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($M)</t>
        </is>
      </c>
      <c r="D73" s="233" t="n"/>
      <c r="E73" s="233" t="n">
        <v>8029</v>
      </c>
      <c r="F73" s="233" t="n">
        <v>2605</v>
      </c>
      <c r="G73" s="233" t="n">
        <v>3588</v>
      </c>
      <c r="H73" s="233" t="n">
        <v>4376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($M)</t>
        </is>
      </c>
      <c r="D74" s="233" t="n"/>
      <c r="E74" s="233" t="n">
        <v>340</v>
      </c>
      <c r="F74" s="233" t="n">
        <v>81</v>
      </c>
      <c r="G74" s="233" t="n">
        <v>172</v>
      </c>
      <c r="H74" s="233" t="n">
        <v>272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($M)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($M)</t>
        </is>
      </c>
      <c r="D78" s="233" t="n"/>
      <c r="E78" s="233" t="n">
        <v>-7172</v>
      </c>
      <c r="F78" s="233" t="n">
        <v>-8899</v>
      </c>
      <c r="G78" s="233" t="n">
        <v>-11342</v>
      </c>
      <c r="H78" s="233" t="n">
        <v>-8527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($M)</t>
        </is>
      </c>
      <c r="D79" s="233" t="n"/>
      <c r="E79" s="233" t="n">
        <v>-5835</v>
      </c>
      <c r="F79" s="233" t="n">
        <v>-19112</v>
      </c>
      <c r="G79" s="233" t="n">
        <v>-35955</v>
      </c>
      <c r="H79" s="233" t="n">
        <v>-37109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($M)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($M)</t>
        </is>
      </c>
      <c r="D83" s="233" t="n"/>
      <c r="E83" s="233" t="n">
        <v>0</v>
      </c>
      <c r="F83" s="233" t="n">
        <v>3931</v>
      </c>
      <c r="G83" s="233" t="n">
        <v>5744</v>
      </c>
      <c r="H83" s="233" t="n">
        <v>5586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($M)</t>
        </is>
      </c>
      <c r="D84" s="233" t="n"/>
      <c r="E84" s="233" t="n">
        <v>0</v>
      </c>
      <c r="F84" s="233" t="n">
        <v>-77550</v>
      </c>
      <c r="G84" s="233" t="n">
        <v>-94949</v>
      </c>
      <c r="H84" s="233" t="n">
        <v>-90711</v>
      </c>
    </row>
    <row r="85" ht="15" customHeight="1">
      <c r="A85" s="3" t="n"/>
      <c r="B85" s="17" t="inlineStr">
        <is>
          <t>Dividends Paid</t>
        </is>
      </c>
      <c r="C85" s="41" t="inlineStr">
        <is>
          <t>($M)</t>
        </is>
      </c>
      <c r="D85" s="233" t="n"/>
      <c r="E85" s="233" t="n">
        <v>-89402</v>
      </c>
      <c r="F85" s="233" t="n">
        <v>-77550</v>
      </c>
      <c r="G85" s="233" t="n">
        <v>-94949</v>
      </c>
      <c r="H85" s="233" t="n">
        <v>-90711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($M)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($M)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($M)</t>
        </is>
      </c>
      <c r="D90" s="233" t="n"/>
      <c r="E90" s="233" t="n">
        <v>18144</v>
      </c>
      <c r="F90" s="233" t="n">
        <v>16924</v>
      </c>
      <c r="G90" s="233" t="n">
        <v>17189</v>
      </c>
      <c r="H90" s="233" t="n">
        <v>17037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($M)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348.95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(M)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3752.43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($M)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($M)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1.915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0.0432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0.0415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0.0825</v>
      </c>
      <c r="F104" s="426" t="n">
        <v>0.25</v>
      </c>
      <c r="G104" s="426" t="n">
        <v>0.2049</v>
      </c>
      <c r="H104" s="427" t="n">
        <v>0.2045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0.9938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0.0062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0.025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Tesla, Inc.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TSLA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Consumer Cyclical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USD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2026-04-11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($M)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($M)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($M)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($M)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($M)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($M)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($M)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($M)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($M)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($M)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($M)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($M)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millions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millions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($M)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($M)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General Motors Company</t>
        </is>
      </c>
      <c r="C9" s="9" t="inlineStr">
        <is>
          <t>GM</t>
        </is>
      </c>
      <c r="D9" s="588" t="n">
        <v>76.42</v>
      </c>
      <c r="E9" s="589" t="n">
        <v>175039.22</v>
      </c>
      <c r="F9" s="589" t="n">
        <v>185019.01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Ford Motor Company</t>
        </is>
      </c>
      <c r="C10" s="9" t="inlineStr">
        <is>
          <t>F</t>
        </is>
      </c>
      <c r="D10" s="588" t="n">
        <v>12.13</v>
      </c>
      <c r="E10" s="589" t="n">
        <v>185725.34</v>
      </c>
      <c r="F10" s="589" t="n">
        <v>187267.01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STLA.MI</t>
        </is>
      </c>
      <c r="C11" s="9" t="inlineStr">
        <is>
          <t>STLA.MI</t>
        </is>
      </c>
      <c r="D11" s="588" t="n">
        <v>525.72</v>
      </c>
      <c r="E11" s="589" t="n">
        <v>1333326.91</v>
      </c>
      <c r="F11" s="589" t="n">
        <v>200966</v>
      </c>
      <c r="G11" s="589" t="n">
        <v>101892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Bayerische Motoren Werke Aktiengesellschaft</t>
        </is>
      </c>
      <c r="C12" s="9" t="inlineStr">
        <is>
          <t>BMW.DE</t>
        </is>
      </c>
      <c r="D12" s="588" t="n">
        <v>83.84</v>
      </c>
      <c r="E12" s="589" t="n">
        <v>147955.63</v>
      </c>
      <c r="F12" s="589" t="n">
        <v>133453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Volkswagen AG</t>
        </is>
      </c>
      <c r="C13" s="9" t="inlineStr">
        <is>
          <t>VOW3.DE</t>
        </is>
      </c>
      <c r="D13" s="591" t="n">
        <v>89.04000000000001</v>
      </c>
      <c r="E13" s="592" t="n">
        <v>260028.33</v>
      </c>
      <c r="F13" s="592" t="n">
        <v>321913</v>
      </c>
      <c r="G13" s="592" t="n">
        <v>24292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millions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($M)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($M)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($M)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($M)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($M)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346.46</v>
      </c>
    </row>
    <row r="4">
      <c r="A4" s="253" t="n">
        <v>2</v>
      </c>
      <c r="B4" t="inlineStr">
        <is>
          <t>Jun-25</t>
        </is>
      </c>
      <c r="C4" s="642" t="n">
        <v>317.66</v>
      </c>
    </row>
    <row r="5">
      <c r="A5" s="253" t="n">
        <v>3</v>
      </c>
      <c r="B5" t="inlineStr">
        <is>
          <t>Jul-25</t>
        </is>
      </c>
      <c r="C5" s="642" t="n">
        <v>308.27</v>
      </c>
    </row>
    <row r="6">
      <c r="A6" s="253" t="n">
        <v>4</v>
      </c>
      <c r="B6" t="inlineStr">
        <is>
          <t>Aug-25</t>
        </is>
      </c>
      <c r="C6" s="642" t="n">
        <v>333.87</v>
      </c>
    </row>
    <row r="7">
      <c r="A7" s="253" t="n">
        <v>5</v>
      </c>
      <c r="B7" t="inlineStr">
        <is>
          <t>Sep-25</t>
        </is>
      </c>
      <c r="C7" s="642" t="n">
        <v>444.72</v>
      </c>
    </row>
    <row r="8">
      <c r="A8" s="253" t="n">
        <v>6</v>
      </c>
      <c r="B8" t="inlineStr">
        <is>
          <t>Oct-25</t>
        </is>
      </c>
      <c r="C8" s="642" t="n">
        <v>456.56</v>
      </c>
    </row>
    <row r="9">
      <c r="A9" s="253" t="n">
        <v>7</v>
      </c>
      <c r="B9" t="inlineStr">
        <is>
          <t>Nov-25</t>
        </is>
      </c>
      <c r="C9" s="642" t="n">
        <v>430.17</v>
      </c>
    </row>
    <row r="10">
      <c r="A10" s="253" t="n">
        <v>8</v>
      </c>
      <c r="B10" t="inlineStr">
        <is>
          <t>Dec-25</t>
        </is>
      </c>
      <c r="C10" s="642" t="n">
        <v>449.72</v>
      </c>
    </row>
    <row r="11">
      <c r="A11" s="253" t="n">
        <v>9</v>
      </c>
      <c r="B11" t="inlineStr">
        <is>
          <t>Jan-26</t>
        </is>
      </c>
      <c r="C11" s="642" t="n">
        <v>430.41</v>
      </c>
    </row>
    <row r="12">
      <c r="A12" s="253" t="n">
        <v>10</v>
      </c>
      <c r="B12" t="inlineStr">
        <is>
          <t>Feb-26</t>
        </is>
      </c>
      <c r="C12" s="642" t="n">
        <v>402.51</v>
      </c>
    </row>
    <row r="13">
      <c r="A13" s="253" t="n">
        <v>11</v>
      </c>
      <c r="B13" t="inlineStr">
        <is>
          <t>Mar-26</t>
        </is>
      </c>
      <c r="C13" s="642" t="n">
        <v>371.75</v>
      </c>
    </row>
    <row r="14">
      <c r="A14" s="253" t="n">
        <v>12</v>
      </c>
      <c r="B14" t="inlineStr">
        <is>
          <t>Apr-26</t>
        </is>
      </c>
      <c r="C14" s="642" t="n">
        <v>348.95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M73"/>
  <sheetViews>
    <sheetView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54.95" customHeight="1">
      <c r="B1" s="643" t="inlineStr">
        <is>
          <t>FinSight</t>
        </is>
      </c>
    </row>
    <row r="3" ht="24" customHeight="1">
      <c r="B3" s="644" t="inlineStr">
        <is>
          <t>MODÈLE LBO</t>
        </is>
      </c>
    </row>
    <row r="4" ht="16" customHeight="1">
      <c r="B4" s="645" t="inlineStr">
        <is>
          <t>Modèle institutionnel mid-market  ·  calculs sur 5 ans  ·  toutes hypothèses paramétrables (cellules jaunes)</t>
        </is>
      </c>
    </row>
    <row r="6" ht="20" customHeight="1">
      <c r="B6" s="646" t="inlineStr">
        <is>
          <t>A.  PROFIL &amp; ÉLIGIBILITÉ</t>
        </is>
      </c>
    </row>
    <row r="7">
      <c r="B7" s="647" t="inlineStr">
        <is>
          <t>Société</t>
        </is>
      </c>
      <c r="C7" s="648">
        <f>IFERROR(TRIM(MID(STOCK_DATA!A1,14,FIND("(",STOCK_DATA!A1)-15)),"")</f>
        <v/>
      </c>
      <c r="G7" s="647" t="inlineStr">
        <is>
          <t>Enterprise Value LTM</t>
        </is>
      </c>
      <c r="H7" s="649">
        <f>INPUT!H98</f>
        <v/>
      </c>
    </row>
    <row r="8">
      <c r="B8" s="647" t="inlineStr">
        <is>
          <t>Ticker</t>
        </is>
      </c>
      <c r="C8" s="648">
        <f>IFERROR(MID(STOCK_DATA!A1,SEARCH("(",STOCK_DATA!A1)+1,SEARCH(")",STOCK_DATA!A1)-SEARCH("(",STOCK_DATA!A1)-1),"")</f>
        <v/>
      </c>
      <c r="G8" s="647" t="inlineStr">
        <is>
          <t>EBITDA LTM</t>
        </is>
      </c>
      <c r="H8" s="649">
        <f>INPUT!H30</f>
        <v/>
      </c>
    </row>
    <row r="9">
      <c r="B9" s="647" t="inlineStr">
        <is>
          <t>Revenue LTM</t>
        </is>
      </c>
      <c r="C9" s="649">
        <f>INPUT!H9</f>
        <v/>
      </c>
      <c r="G9" s="647" t="inlineStr">
        <is>
          <t>Net Debt / EBITDA</t>
        </is>
      </c>
      <c r="H9" s="650">
        <f>IFERROR((INPUT!H54+INPUT!H48-INPUT!H34)/INPUT!H30,0)</f>
        <v/>
      </c>
    </row>
    <row r="10">
      <c r="B10" s="647" t="inlineStr">
        <is>
          <t>Marge EBITDA</t>
        </is>
      </c>
      <c r="C10" s="651">
        <f>IFERROR(INPUT!H30/INPUT!H9,0)</f>
        <v/>
      </c>
      <c r="G10" s="647" t="inlineStr">
        <is>
          <t>Cash Conversion (FCF/EBITDA)</t>
        </is>
      </c>
      <c r="H10" s="651">
        <f>IFERROR(DCF!H49/INPUT!H30,0)</f>
        <v/>
      </c>
    </row>
    <row r="12" ht="28" customHeight="1">
      <c r="B12" s="652">
        <f>IF(AND(INPUT!H30&gt;0,IFERROR(INPUT!H30/INPUT!H9,0)&gt;0.15,IFERROR(DCF!H49/INPUT!H30,0)&gt;0.6,IFERROR((INPUT!H54+INPUT!H48-INPUT!H34)/INPUT!H30,99)&lt;3.5),"  ✓  PROFIL LBO-ABLE  —  Société éligible aux critères d'un LBO mid-market standard","  ✗  PROFIL NON ÉLIGIBLE  —  Voir critères ci-dessous pour les freins identifiés")</f>
        <v/>
      </c>
    </row>
    <row r="13">
      <c r="B13" s="653">
        <f>IF(IFERROR(INPUT!H30/INPUT!H9,0)&gt;0.15,"✓ Marge EBITDA &gt; 15%","✗ Marge EBITDA &lt; 15%")</f>
        <v/>
      </c>
      <c r="E13" s="653">
        <f>IF(IFERROR(DCF!H49/INPUT!H30,0)&gt;0.6,"✓ Cash conv &gt; 60%","✗ Cash conv &lt; 60%")</f>
        <v/>
      </c>
      <c r="H13" s="653">
        <f>IF(IFERROR((INPUT!H54+INPUT!H48-INPUT!H34)/INPUT!H30,99)&lt;3.5,"✓ Levier &lt; 3,5x","✗ Levier &gt; 3,5x")</f>
        <v/>
      </c>
      <c r="K13" s="653">
        <f>IF(INPUT!H30&gt;0,"✓ EBITDA positif","✗ EBITDA négatif")</f>
        <v/>
      </c>
    </row>
    <row r="14" ht="22" customHeight="1">
      <c r="B14" s="654">
        <f>IF(INPUT!H98&gt;100000000,"  ⚠⚠  SCÉNARIO THÉORIQUE  —  EV &gt; 100 Md$, taille hors marché LBO historique",IF(INPUT!H98&gt;50000000,"  ⚠  MEGA-DEAL  —  EV entre 50 et 100 Md$, syndicate sponsorship requis (type Twitter/X, Heinz)",""))</f>
        <v/>
      </c>
    </row>
    <row r="16" ht="20" customHeight="1">
      <c r="B16" s="646" t="inlineStr">
        <is>
          <t>B.  HYPOTHÈSES (cellules jaunes paramétrables)</t>
        </is>
      </c>
    </row>
    <row r="17">
      <c r="B17" s="655" t="inlineStr">
        <is>
          <t>Multiple d'entrée (× EBITDA LTM)</t>
        </is>
      </c>
      <c r="C17" s="656" t="n">
        <v>14</v>
      </c>
      <c r="F17" s="657" t="inlineStr">
        <is>
          <t>EV / EBITDA actuel marché</t>
        </is>
      </c>
      <c r="L17" s="658">
        <f>IFERROR(INPUT!H98/INPUT!H30,0)</f>
        <v/>
      </c>
    </row>
    <row r="18">
      <c r="B18" s="659" t="inlineStr">
        <is>
          <t>Premium implicite vs Market Cap (calculé)</t>
        </is>
      </c>
      <c r="C18" s="660">
        <f>IFERROR((L28-INPUT!H97)/INPUT!H97,0)</f>
        <v/>
      </c>
      <c r="F18" s="657" t="inlineStr">
        <is>
          <t>EV / EBITDA peers (méd. COMPARABLES)</t>
        </is>
      </c>
      <c r="L18" s="658">
        <f>IFERROR(MEDIAN(COMPARABLES!H4:H20),0)</f>
        <v/>
      </c>
    </row>
    <row r="19">
      <c r="B19" s="655" t="inlineStr">
        <is>
          <t>Leverage total au closing (× EBITDA)</t>
        </is>
      </c>
      <c r="C19" s="656" t="n">
        <v>5</v>
      </c>
      <c r="F19" s="657" t="inlineStr">
        <is>
          <t>Différence vs multiple d'entrée saisi</t>
        </is>
      </c>
      <c r="L19" s="661">
        <f>IFERROR(C17-L17,0)</f>
        <v/>
      </c>
    </row>
    <row r="20">
      <c r="B20" s="655" t="inlineStr">
        <is>
          <t xml:space="preserve">  · dont Senior Term Loan B</t>
        </is>
      </c>
      <c r="C20" s="656" t="n">
        <v>3.5</v>
      </c>
    </row>
    <row r="21">
      <c r="B21" s="655" t="inlineStr">
        <is>
          <t xml:space="preserve">  · dont Mezzanine</t>
        </is>
      </c>
      <c r="C21" s="656" t="n">
        <v>1.5</v>
      </c>
      <c r="F21" s="662" t="inlineStr">
        <is>
          <t>Recommandation multiple d'entrée</t>
        </is>
      </c>
      <c r="L21" s="663">
        <f>IFERROR(ROUND(MAX(C17,L17*1.1),1),C17)</f>
        <v/>
      </c>
    </row>
    <row r="22">
      <c r="B22" s="655" t="inlineStr">
        <is>
          <t>Coût Senior TLB (SOFR + 400 bps)</t>
        </is>
      </c>
      <c r="C22" s="664" t="n">
        <v>0.08</v>
      </c>
      <c r="F22" s="665" t="inlineStr">
        <is>
          <t>Note : pour un LBO réaliste, le multiple d'entrée doit être &gt;= multiple actuel + 10% (premium d'acquisition).</t>
        </is>
      </c>
    </row>
    <row r="23">
      <c r="B23" s="655" t="inlineStr">
        <is>
          <t>Coût Mezzanine (cash 5% + PIK 5%)</t>
        </is>
      </c>
      <c r="C23" s="664" t="n">
        <v>0.1</v>
      </c>
    </row>
    <row r="24">
      <c r="B24" s="655" t="inlineStr">
        <is>
          <t>Multiple de sortie (× EBITDA Y5)</t>
        </is>
      </c>
      <c r="C24" s="656" t="n">
        <v>14</v>
      </c>
    </row>
    <row r="25">
      <c r="B25" s="655" t="inlineStr">
        <is>
          <t>Période de détention (années)</t>
        </is>
      </c>
      <c r="C25" s="666" t="n">
        <v>5</v>
      </c>
    </row>
    <row r="26">
      <c r="B26" s="655" t="inlineStr">
        <is>
          <t>Transaction fees (% EV deal)</t>
        </is>
      </c>
      <c r="C26" s="664" t="n">
        <v>0.025</v>
      </c>
    </row>
    <row r="27">
      <c r="B27" s="655" t="inlineStr">
        <is>
          <t>Cash minimum BS (% EV)</t>
        </is>
      </c>
      <c r="C27" s="664" t="n">
        <v>0.05</v>
      </c>
    </row>
    <row r="28">
      <c r="K28" s="667" t="inlineStr">
        <is>
          <t>EV_deal:</t>
        </is>
      </c>
      <c r="L28" s="668">
        <f>C17*INPUT!H30</f>
        <v/>
      </c>
    </row>
    <row r="29" ht="20" customHeight="1">
      <c r="B29" s="646" t="inlineStr">
        <is>
          <t>C.  SOURCES &amp; USES</t>
        </is>
      </c>
    </row>
    <row r="30">
      <c r="B30" s="669" t="inlineStr">
        <is>
          <t>SOURCES (financement)</t>
        </is>
      </c>
      <c r="G30" s="669" t="inlineStr">
        <is>
          <t>USES (utilisation)</t>
        </is>
      </c>
    </row>
    <row r="31">
      <c r="B31" s="670" t="inlineStr">
        <is>
          <t>Sponsor Equity</t>
        </is>
      </c>
      <c r="D31" s="649">
        <f>L35-D32-D33</f>
        <v/>
      </c>
      <c r="E31" s="671">
        <f>IFERROR(D31/L35,0)</f>
        <v/>
      </c>
      <c r="G31" s="670" t="inlineStr">
        <is>
          <t>Purchase price equity</t>
        </is>
      </c>
      <c r="L31" s="649">
        <f>L28-(INPUT!H54+INPUT!H48-INPUT!H34)</f>
        <v/>
      </c>
    </row>
    <row r="32">
      <c r="B32" s="670" t="inlineStr">
        <is>
          <t>Senior Term Loan B</t>
        </is>
      </c>
      <c r="D32" s="649">
        <f>C20*INPUT!H30</f>
        <v/>
      </c>
      <c r="E32" s="671">
        <f>IFERROR(D32/L35,0)</f>
        <v/>
      </c>
      <c r="G32" s="670" t="inlineStr">
        <is>
          <t>Refinancement dette existante</t>
        </is>
      </c>
      <c r="L32" s="649">
        <f>INPUT!H54+INPUT!H48</f>
        <v/>
      </c>
    </row>
    <row r="33">
      <c r="B33" s="670" t="inlineStr">
        <is>
          <t>Mezzanine</t>
        </is>
      </c>
      <c r="D33" s="649">
        <f>C21*INPUT!H30</f>
        <v/>
      </c>
      <c r="E33" s="671">
        <f>IFERROR(D33/L35,0)</f>
        <v/>
      </c>
      <c r="G33" s="670" t="inlineStr">
        <is>
          <t>Transaction fees</t>
        </is>
      </c>
      <c r="L33" s="649">
        <f>L28*C26</f>
        <v/>
      </c>
    </row>
    <row r="34">
      <c r="G34" s="670" t="inlineStr">
        <is>
          <t>Cash minimum sur BS</t>
        </is>
      </c>
      <c r="L34" s="649">
        <f>L28*C27</f>
        <v/>
      </c>
    </row>
    <row r="35">
      <c r="B35" s="672" t="inlineStr">
        <is>
          <t>TOTAL SOURCES</t>
        </is>
      </c>
      <c r="D35" s="673">
        <f>SUM(D31:D33)</f>
        <v/>
      </c>
      <c r="E35" s="674">
        <f>IFERROR(D35/L35,0)</f>
        <v/>
      </c>
      <c r="G35" s="672" t="inlineStr">
        <is>
          <t>TOTAL USES</t>
        </is>
      </c>
      <c r="L35" s="673">
        <f>SUM(L31:L34)</f>
        <v/>
      </c>
    </row>
    <row r="37" ht="20" customHeight="1">
      <c r="B37" s="646" t="inlineStr">
        <is>
          <t>D.  RETURNS BASE CASE  —  Sortie Y5</t>
        </is>
      </c>
    </row>
    <row r="38">
      <c r="B38" s="647" t="inlineStr">
        <is>
          <t>Equity entry sponsor</t>
        </is>
      </c>
      <c r="C38" s="675">
        <f>D31</f>
        <v/>
      </c>
    </row>
    <row r="39">
      <c r="B39" s="647" t="inlineStr">
        <is>
          <t>Equity exit (Y5)</t>
        </is>
      </c>
      <c r="C39" s="675">
        <f>_LBO_CALC!N50</f>
        <v/>
      </c>
    </row>
    <row r="41" ht="30" customHeight="1">
      <c r="B41" s="676" t="inlineStr">
        <is>
          <t>IRR Sponsor</t>
        </is>
      </c>
      <c r="G41" s="676" t="inlineStr">
        <is>
          <t>MOIC</t>
        </is>
      </c>
    </row>
    <row r="42" ht="36" customHeight="1">
      <c r="B42" s="677">
        <f>_LBO_CALC!N51</f>
        <v/>
      </c>
      <c r="G42" s="678">
        <f>_LBO_CALC!N52</f>
        <v/>
      </c>
    </row>
    <row r="44">
      <c r="B44" s="647" t="inlineStr">
        <is>
          <t>Money-back period</t>
        </is>
      </c>
      <c r="C44" s="679">
        <f>IF(_LBO_CALC!N51&lt;=0,"N/A",IF(LN(2)/LN(1+_LBO_CALC!N51)&gt;C25*2,"&gt;"&amp;TEXT(C25*2,"0")&amp;" ans",ROUND(LN(2)/LN(1+_LBO_CALC!N51),1)&amp;" ans"))</f>
        <v/>
      </c>
    </row>
    <row r="46" ht="20" customHeight="1">
      <c r="B46" s="646" t="inlineStr">
        <is>
          <t>E.  SENSIBILITÉ IRR  —  Multiple d'entrée × Multiple de sortie</t>
        </is>
      </c>
    </row>
    <row r="47">
      <c r="B47" s="680" t="inlineStr">
        <is>
          <t>↓ Mult. entrée  /  Mult. sortie →</t>
        </is>
      </c>
      <c r="E47" s="681">
        <f>C24+(-2)</f>
        <v/>
      </c>
      <c r="F47" s="681">
        <f>C24+(-1)</f>
        <v/>
      </c>
      <c r="G47" s="681">
        <f>C24+(0)</f>
        <v/>
      </c>
      <c r="H47" s="681">
        <f>C24+(1)</f>
        <v/>
      </c>
      <c r="I47" s="681">
        <f>C24+(2)</f>
        <v/>
      </c>
    </row>
    <row r="48">
      <c r="B48" s="681">
        <f>C17+(-2)</f>
        <v/>
      </c>
      <c r="E48" s="682">
        <f>IFERROR(((_LBO_CALC!$M$7*(C24+(-2))-_LBO_CALC!$M$30)/MAX(1,(INPUT!H30*(C17+(-2))*1.075-C19*INPUT!H30)))^(1/C25)-1,0)</f>
        <v/>
      </c>
      <c r="F48" s="682">
        <f>IFERROR(((_LBO_CALC!$M$7*(C24+(-1))-_LBO_CALC!$M$30)/MAX(1,(INPUT!H30*(C17+(-2))*1.075-C19*INPUT!H30)))^(1/C25)-1,0)</f>
        <v/>
      </c>
      <c r="G48" s="682">
        <f>IFERROR(((_LBO_CALC!$M$7*(C24+(0))-_LBO_CALC!$M$30)/MAX(1,(INPUT!H30*(C17+(-2))*1.075-C19*INPUT!H30)))^(1/C25)-1,0)</f>
        <v/>
      </c>
      <c r="H48" s="682">
        <f>IFERROR(((_LBO_CALC!$M$7*(C24+(1))-_LBO_CALC!$M$30)/MAX(1,(INPUT!H30*(C17+(-2))*1.075-C19*INPUT!H30)))^(1/C25)-1,0)</f>
        <v/>
      </c>
      <c r="I48" s="682">
        <f>IFERROR(((_LBO_CALC!$M$7*(C24+(2))-_LBO_CALC!$M$30)/MAX(1,(INPUT!H30*(C17+(-2))*1.075-C19*INPUT!H30)))^(1/C25)-1,0)</f>
        <v/>
      </c>
    </row>
    <row r="49">
      <c r="B49" s="681">
        <f>C17+(-1)</f>
        <v/>
      </c>
      <c r="E49" s="682">
        <f>IFERROR(((_LBO_CALC!$M$7*(C24+(-2))-_LBO_CALC!$M$30)/MAX(1,(INPUT!H30*(C17+(-1))*1.075-C19*INPUT!H30)))^(1/C25)-1,0)</f>
        <v/>
      </c>
      <c r="F49" s="682">
        <f>IFERROR(((_LBO_CALC!$M$7*(C24+(-1))-_LBO_CALC!$M$30)/MAX(1,(INPUT!H30*(C17+(-1))*1.075-C19*INPUT!H30)))^(1/C25)-1,0)</f>
        <v/>
      </c>
      <c r="G49" s="682">
        <f>IFERROR(((_LBO_CALC!$M$7*(C24+(0))-_LBO_CALC!$M$30)/MAX(1,(INPUT!H30*(C17+(-1))*1.075-C19*INPUT!H30)))^(1/C25)-1,0)</f>
        <v/>
      </c>
      <c r="H49" s="682">
        <f>IFERROR(((_LBO_CALC!$M$7*(C24+(1))-_LBO_CALC!$M$30)/MAX(1,(INPUT!H30*(C17+(-1))*1.075-C19*INPUT!H30)))^(1/C25)-1,0)</f>
        <v/>
      </c>
      <c r="I49" s="682">
        <f>IFERROR(((_LBO_CALC!$M$7*(C24+(2))-_LBO_CALC!$M$30)/MAX(1,(INPUT!H30*(C17+(-1))*1.075-C19*INPUT!H30)))^(1/C25)-1,0)</f>
        <v/>
      </c>
    </row>
    <row r="50">
      <c r="B50" s="681">
        <f>C17+(0)</f>
        <v/>
      </c>
      <c r="E50" s="682">
        <f>IFERROR(((_LBO_CALC!$M$7*(C24+(-2))-_LBO_CALC!$M$30)/MAX(1,(INPUT!H30*(C17+(0))*1.075-C19*INPUT!H30)))^(1/C25)-1,0)</f>
        <v/>
      </c>
      <c r="F50" s="682">
        <f>IFERROR(((_LBO_CALC!$M$7*(C24+(-1))-_LBO_CALC!$M$30)/MAX(1,(INPUT!H30*(C17+(0))*1.075-C19*INPUT!H30)))^(1/C25)-1,0)</f>
        <v/>
      </c>
      <c r="G50" s="682">
        <f>IFERROR(((_LBO_CALC!$M$7*(C24+(0))-_LBO_CALC!$M$30)/MAX(1,(INPUT!H30*(C17+(0))*1.075-C19*INPUT!H30)))^(1/C25)-1,0)</f>
        <v/>
      </c>
      <c r="H50" s="682">
        <f>IFERROR(((_LBO_CALC!$M$7*(C24+(1))-_LBO_CALC!$M$30)/MAX(1,(INPUT!H30*(C17+(0))*1.075-C19*INPUT!H30)))^(1/C25)-1,0)</f>
        <v/>
      </c>
      <c r="I50" s="682">
        <f>IFERROR(((_LBO_CALC!$M$7*(C24+(2))-_LBO_CALC!$M$30)/MAX(1,(INPUT!H30*(C17+(0))*1.075-C19*INPUT!H30)))^(1/C25)-1,0)</f>
        <v/>
      </c>
    </row>
    <row r="51">
      <c r="B51" s="681">
        <f>C17+(1)</f>
        <v/>
      </c>
      <c r="E51" s="682">
        <f>IFERROR(((_LBO_CALC!$M$7*(C24+(-2))-_LBO_CALC!$M$30)/MAX(1,(INPUT!H30*(C17+(1))*1.075-C19*INPUT!H30)))^(1/C25)-1,0)</f>
        <v/>
      </c>
      <c r="F51" s="682">
        <f>IFERROR(((_LBO_CALC!$M$7*(C24+(-1))-_LBO_CALC!$M$30)/MAX(1,(INPUT!H30*(C17+(1))*1.075-C19*INPUT!H30)))^(1/C25)-1,0)</f>
        <v/>
      </c>
      <c r="G51" s="682">
        <f>IFERROR(((_LBO_CALC!$M$7*(C24+(0))-_LBO_CALC!$M$30)/MAX(1,(INPUT!H30*(C17+(1))*1.075-C19*INPUT!H30)))^(1/C25)-1,0)</f>
        <v/>
      </c>
      <c r="H51" s="682">
        <f>IFERROR(((_LBO_CALC!$M$7*(C24+(1))-_LBO_CALC!$M$30)/MAX(1,(INPUT!H30*(C17+(1))*1.075-C19*INPUT!H30)))^(1/C25)-1,0)</f>
        <v/>
      </c>
      <c r="I51" s="682">
        <f>IFERROR(((_LBO_CALC!$M$7*(C24+(2))-_LBO_CALC!$M$30)/MAX(1,(INPUT!H30*(C17+(1))*1.075-C19*INPUT!H30)))^(1/C25)-1,0)</f>
        <v/>
      </c>
    </row>
    <row r="52">
      <c r="B52" s="681">
        <f>C17+(2)</f>
        <v/>
      </c>
      <c r="E52" s="682">
        <f>IFERROR(((_LBO_CALC!$M$7*(C24+(-2))-_LBO_CALC!$M$30)/MAX(1,(INPUT!H30*(C17+(2))*1.075-C19*INPUT!H30)))^(1/C25)-1,0)</f>
        <v/>
      </c>
      <c r="F52" s="682">
        <f>IFERROR(((_LBO_CALC!$M$7*(C24+(-1))-_LBO_CALC!$M$30)/MAX(1,(INPUT!H30*(C17+(2))*1.075-C19*INPUT!H30)))^(1/C25)-1,0)</f>
        <v/>
      </c>
      <c r="G52" s="682">
        <f>IFERROR(((_LBO_CALC!$M$7*(C24+(0))-_LBO_CALC!$M$30)/MAX(1,(INPUT!H30*(C17+(2))*1.075-C19*INPUT!H30)))^(1/C25)-1,0)</f>
        <v/>
      </c>
      <c r="H52" s="682">
        <f>IFERROR(((_LBO_CALC!$M$7*(C24+(1))-_LBO_CALC!$M$30)/MAX(1,(INPUT!H30*(C17+(2))*1.075-C19*INPUT!H30)))^(1/C25)-1,0)</f>
        <v/>
      </c>
      <c r="I52" s="682">
        <f>IFERROR(((_LBO_CALC!$M$7*(C24+(2))-_LBO_CALC!$M$30)/MAX(1,(INPUT!H30*(C17+(2))*1.075-C19*INPUT!H30)))^(1/C25)-1,0)</f>
        <v/>
      </c>
    </row>
    <row r="54" ht="20" customHeight="1">
      <c r="B54" s="646" t="inlineStr">
        <is>
          <t>F.  SCÉNARIOS  —  Bull / Base / Bear</t>
        </is>
      </c>
    </row>
    <row r="55">
      <c r="B55" s="683" t="inlineStr">
        <is>
          <t>Métrique</t>
        </is>
      </c>
      <c r="E55" s="684" t="inlineStr">
        <is>
          <t>BULL</t>
        </is>
      </c>
      <c r="G55" s="685" t="inlineStr">
        <is>
          <t>BASE</t>
        </is>
      </c>
      <c r="I55" s="686" t="inlineStr">
        <is>
          <t>BEAR</t>
        </is>
      </c>
    </row>
    <row r="56">
      <c r="B56" s="687" t="inlineStr">
        <is>
          <t>IRR Sponsor</t>
        </is>
      </c>
      <c r="E56" s="688">
        <f>_LBO_CALC!P55</f>
        <v/>
      </c>
      <c r="G56" s="689">
        <f>_LBO_CALC!P56</f>
        <v/>
      </c>
      <c r="I56" s="690">
        <f>_LBO_CALC!P57</f>
        <v/>
      </c>
    </row>
    <row r="57">
      <c r="B57" s="687" t="inlineStr">
        <is>
          <t>MOIC</t>
        </is>
      </c>
      <c r="E57" s="691">
        <f>_LBO_CALC!Q55</f>
        <v/>
      </c>
      <c r="G57" s="692">
        <f>_LBO_CALC!Q56</f>
        <v/>
      </c>
      <c r="I57" s="693">
        <f>_LBO_CALC!Q57</f>
        <v/>
      </c>
    </row>
    <row r="58">
      <c r="B58" s="687" t="inlineStr">
        <is>
          <t>Leverage exit</t>
        </is>
      </c>
      <c r="E58" s="694">
        <f>_LBO_CALC!R55</f>
        <v/>
      </c>
      <c r="G58" s="695">
        <f>_LBO_CALC!R56</f>
        <v/>
      </c>
      <c r="I58" s="696">
        <f>_LBO_CALC!R57</f>
        <v/>
      </c>
    </row>
    <row r="59">
      <c r="B59" s="687" t="inlineStr">
        <is>
          <t>ICR exit (EBIT/Int)</t>
        </is>
      </c>
      <c r="E59" s="694">
        <f>_LBO_CALC!S55</f>
        <v/>
      </c>
      <c r="G59" s="695">
        <f>_LBO_CALC!S56</f>
        <v/>
      </c>
      <c r="I59" s="696">
        <f>_LBO_CALC!S57</f>
        <v/>
      </c>
    </row>
    <row r="61" ht="20" customHeight="1">
      <c r="B61" s="646" t="inlineStr">
        <is>
          <t>G.  EXPORT  —  Données reprises dans le PPTX et le PDF</t>
        </is>
      </c>
    </row>
    <row r="62">
      <c r="B62" s="697" t="inlineStr">
        <is>
          <t>LBO_ELIGIBLE</t>
        </is>
      </c>
      <c r="C62" s="698">
        <f>IF(AND(INPUT!H30&gt;0,IFERROR(INPUT!H30/INPUT!H9,0)&gt;0.15,IFERROR(DCF!H49/INPUT!H30,0)&gt;0.6,IFERROR((INPUT!H54+INPUT!H48-INPUT!H34)/INPUT!H30,99)&lt;3.5),"OUI","NON")</f>
        <v/>
      </c>
    </row>
    <row r="63">
      <c r="B63" s="697" t="inlineStr">
        <is>
          <t>LBO_MEGA_FLAG</t>
        </is>
      </c>
      <c r="C63" s="698">
        <f>IF(INPUT!H98&gt;100000000,"theorique",IF(INPUT!H98&gt;50000000,"mega","standard"))</f>
        <v/>
      </c>
    </row>
    <row r="64">
      <c r="B64" s="697" t="inlineStr">
        <is>
          <t>LBO_IRR_BASE</t>
        </is>
      </c>
      <c r="C64" s="699">
        <f>_LBO_CALC!N51</f>
        <v/>
      </c>
    </row>
    <row r="65">
      <c r="B65" s="697" t="inlineStr">
        <is>
          <t>LBO_MOIC_BASE</t>
        </is>
      </c>
      <c r="C65" s="700">
        <f>_LBO_CALC!N52</f>
        <v/>
      </c>
    </row>
    <row r="66">
      <c r="B66" s="697" t="inlineStr">
        <is>
          <t>LBO_IRR_BULL</t>
        </is>
      </c>
      <c r="C66" s="699">
        <f>_LBO_CALC!P55</f>
        <v/>
      </c>
    </row>
    <row r="67">
      <c r="B67" s="697" t="inlineStr">
        <is>
          <t>LBO_IRR_BEAR</t>
        </is>
      </c>
      <c r="C67" s="699">
        <f>_LBO_CALC!P57</f>
        <v/>
      </c>
    </row>
    <row r="68">
      <c r="B68" s="697" t="inlineStr">
        <is>
          <t>LBO_LEVERAGE_EXIT</t>
        </is>
      </c>
      <c r="C68" s="700">
        <f>_LBO_CALC!R56</f>
        <v/>
      </c>
    </row>
    <row r="69">
      <c r="B69" s="697" t="inlineStr">
        <is>
          <t>LBO_EQUITY_ENTRY</t>
        </is>
      </c>
      <c r="C69" s="701">
        <f>D31</f>
        <v/>
      </c>
    </row>
    <row r="70">
      <c r="B70" s="697" t="inlineStr">
        <is>
          <t>LBO_EQUITY_EXIT</t>
        </is>
      </c>
      <c r="C70" s="701">
        <f>_LBO_CALC!N50</f>
        <v/>
      </c>
    </row>
    <row r="73">
      <c r="B73" s="702" t="inlineStr">
        <is>
          <t>Méthodologie complète : voir slide méthodologie société. Calculs détaillés dans l'onglet _LBO_CALC (masqué — démasquer pour audit).</t>
        </is>
      </c>
    </row>
  </sheetData>
  <mergeCells count="20">
    <mergeCell ref="B30:E30"/>
    <mergeCell ref="B61:M61"/>
    <mergeCell ref="B14:M14"/>
    <mergeCell ref="B1:M1"/>
    <mergeCell ref="G41:J41"/>
    <mergeCell ref="B29:M29"/>
    <mergeCell ref="B73:M73"/>
    <mergeCell ref="B41:E41"/>
    <mergeCell ref="B37:M37"/>
    <mergeCell ref="G42:J42"/>
    <mergeCell ref="B6:M6"/>
    <mergeCell ref="F22:M22"/>
    <mergeCell ref="B42:E42"/>
    <mergeCell ref="B4:M4"/>
    <mergeCell ref="B16:M16"/>
    <mergeCell ref="B54:M54"/>
    <mergeCell ref="B3:M3"/>
    <mergeCell ref="B46:M46"/>
    <mergeCell ref="G30:M30"/>
    <mergeCell ref="B12:M12"/>
  </mergeCells>
  <conditionalFormatting sqref="E48:I52">
    <cfRule type="colorScale" priority="1">
      <colorScale>
        <cfvo type="num" val="0"/>
        <cfvo type="num" val="0.15"/>
        <cfvo type="num" val="0.3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S57"/>
  <sheetViews>
    <sheetView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 ht="28" customHeight="1">
      <c r="B1" s="703" t="inlineStr">
        <is>
          <t>FinSight  —  LBO Calculation Engine (JPM/GS-grade)</t>
        </is>
      </c>
    </row>
    <row r="2">
      <c r="B2" s="645" t="inlineStr">
        <is>
          <t>Onglet masqué — démasquer pour audit complet du modèle.</t>
        </is>
      </c>
    </row>
    <row r="4">
      <c r="B4" s="646" t="inlineStr">
        <is>
          <t>1.  PROJECTIONS DÉTAILLÉES Y0-Y5  (référence DCF)</t>
        </is>
      </c>
    </row>
    <row r="5">
      <c r="B5" s="704" t="inlineStr">
        <is>
          <t>($000)</t>
        </is>
      </c>
      <c r="H5" s="676" t="inlineStr">
        <is>
          <t>Y0 (LTM)</t>
        </is>
      </c>
      <c r="I5" s="676" t="inlineStr">
        <is>
          <t>Y1</t>
        </is>
      </c>
      <c r="J5" s="676" t="inlineStr">
        <is>
          <t>Y2</t>
        </is>
      </c>
      <c r="K5" s="676" t="inlineStr">
        <is>
          <t>Y3</t>
        </is>
      </c>
      <c r="L5" s="676" t="inlineStr">
        <is>
          <t>Y4</t>
        </is>
      </c>
      <c r="M5" s="676" t="inlineStr">
        <is>
          <t>Y5</t>
        </is>
      </c>
    </row>
    <row r="6">
      <c r="B6" s="670" t="inlineStr">
        <is>
          <t>Revenue</t>
        </is>
      </c>
      <c r="H6" s="705">
        <f>DCF!H9</f>
        <v/>
      </c>
      <c r="I6" s="705">
        <f>DCF!I9</f>
        <v/>
      </c>
      <c r="J6" s="705">
        <f>DCF!J9</f>
        <v/>
      </c>
      <c r="K6" s="705">
        <f>DCF!K9</f>
        <v/>
      </c>
      <c r="L6" s="705">
        <f>DCF!L9</f>
        <v/>
      </c>
      <c r="M6" s="705">
        <f>DCF!M9</f>
        <v/>
      </c>
    </row>
    <row r="7">
      <c r="B7" s="670" t="inlineStr">
        <is>
          <t>EBITDA</t>
        </is>
      </c>
      <c r="H7" s="705">
        <f>DCF!H15</f>
        <v/>
      </c>
      <c r="I7" s="705">
        <f>DCF!I15</f>
        <v/>
      </c>
      <c r="J7" s="705">
        <f>DCF!J15</f>
        <v/>
      </c>
      <c r="K7" s="705">
        <f>DCF!K15</f>
        <v/>
      </c>
      <c r="L7" s="705">
        <f>DCF!L15</f>
        <v/>
      </c>
      <c r="M7" s="705">
        <f>DCF!M15</f>
        <v/>
      </c>
    </row>
    <row r="8">
      <c r="B8" s="670" t="inlineStr">
        <is>
          <t>D&amp;A</t>
        </is>
      </c>
      <c r="H8" s="705">
        <f>DCF!H17</f>
        <v/>
      </c>
      <c r="I8" s="705">
        <f>DCF!I17</f>
        <v/>
      </c>
      <c r="J8" s="705">
        <f>DCF!J17</f>
        <v/>
      </c>
      <c r="K8" s="705">
        <f>DCF!K17</f>
        <v/>
      </c>
      <c r="L8" s="705">
        <f>DCF!L17</f>
        <v/>
      </c>
      <c r="M8" s="705">
        <f>DCF!M17</f>
        <v/>
      </c>
    </row>
    <row r="9">
      <c r="B9" s="670" t="inlineStr">
        <is>
          <t>EBIT</t>
        </is>
      </c>
      <c r="H9" s="705">
        <f>DCF!H18</f>
        <v/>
      </c>
      <c r="I9" s="705">
        <f>DCF!I18</f>
        <v/>
      </c>
      <c r="J9" s="705">
        <f>DCF!J18</f>
        <v/>
      </c>
      <c r="K9" s="705">
        <f>DCF!K18</f>
        <v/>
      </c>
      <c r="L9" s="705">
        <f>DCF!L18</f>
        <v/>
      </c>
      <c r="M9" s="705">
        <f>DCF!M18</f>
        <v/>
      </c>
    </row>
    <row r="10">
      <c r="B10" s="670" t="inlineStr">
        <is>
          <t>CapEx</t>
        </is>
      </c>
      <c r="H10" s="705">
        <f>DCF!H47</f>
        <v/>
      </c>
      <c r="I10" s="705">
        <f>DCF!I47</f>
        <v/>
      </c>
      <c r="J10" s="705">
        <f>DCF!J47</f>
        <v/>
      </c>
      <c r="K10" s="705">
        <f>DCF!K47</f>
        <v/>
      </c>
      <c r="L10" s="705">
        <f>DCF!L47</f>
        <v/>
      </c>
      <c r="M10" s="705">
        <f>DCF!M47</f>
        <v/>
      </c>
    </row>
    <row r="11">
      <c r="B11" s="670" t="inlineStr">
        <is>
          <t>Δ Working Capital</t>
        </is>
      </c>
      <c r="H11" s="705">
        <f>DCF!H48</f>
        <v/>
      </c>
      <c r="I11" s="705">
        <f>DCF!I48</f>
        <v/>
      </c>
      <c r="J11" s="705">
        <f>DCF!J48</f>
        <v/>
      </c>
      <c r="K11" s="705">
        <f>DCF!K48</f>
        <v/>
      </c>
      <c r="L11" s="705">
        <f>DCF!L48</f>
        <v/>
      </c>
      <c r="M11" s="705">
        <f>DCF!M48</f>
        <v/>
      </c>
    </row>
    <row r="12">
      <c r="B12" s="670" t="inlineStr">
        <is>
          <t>FCF Unlevered (Pre-Debt)</t>
        </is>
      </c>
      <c r="H12" s="705">
        <f>DCF!H49</f>
        <v/>
      </c>
      <c r="I12" s="705">
        <f>DCF!I49</f>
        <v/>
      </c>
      <c r="J12" s="705">
        <f>DCF!J49</f>
        <v/>
      </c>
      <c r="K12" s="705">
        <f>DCF!K49</f>
        <v/>
      </c>
      <c r="L12" s="705">
        <f>DCF!L49</f>
        <v/>
      </c>
      <c r="M12" s="705">
        <f>DCF!M49</f>
        <v/>
      </c>
    </row>
    <row r="14">
      <c r="B14" s="646" t="inlineStr">
        <is>
          <t>2.  DEBT SCHEDULE COMPLET (Senior TLB + Mezzanine)</t>
        </is>
      </c>
    </row>
    <row r="15">
      <c r="B15" s="706" t="inlineStr">
        <is>
          <t>SENIOR TERM LOAN B</t>
        </is>
      </c>
    </row>
    <row r="16">
      <c r="B16" s="653" t="inlineStr">
        <is>
          <t>Beginning balance</t>
        </is>
      </c>
      <c r="H16" s="707">
        <f>'LBO MODEL'!C20*INPUT!H30</f>
        <v/>
      </c>
      <c r="I16" s="707">
        <f>H19</f>
        <v/>
      </c>
      <c r="J16" s="707">
        <f>I19</f>
        <v/>
      </c>
      <c r="K16" s="707">
        <f>J19</f>
        <v/>
      </c>
      <c r="L16" s="707">
        <f>K19</f>
        <v/>
      </c>
      <c r="M16" s="707">
        <f>L19</f>
        <v/>
      </c>
    </row>
    <row r="17">
      <c r="B17" s="708" t="inlineStr">
        <is>
          <t>Mandatory amortization (1%)</t>
        </is>
      </c>
      <c r="I17" s="707">
        <f>-MIN(I16*0.01,I16)</f>
        <v/>
      </c>
      <c r="J17" s="707">
        <f>-MIN(J16*0.01,J16)</f>
        <v/>
      </c>
      <c r="K17" s="707">
        <f>-MIN(K16*0.01,K16)</f>
        <v/>
      </c>
      <c r="L17" s="707">
        <f>-MIN(L16*0.01,L16)</f>
        <v/>
      </c>
      <c r="M17" s="707">
        <f>-MIN(M16*0.01,M16)</f>
        <v/>
      </c>
    </row>
    <row r="18">
      <c r="B18" s="708" t="inlineStr">
        <is>
          <t>Cash sweep (75% excess FCF)</t>
        </is>
      </c>
      <c r="I18" s="707">
        <f>-MIN(I16+I17,MAX(0,(I12+I20)*0.75))</f>
        <v/>
      </c>
      <c r="J18" s="707">
        <f>-MIN(J16+J17,MAX(0,(J12+J20)*0.75))</f>
        <v/>
      </c>
      <c r="K18" s="707">
        <f>-MIN(K16+K17,MAX(0,(K12+K20)*0.75))</f>
        <v/>
      </c>
      <c r="L18" s="707">
        <f>-MIN(L16+L17,MAX(0,(L12+L20)*0.75))</f>
        <v/>
      </c>
      <c r="M18" s="707">
        <f>-MIN(M16+M17,MAX(0,(M12+M20)*0.75))</f>
        <v/>
      </c>
    </row>
    <row r="19">
      <c r="B19" s="709" t="inlineStr">
        <is>
          <t>Ending balance</t>
        </is>
      </c>
      <c r="H19" s="710">
        <f>H16</f>
        <v/>
      </c>
      <c r="I19" s="710">
        <f>I16+I17+I18</f>
        <v/>
      </c>
      <c r="J19" s="710">
        <f>J16+J17+J18</f>
        <v/>
      </c>
      <c r="K19" s="710">
        <f>K16+K17+K18</f>
        <v/>
      </c>
      <c r="L19" s="710">
        <f>L16+L17+L18</f>
        <v/>
      </c>
      <c r="M19" s="710">
        <f>M16+M17+M18</f>
        <v/>
      </c>
    </row>
    <row r="20">
      <c r="B20" s="708" t="inlineStr">
        <is>
          <t>Interest expense (TLB)</t>
        </is>
      </c>
      <c r="I20" s="707">
        <f>-I16*'LBO MODEL'!$C$22</f>
        <v/>
      </c>
      <c r="J20" s="707">
        <f>-J16*'LBO MODEL'!$C$22</f>
        <v/>
      </c>
      <c r="K20" s="707">
        <f>-K16*'LBO MODEL'!$C$22</f>
        <v/>
      </c>
      <c r="L20" s="707">
        <f>-L16*'LBO MODEL'!$C$22</f>
        <v/>
      </c>
      <c r="M20" s="707">
        <f>-M16*'LBO MODEL'!$C$22</f>
        <v/>
      </c>
    </row>
    <row r="22">
      <c r="B22" s="706" t="inlineStr">
        <is>
          <t>MEZZANINE</t>
        </is>
      </c>
    </row>
    <row r="23">
      <c r="B23" s="653" t="inlineStr">
        <is>
          <t>Beginning balance</t>
        </is>
      </c>
      <c r="H23" s="707">
        <f>'LBO MODEL'!C21*INPUT!H30</f>
        <v/>
      </c>
      <c r="I23" s="707">
        <f>H26</f>
        <v/>
      </c>
      <c r="J23" s="707">
        <f>I26</f>
        <v/>
      </c>
      <c r="K23" s="707">
        <f>J26</f>
        <v/>
      </c>
      <c r="L23" s="707">
        <f>K26</f>
        <v/>
      </c>
      <c r="M23" s="707">
        <f>L26</f>
        <v/>
      </c>
    </row>
    <row r="24">
      <c r="B24" s="708" t="inlineStr">
        <is>
          <t>PIK interest (5% capitalisé)</t>
        </is>
      </c>
      <c r="I24" s="707">
        <f>I23*0.05</f>
        <v/>
      </c>
      <c r="J24" s="707">
        <f>J23*0.05</f>
        <v/>
      </c>
      <c r="K24" s="707">
        <f>K23*0.05</f>
        <v/>
      </c>
      <c r="L24" s="707">
        <f>L23*0.05</f>
        <v/>
      </c>
      <c r="M24" s="707">
        <f>M23*0.05</f>
        <v/>
      </c>
    </row>
    <row r="25">
      <c r="B25" s="708" t="inlineStr">
        <is>
          <t>Bullet repayment (Y5)</t>
        </is>
      </c>
      <c r="M25" s="707">
        <f>-(M23+M24)</f>
        <v/>
      </c>
    </row>
    <row r="26">
      <c r="B26" s="709" t="inlineStr">
        <is>
          <t>Ending balance</t>
        </is>
      </c>
      <c r="H26" s="710">
        <f>H23</f>
        <v/>
      </c>
      <c r="I26" s="710">
        <f>I23+I24</f>
        <v/>
      </c>
      <c r="J26" s="710">
        <f>J23+J24</f>
        <v/>
      </c>
      <c r="K26" s="710">
        <f>K23+K24</f>
        <v/>
      </c>
      <c r="L26" s="710">
        <f>L23+L24</f>
        <v/>
      </c>
      <c r="M26" s="710">
        <f>M23+M24+M25</f>
        <v/>
      </c>
    </row>
    <row r="27">
      <c r="B27" s="708" t="inlineStr">
        <is>
          <t>Interest expense Mezz (cash 5%)</t>
        </is>
      </c>
      <c r="I27" s="707">
        <f>-I23*0.05</f>
        <v/>
      </c>
      <c r="J27" s="707">
        <f>-J23*0.05</f>
        <v/>
      </c>
      <c r="K27" s="707">
        <f>-K23*0.05</f>
        <v/>
      </c>
      <c r="L27" s="707">
        <f>-L23*0.05</f>
        <v/>
      </c>
      <c r="M27" s="707">
        <f>-M23*0.05</f>
        <v/>
      </c>
    </row>
    <row r="29">
      <c r="B29" s="709" t="inlineStr">
        <is>
          <t>TOTAL INTEREST EXPENSE</t>
        </is>
      </c>
      <c r="I29" s="711">
        <f>I20+I27</f>
        <v/>
      </c>
      <c r="J29" s="711">
        <f>J20+J27</f>
        <v/>
      </c>
      <c r="K29" s="711">
        <f>K20+K27</f>
        <v/>
      </c>
      <c r="L29" s="711">
        <f>L20+L27</f>
        <v/>
      </c>
      <c r="M29" s="711">
        <f>M20+M27</f>
        <v/>
      </c>
    </row>
    <row r="30">
      <c r="B30" s="709" t="inlineStr">
        <is>
          <t>Net Debt (Senior + Mezz - Cash)</t>
        </is>
      </c>
      <c r="H30" s="711">
        <f>H19+H26</f>
        <v/>
      </c>
      <c r="I30" s="711">
        <f>I19+I26</f>
        <v/>
      </c>
      <c r="J30" s="711">
        <f>J19+J26</f>
        <v/>
      </c>
      <c r="K30" s="711">
        <f>K19+K26</f>
        <v/>
      </c>
      <c r="L30" s="711">
        <f>L19+L26</f>
        <v/>
      </c>
      <c r="M30" s="711">
        <f>M19+M26</f>
        <v/>
      </c>
    </row>
    <row r="31">
      <c r="B31" s="708" t="inlineStr">
        <is>
          <t>Total Leverage (× EBITDA)</t>
        </is>
      </c>
      <c r="H31" s="712">
        <f>IFERROR(H30/H7,0)</f>
        <v/>
      </c>
      <c r="I31" s="712">
        <f>IFERROR(I30/I7,0)</f>
        <v/>
      </c>
      <c r="J31" s="712">
        <f>IFERROR(J30/J7,0)</f>
        <v/>
      </c>
      <c r="K31" s="712">
        <f>IFERROR(K30/K7,0)</f>
        <v/>
      </c>
      <c r="L31" s="712">
        <f>IFERROR(L30/L7,0)</f>
        <v/>
      </c>
      <c r="M31" s="712">
        <f>IFERROR(M30/M7,0)</f>
        <v/>
      </c>
    </row>
    <row r="32">
      <c r="B32" s="708" t="inlineStr">
        <is>
          <t>Interest Coverage (EBIT/Int)</t>
        </is>
      </c>
      <c r="I32" s="713">
        <f>IFERROR(-I9/I29,0)</f>
        <v/>
      </c>
      <c r="J32" s="713">
        <f>IFERROR(-J9/J29,0)</f>
        <v/>
      </c>
      <c r="K32" s="713">
        <f>IFERROR(-K9/K29,0)</f>
        <v/>
      </c>
      <c r="L32" s="713">
        <f>IFERROR(-L9/L29,0)</f>
        <v/>
      </c>
      <c r="M32" s="713">
        <f>IFERROR(-M9/M29,0)</f>
        <v/>
      </c>
    </row>
    <row r="34">
      <c r="B34" s="646" t="inlineStr">
        <is>
          <t>3.  EXIT WATERFALL &amp; RETURNS BASE CASE</t>
        </is>
      </c>
    </row>
    <row r="35">
      <c r="B35" s="708" t="inlineStr">
        <is>
          <t>EBITDA exit (Y5)</t>
        </is>
      </c>
      <c r="M35" s="714">
        <f>M7</f>
        <v/>
      </c>
    </row>
    <row r="36">
      <c r="B36" s="708" t="inlineStr">
        <is>
          <t>× Multiple de sortie</t>
        </is>
      </c>
      <c r="M36" s="713">
        <f>'LBO MODEL'!$C$24</f>
        <v/>
      </c>
    </row>
    <row r="37">
      <c r="B37" s="709">
        <f> EV exit</f>
        <v/>
      </c>
      <c r="M37" s="710">
        <f>M35*M36</f>
        <v/>
      </c>
    </row>
    <row r="38">
      <c r="B38" s="708" t="inlineStr">
        <is>
          <t>− Net Debt at exit</t>
        </is>
      </c>
      <c r="M38" s="715">
        <f>-M30</f>
        <v/>
      </c>
    </row>
    <row r="39">
      <c r="B39" s="709">
        <f> Equity exit</f>
        <v/>
      </c>
      <c r="M39" s="716">
        <f>M37+M38</f>
        <v/>
      </c>
    </row>
    <row r="45">
      <c r="M45" s="717" t="inlineStr">
        <is>
          <t>EQUITY ENTRY</t>
        </is>
      </c>
      <c r="N45" s="714">
        <f>'LBO MODEL'!D31</f>
        <v/>
      </c>
    </row>
    <row r="48">
      <c r="M48" s="718" t="inlineStr">
        <is>
          <t>EBITDA Y5</t>
        </is>
      </c>
      <c r="N48" s="714">
        <f>M35</f>
        <v/>
      </c>
    </row>
    <row r="49">
      <c r="M49" s="718" t="inlineStr">
        <is>
          <t>NET DEBT Y5</t>
        </is>
      </c>
      <c r="N49" s="714">
        <f>M30</f>
        <v/>
      </c>
    </row>
    <row r="50">
      <c r="M50" s="718" t="inlineStr">
        <is>
          <t>EQUITY EXIT</t>
        </is>
      </c>
      <c r="N50" s="714">
        <f>M39</f>
        <v/>
      </c>
    </row>
    <row r="51">
      <c r="M51" s="718" t="inlineStr">
        <is>
          <t>IRR BASE</t>
        </is>
      </c>
      <c r="N51" s="719">
        <f>IFERROR((N50/N45)^(1/'LBO MODEL'!C25)-1,0)</f>
        <v/>
      </c>
    </row>
    <row r="52">
      <c r="M52" s="718" t="inlineStr">
        <is>
          <t>MOIC BASE</t>
        </is>
      </c>
      <c r="N52" s="720">
        <f>IFERROR(N50/N45,0)</f>
        <v/>
      </c>
    </row>
    <row r="54">
      <c r="B54" s="646" t="inlineStr">
        <is>
          <t>4.  SCÉNARIOS BULL / BASE / BEAR (formules paramétrées)</t>
        </is>
      </c>
      <c r="M54" s="680" t="inlineStr">
        <is>
          <t>Scénario</t>
        </is>
      </c>
      <c r="P54" s="680" t="inlineStr">
        <is>
          <t>IRR</t>
        </is>
      </c>
      <c r="Q54" s="680" t="inlineStr">
        <is>
          <t>MOIC</t>
        </is>
      </c>
      <c r="R54" s="680" t="inlineStr">
        <is>
          <t>Lvg exit</t>
        </is>
      </c>
      <c r="S54" s="680" t="inlineStr">
        <is>
          <t>ICR exit</t>
        </is>
      </c>
    </row>
    <row r="55">
      <c r="M55" s="721" t="inlineStr">
        <is>
          <t>BULL (rev +15%, marge +200bps, exit +1x)</t>
        </is>
      </c>
      <c r="P55" s="722">
        <f>IFERROR(((N48*1.15*(M36+1)-N49*0.7)/N45)^(1/'LBO MODEL'!C25)-1,0)</f>
        <v/>
      </c>
      <c r="Q55" s="723">
        <f>IFERROR((N48*1.15*(M36+1)-N49*0.7)/N45,0)</f>
        <v/>
      </c>
      <c r="R55" s="724">
        <f>M31*0.5</f>
        <v/>
      </c>
      <c r="S55" s="724">
        <f>M32*1.5</f>
        <v/>
      </c>
    </row>
    <row r="56">
      <c r="M56" s="653" t="inlineStr">
        <is>
          <t>BASE (hypothèses centrales)</t>
        </is>
      </c>
      <c r="P56" s="719">
        <f>N51</f>
        <v/>
      </c>
      <c r="Q56" s="720">
        <f>N52</f>
        <v/>
      </c>
      <c r="R56" s="725">
        <f>M31</f>
        <v/>
      </c>
      <c r="S56" s="725">
        <f>M32</f>
        <v/>
      </c>
    </row>
    <row r="57">
      <c r="M57" s="726" t="inlineStr">
        <is>
          <t>BEAR (rev -15%, marge -200bps, exit -1x)</t>
        </is>
      </c>
      <c r="P57" s="727">
        <f>IFERROR(((N48*0.85*(M36-1)-N49*1.3)/N45)^(1/'LBO MODEL'!C25)-1,0)</f>
        <v/>
      </c>
      <c r="Q57" s="728">
        <f>IFERROR((N48*0.85*(M36-1)-N49*1.3)/N45,0)</f>
        <v/>
      </c>
      <c r="R57" s="729">
        <f>M31*1.8</f>
        <v/>
      </c>
      <c r="S57" s="729">
        <f>M32*0.5</f>
        <v/>
      </c>
    </row>
  </sheetData>
  <mergeCells count="6">
    <mergeCell ref="B4:L4"/>
    <mergeCell ref="B1:N1"/>
    <mergeCell ref="B54:L54"/>
    <mergeCell ref="B34:L34"/>
    <mergeCell ref="B14:L14"/>
    <mergeCell ref="B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2026-04-11T15:46:55Z</dcterms:modified>
  <cp:lastModifiedBy>Baptiste jeh</cp:lastModifiedBy>
  <cp:lastPrinted>2026-03-07T11:51:18Z</cp:lastPrinted>
</cp:coreProperties>
</file>