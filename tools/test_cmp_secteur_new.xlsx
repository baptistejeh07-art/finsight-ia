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GRÉGATS" sheetId="2" state="visible" r:id="rId2"/>
    <sheet xmlns:r="http://schemas.openxmlformats.org/officeDocument/2006/relationships" name="TOP_TECH" sheetId="3" state="visible" r:id="rId3"/>
    <sheet xmlns:r="http://schemas.openxmlformats.org/officeDocument/2006/relationships" name="TOP_HC" sheetId="4" state="visible" r:id="rId4"/>
    <sheet xmlns:r="http://schemas.openxmlformats.org/officeDocument/2006/relationships" name="DATA_TECH" sheetId="5" state="visible" r:id="rId5"/>
    <sheet xmlns:r="http://schemas.openxmlformats.org/officeDocument/2006/relationships" name="DATA_HC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;\(0\);\—"/>
    <numFmt numFmtId="165" formatCode="0.0&quot;x&quot;;\(0.0&quot;x&quot;\);\—"/>
    <numFmt numFmtId="166" formatCode="0.0%;\(0.0%\);\—"/>
    <numFmt numFmtId="167" formatCode="0.0%"/>
    <numFmt numFmtId="168" formatCode="0.0&quot;x&quot;"/>
    <numFmt numFmtId="169" formatCode="0.0&quot;%&quot;"/>
    <numFmt numFmtId="170" formatCode="0.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i val="1"/>
      <color rgb="FFFFFFFF"/>
      <sz val="8"/>
      <scheme val="minor"/>
    </font>
    <font>
      <name val="Calibri"/>
      <family val="2"/>
      <b val="1"/>
      <color rgb="FF3271D2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132E57"/>
      <sz val="8"/>
      <scheme val="minor"/>
    </font>
    <font>
      <name val="Calibri"/>
      <family val="2"/>
      <color rgb="FF111827"/>
      <sz val="8"/>
      <scheme val="minor"/>
    </font>
    <font>
      <name val="Calibri"/>
      <family val="2"/>
      <b val="1"/>
      <color rgb="FF111827"/>
      <sz val="8"/>
      <scheme val="minor"/>
    </font>
    <font>
      <name val="Calibri"/>
      <family val="2"/>
      <b val="1"/>
      <color rgb="FF0D5C34"/>
      <sz val="8"/>
      <scheme val="minor"/>
    </font>
    <font>
      <name val="Calibri"/>
      <family val="2"/>
      <color rgb="FF8BA8C8"/>
      <sz val="8"/>
      <scheme val="minor"/>
    </font>
    <font>
      <name val="Calibri"/>
      <family val="2"/>
      <color rgb="FF999999"/>
      <sz val="8"/>
      <scheme val="minor"/>
    </font>
    <font>
      <name val="Calibri"/>
      <family val="2"/>
      <i val="1"/>
      <color rgb="FF555555"/>
      <sz val="8"/>
      <scheme val="minor"/>
    </font>
    <font>
      <name val="Calibri"/>
      <family val="2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0C3F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8FA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132E57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132E57"/>
      </top>
      <bottom style="thin">
        <color rgb="FFD1D5DB"/>
      </bottom>
      <diagonal/>
    </border>
    <border>
      <left style="thin">
        <color rgb="FFD1D5DB"/>
      </left>
      <right/>
      <top style="thin">
        <color rgb="FF132E57"/>
      </top>
      <bottom style="thin">
        <color rgb="FFD1D5DB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9" fillId="6" borderId="1" pivotButton="0" quotePrefix="0" xfId="0"/>
    <xf numFmtId="0" fontId="8" fillId="6" borderId="2" pivotButton="0" quotePrefix="0" xfId="0"/>
    <xf numFmtId="49" fontId="8" fillId="6" borderId="2" pivotButton="0" quotePrefix="0" xfId="0"/>
    <xf numFmtId="0" fontId="10" fillId="6" borderId="2" pivotButton="0" quotePrefix="0" xfId="0"/>
    <xf numFmtId="0" fontId="9" fillId="7" borderId="1" pivotButton="0" quotePrefix="0" xfId="0"/>
    <xf numFmtId="0" fontId="8" fillId="7" borderId="2" pivotButton="0" quotePrefix="0" xfId="0"/>
    <xf numFmtId="0" fontId="10" fillId="7" borderId="2" pivotButton="0" quotePrefix="0" xfId="0"/>
    <xf numFmtId="0" fontId="7" fillId="5" borderId="4" applyAlignment="1" pivotButton="0" quotePrefix="0" xfId="0">
      <alignment horizontal="center"/>
    </xf>
    <xf numFmtId="0" fontId="7" fillId="5" borderId="5" applyAlignment="1" pivotButton="0" quotePrefix="0" xfId="0">
      <alignment horizontal="center"/>
    </xf>
    <xf numFmtId="0" fontId="7" fillId="5" borderId="6" applyAlignment="1" pivotButton="0" quotePrefix="0" xfId="0">
      <alignment horizontal="center"/>
    </xf>
    <xf numFmtId="0" fontId="9" fillId="6" borderId="2" pivotButton="0" quotePrefix="0" xfId="0"/>
    <xf numFmtId="0" fontId="9" fillId="7" borderId="2" pivotButton="0" quotePrefix="0" xfId="0"/>
    <xf numFmtId="0" fontId="7" fillId="6" borderId="1" pivotButton="0" quotePrefix="0" xfId="0"/>
    <xf numFmtId="0" fontId="3" fillId="6" borderId="2" pivotButton="0" quotePrefix="0" xfId="0"/>
    <xf numFmtId="0" fontId="7" fillId="7" borderId="1" pivotButton="0" quotePrefix="0" xfId="0"/>
    <xf numFmtId="0" fontId="3" fillId="7" borderId="2" pivotButton="0" quotePrefix="0" xfId="0"/>
    <xf numFmtId="0" fontId="11" fillId="2" borderId="0" applyAlignment="1" pivotButton="0" quotePrefix="0" xfId="0">
      <alignment horizontal="right"/>
    </xf>
    <xf numFmtId="0" fontId="6" fillId="6" borderId="2" pivotButton="0" quotePrefix="0" xfId="0"/>
    <xf numFmtId="0" fontId="12" fillId="6" borderId="2" pivotButton="0" quotePrefix="0" xfId="0"/>
    <xf numFmtId="0" fontId="6" fillId="7" borderId="2" pivotButton="0" quotePrefix="0" xfId="0"/>
    <xf numFmtId="0" fontId="12" fillId="7" borderId="2" pivotButton="0" quotePrefix="0" xfId="0"/>
    <xf numFmtId="0" fontId="8" fillId="6" borderId="1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164" fontId="10" fillId="6" borderId="2" applyAlignment="1" pivotButton="0" quotePrefix="0" xfId="0">
      <alignment horizontal="center"/>
    </xf>
    <xf numFmtId="165" fontId="8" fillId="6" borderId="2" applyAlignment="1" pivotButton="0" quotePrefix="0" xfId="0">
      <alignment horizontal="center"/>
    </xf>
    <xf numFmtId="166" fontId="8" fillId="6" borderId="2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7" fillId="7" borderId="2" applyAlignment="1" pivotButton="0" quotePrefix="0" xfId="0">
      <alignment horizontal="center"/>
    </xf>
    <xf numFmtId="164" fontId="10" fillId="7" borderId="2" applyAlignment="1" pivotButton="0" quotePrefix="0" xfId="0">
      <alignment horizontal="center"/>
    </xf>
    <xf numFmtId="165" fontId="8" fillId="7" borderId="2" applyAlignment="1" pivotButton="0" quotePrefix="0" xfId="0">
      <alignment horizontal="center"/>
    </xf>
    <xf numFmtId="166" fontId="8" fillId="7" borderId="2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" fontId="8" fillId="6" borderId="2" pivotButton="0" quotePrefix="0" xfId="0"/>
    <xf numFmtId="1" fontId="8" fillId="7" borderId="2" pivotButton="0" quotePrefix="0" xfId="0"/>
    <xf numFmtId="167" fontId="8" fillId="6" borderId="2" pivotButton="0" quotePrefix="0" xfId="0"/>
    <xf numFmtId="168" fontId="8" fillId="7" borderId="2" pivotButton="0" quotePrefix="0" xfId="0"/>
    <xf numFmtId="168" fontId="8" fillId="6" borderId="2" pivotButton="0" quotePrefix="0" xfId="0"/>
    <xf numFmtId="167" fontId="8" fillId="7" borderId="2" pivotButton="0" quotePrefix="0" xfId="0"/>
    <xf numFmtId="49" fontId="8" fillId="7" borderId="2" pivotButton="0" quotePrefix="0" xfId="0"/>
    <xf numFmtId="1" fontId="8" fillId="6" borderId="3" pivotButton="0" quotePrefix="0" xfId="0"/>
    <xf numFmtId="167" fontId="8" fillId="7" borderId="3" pivotButton="0" quotePrefix="0" xfId="0"/>
    <xf numFmtId="168" fontId="8" fillId="6" borderId="3" pivotButton="0" quotePrefix="0" xfId="0"/>
    <xf numFmtId="168" fontId="8" fillId="7" borderId="3" pivotButton="0" quotePrefix="0" xfId="0"/>
    <xf numFmtId="167" fontId="8" fillId="6" borderId="3" pivotButton="0" quotePrefix="0" xfId="0"/>
    <xf numFmtId="1" fontId="10" fillId="6" borderId="2" pivotButton="0" quotePrefix="0" xfId="0"/>
    <xf numFmtId="1" fontId="10" fillId="7" borderId="2" pivotButton="0" quotePrefix="0" xfId="0"/>
    <xf numFmtId="167" fontId="3" fillId="6" borderId="2" pivotButton="0" quotePrefix="0" xfId="0"/>
    <xf numFmtId="167" fontId="3" fillId="6" borderId="3" pivotButton="0" quotePrefix="0" xfId="0"/>
    <xf numFmtId="167" fontId="3" fillId="7" borderId="2" pivotButton="0" quotePrefix="0" xfId="0"/>
    <xf numFmtId="167" fontId="3" fillId="7" borderId="3" pivotButton="0" quotePrefix="0" xfId="0"/>
    <xf numFmtId="169" fontId="8" fillId="7" borderId="2" pivotButton="0" quotePrefix="0" xfId="0"/>
    <xf numFmtId="169" fontId="8" fillId="6" borderId="2" pivotButton="0" quotePrefix="0" xfId="0"/>
    <xf numFmtId="170" fontId="3" fillId="6" borderId="2" pivotButton="0" quotePrefix="0" xfId="0"/>
    <xf numFmtId="170" fontId="3" fillId="6" borderId="3" pivotButton="0" quotePrefix="0" xfId="0"/>
    <xf numFmtId="169" fontId="3" fillId="7" borderId="2" pivotButton="0" quotePrefix="0" xfId="0"/>
    <xf numFmtId="169" fontId="3" fillId="7" borderId="3" pivotButton="0" quotePrefix="0" xfId="0"/>
    <xf numFmtId="168" fontId="3" fillId="6" borderId="2" pivotButton="0" quotePrefix="0" xfId="0"/>
    <xf numFmtId="168" fontId="3" fillId="6" borderId="3" pivotButton="0" quotePrefix="0" xfId="0"/>
    <xf numFmtId="168" fontId="3" fillId="7" borderId="2" pivotButton="0" quotePrefix="0" xfId="0"/>
    <xf numFmtId="168" fontId="3" fillId="7" borderId="3" pivotButton="0" quotePrefix="0" xfId="0"/>
    <xf numFmtId="169" fontId="3" fillId="6" borderId="2" pivotButton="0" quotePrefix="0" xfId="0"/>
    <xf numFmtId="169" fontId="3" fillId="6" borderId="3" pivotButton="0" quotePrefix="0" xfId="0"/>
    <xf numFmtId="168" fontId="8" fillId="6" borderId="2" applyAlignment="1" pivotButton="0" quotePrefix="0" xfId="0">
      <alignment horizontal="center"/>
    </xf>
    <xf numFmtId="168" fontId="8" fillId="7" borderId="2" applyAlignment="1" pivotButton="0" quotePrefix="0" xfId="0">
      <alignment horizontal="center"/>
    </xf>
    <xf numFmtId="169" fontId="8" fillId="6" borderId="2" applyAlignment="1" pivotButton="0" quotePrefix="0" xfId="0">
      <alignment horizontal="center"/>
    </xf>
    <xf numFmtId="169" fontId="8" fillId="7" borderId="2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164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Médianes sectorielles — Technologie vs Healthcare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AGRÉGATS!$B$6:$B$11</f>
              <strCache>
                <ptCount val="6"/>
                <pt idx="0">
                  <v>Score FinSight</v>
                </pt>
                <pt idx="1">
                  <v>Marge EBITDA</v>
                </pt>
                <pt idx="2">
                  <v>P/E</v>
                </pt>
                <pt idx="3">
                  <v>EV/EBITDA</v>
                </pt>
                <pt idx="4">
                  <v>ROE</v>
                </pt>
                <pt idx="5">
                  <v>Croiss. Revenus</v>
                </pt>
              </strCache>
            </strRef>
          </cat>
          <val>
            <numRef>
              <f>AGRÉGATS!$D$6:$D$11</f>
              <numCache>
                <formatCode>0.0"%"</formatCode>
                <ptCount val="6"/>
                <pt idx="0">
                  <formatCode>0</formatCode>
                  <v>48</v>
                </pt>
                <pt idx="1">
                  <v>25.85</v>
                </pt>
                <pt idx="2">
                  <formatCode>0.0"x"</formatCode>
                  <v>26.8</v>
                </pt>
                <pt idx="3">
                  <formatCode>0.0"x"</formatCode>
                  <v>15.2</v>
                </pt>
                <pt idx="4">
                  <v>11.6</v>
                </pt>
                <pt idx="5">
                  <v>7.1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AGRÉGATS!$B$6:$B$11</f>
              <strCache>
                <ptCount val="6"/>
                <pt idx="0">
                  <v>Score FinSight</v>
                </pt>
                <pt idx="1">
                  <v>Marge EBITDA</v>
                </pt>
                <pt idx="2">
                  <v>P/E</v>
                </pt>
                <pt idx="3">
                  <v>EV/EBITDA</v>
                </pt>
                <pt idx="4">
                  <v>ROE</v>
                </pt>
                <pt idx="5">
                  <v>Croiss. Revenus</v>
                </pt>
              </strCache>
            </strRef>
          </cat>
          <val>
            <numRef>
              <f>AGRÉGATS!$D$15:$D$20</f>
              <numCache>
                <formatCode>0.0"%"</formatCode>
                <ptCount val="6"/>
                <pt idx="0">
                  <formatCode>0</formatCode>
                  <v>60</v>
                </pt>
                <pt idx="1">
                  <v>27.3</v>
                </pt>
                <pt idx="2">
                  <formatCode>0.0"x"</formatCode>
                  <v>23.69</v>
                </pt>
                <pt idx="3">
                  <formatCode>0.0"x"</formatCode>
                  <v>15.57</v>
                </pt>
                <pt idx="4">
                  <v>12.8</v>
                </pt>
                <pt idx="5">
                  <v>4.3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874485168"/>
        <axId val="1874485648"/>
      </barChart>
      <catAx>
        <axId val="18744851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74485648"/>
        <crosses val="autoZero"/>
        <auto val="1"/>
        <lblAlgn val="ctr"/>
        <lblOffset val="100"/>
        <noMultiLvlLbl val="0"/>
      </catAx>
      <valAx>
        <axId val="18744856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74485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 multidimensionnel normalisé (0–100)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radarChart>
        <radarStyle val="marker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AGRÉGATS!$B$6:$B$11</f>
              <strCache>
                <ptCount val="6"/>
                <pt idx="0">
                  <v>Score FinSight</v>
                </pt>
                <pt idx="1">
                  <v>Marge EBITDA</v>
                </pt>
                <pt idx="2">
                  <v>P/E</v>
                </pt>
                <pt idx="3">
                  <v>EV/EBITDA</v>
                </pt>
                <pt idx="4">
                  <v>ROE</v>
                </pt>
                <pt idx="5">
                  <v>Croiss. Revenus</v>
                </pt>
              </strCache>
            </strRef>
          </cat>
          <val>
            <numRef>
              <f>AGRÉGATS!$D$6:$D$11</f>
              <numCache>
                <formatCode>0.0"%"</formatCode>
                <ptCount val="6"/>
                <pt idx="0">
                  <formatCode>0</formatCode>
                  <v>48</v>
                </pt>
                <pt idx="1">
                  <v>25.85</v>
                </pt>
                <pt idx="2">
                  <formatCode>0.0"x"</formatCode>
                  <v>26.8</v>
                </pt>
                <pt idx="3">
                  <formatCode>0.0"x"</formatCode>
                  <v>15.2</v>
                </pt>
                <pt idx="4">
                  <v>11.6</v>
                </pt>
                <pt idx="5">
                  <v>7.1</v>
                </pt>
              </numCache>
            </numRef>
          </val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AGRÉGATS!$B$6:$B$11</f>
              <strCache>
                <ptCount val="6"/>
                <pt idx="0">
                  <v>Score FinSight</v>
                </pt>
                <pt idx="1">
                  <v>Marge EBITDA</v>
                </pt>
                <pt idx="2">
                  <v>P/E</v>
                </pt>
                <pt idx="3">
                  <v>EV/EBITDA</v>
                </pt>
                <pt idx="4">
                  <v>ROE</v>
                </pt>
                <pt idx="5">
                  <v>Croiss. Revenus</v>
                </pt>
              </strCache>
            </strRef>
          </cat>
          <val>
            <numRef>
              <f>AGRÉGATS!$D$15:$D$20</f>
              <numCache>
                <formatCode>0.0"%"</formatCode>
                <ptCount val="6"/>
                <pt idx="0">
                  <formatCode>0</formatCode>
                  <v>60</v>
                </pt>
                <pt idx="1">
                  <v>27.3</v>
                </pt>
                <pt idx="2">
                  <formatCode>0.0"x"</formatCode>
                  <v>23.69</v>
                </pt>
                <pt idx="3">
                  <formatCode>0.0"x"</formatCode>
                  <v>15.57</v>
                </pt>
                <pt idx="4">
                  <v>12.8</v>
                </pt>
                <pt idx="5">
                  <v>4.3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874496688"/>
        <axId val="1874496208"/>
      </radarChart>
      <catAx>
        <axId val="18744966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74496208"/>
        <crosses val="autoZero"/>
        <auto val="1"/>
        <lblAlgn val="ctr"/>
        <lblOffset val="100"/>
        <noMultiLvlLbl val="0"/>
      </catAx>
      <valAx>
        <axId val="18744962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74496688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9</col>
      <colOff>115571</colOff>
      <row>1</row>
      <rowOff>171450</rowOff>
    </from>
    <to>
      <col>18</col>
      <colOff>43816</colOff>
      <row>16</row>
      <rowOff>75565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134620</colOff>
      <row>30</row>
      <rowOff>168910</rowOff>
    </from>
    <to>
      <col>5</col>
      <colOff>378460</colOff>
      <row>50</row>
      <rowOff>105410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tabSelected="1" topLeftCell="A3" workbookViewId="0">
      <selection activeCell="J25" sqref="J25"/>
    </sheetView>
  </sheetViews>
  <sheetFormatPr baseColWidth="10" defaultColWidth="8.88671875" defaultRowHeight="14.4"/>
  <cols>
    <col width="9.21875" bestFit="1" customWidth="1" min="1" max="1"/>
    <col width="26.5546875" bestFit="1" customWidth="1" min="2" max="2"/>
    <col width="12.77734375" bestFit="1" customWidth="1" min="3" max="4"/>
    <col width="8.77734375" bestFit="1" customWidth="1" min="5" max="5"/>
    <col width="14.6640625" bestFit="1" customWidth="1" min="6" max="6"/>
    <col width="9" bestFit="1" customWidth="1" min="7" max="7"/>
    <col width="5.33203125" bestFit="1" customWidth="1" min="8" max="8"/>
    <col width="7.33203125" bestFit="1" customWidth="1" min="9" max="9"/>
  </cols>
  <sheetData>
    <row r="1" ht="25.95" customHeight="1">
      <c r="A1" s="2" t="inlineStr">
        <is>
          <t>FinSight</t>
        </is>
      </c>
      <c r="B1" s="1" t="n"/>
      <c r="C1" s="3" t="inlineStr">
        <is>
          <t>COMPARATIF SECTORIEL — Technologie vs Santé</t>
        </is>
      </c>
      <c r="D1" s="1" t="n"/>
      <c r="E1" s="1" t="n"/>
      <c r="F1" s="1" t="n"/>
      <c r="G1" s="1" t="n"/>
      <c r="H1" s="1" t="n"/>
      <c r="I1" s="1" t="n"/>
    </row>
    <row r="2" ht="16.05" customHeight="1">
      <c r="A2" s="5">
        <f>"Données : "&amp;COUNTA(DATA_TECH!A4:A200)&amp;" valeurs Technologie  ·  "&amp;COUNTA(DATA_HC!A4:A200)&amp;" valeurs Santé  ·  Médiane sectorielle  ·  Toutes formules dynamiques"</f>
        <v/>
      </c>
      <c r="B2" s="4" t="n"/>
      <c r="C2" s="4" t="n"/>
      <c r="D2" s="4" t="n"/>
      <c r="E2" s="4" t="n"/>
      <c r="F2" s="4" t="n"/>
      <c r="G2" s="4" t="n"/>
      <c r="H2" s="4" t="n"/>
      <c r="I2" s="4" t="n"/>
    </row>
    <row r="3"/>
    <row r="4" ht="19.95" customHeight="1">
      <c r="A4" s="7" t="inlineStr">
        <is>
          <t>TABLEAU COMPARATIF — MÉDIANES SECTORIELLES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8" customHeight="1">
      <c r="A5" s="16" t="inlineStr">
        <is>
          <t>INDICATEUR</t>
        </is>
      </c>
      <c r="B5" s="16" t="inlineStr">
        <is>
          <t>DESCRIPTION</t>
        </is>
      </c>
      <c r="C5" s="16" t="inlineStr">
        <is>
          <t>TECHNOLOGIE</t>
        </is>
      </c>
      <c r="D5" s="16" t="inlineStr">
        <is>
          <t>SANTÉ</t>
        </is>
      </c>
      <c r="E5" s="16" t="inlineStr">
        <is>
          <t>Δ ABSOLU</t>
        </is>
      </c>
      <c r="F5" s="16" t="inlineStr">
        <is>
          <t>Δ %</t>
        </is>
      </c>
      <c r="G5" s="16" t="inlineStr">
        <is>
          <t>AVANTAGE</t>
        </is>
      </c>
    </row>
    <row r="6" ht="16.95" customHeight="1">
      <c r="A6" s="18" t="inlineStr">
        <is>
          <t>Nb valeurs</t>
        </is>
      </c>
      <c r="B6" s="9" t="inlineStr">
        <is>
          <t>Taille de l'échantillon</t>
        </is>
      </c>
      <c r="C6" s="41">
        <f>COUNTA(DATA_TECH!A4:A200)</f>
        <v/>
      </c>
      <c r="D6" s="41">
        <f>COUNTA(DATA_HC!A4:A200)</f>
        <v/>
      </c>
      <c r="E6" s="41">
        <f>C6-D6</f>
        <v/>
      </c>
      <c r="F6" s="10">
        <f>""</f>
        <v/>
      </c>
      <c r="G6" s="11">
        <f>IF(C6&gt;D6,"Technologie","Santé")</f>
        <v/>
      </c>
    </row>
    <row r="7" ht="16.95" customHeight="1">
      <c r="A7" s="19" t="inlineStr">
        <is>
          <t>Score FinSight médian</t>
        </is>
      </c>
      <c r="B7" s="13" t="inlineStr">
        <is>
          <t>Qualité fondamentale agrégée (0–100)</t>
        </is>
      </c>
      <c r="C7" s="42">
        <f>AGRÉGATS!D6</f>
        <v/>
      </c>
      <c r="D7" s="42">
        <f>AGRÉGATS!D15</f>
        <v/>
      </c>
      <c r="E7" s="42">
        <f>C7-D7</f>
        <v/>
      </c>
      <c r="F7" s="47">
        <f>IFERROR(TEXT((C7-D7)/D7*100,"0.0")&amp;"%","—")</f>
        <v/>
      </c>
      <c r="G7" s="14">
        <f>IF(C7&gt;D7,"✓ Technologie","✓ Santé")</f>
        <v/>
      </c>
    </row>
    <row r="8" ht="16.95" customHeight="1">
      <c r="A8" s="18" t="inlineStr">
        <is>
          <t>Marge EBITDA médiane</t>
        </is>
      </c>
      <c r="B8" s="9" t="inlineStr">
        <is>
          <t>Profitabilité opérationnelle</t>
        </is>
      </c>
      <c r="C8" s="43">
        <f>AGRÉGATS!D7/100</f>
        <v/>
      </c>
      <c r="D8" s="43">
        <f>AGRÉGATS!D16/100</f>
        <v/>
      </c>
      <c r="E8" s="43">
        <f>C8-D8</f>
        <v/>
      </c>
      <c r="F8" s="10">
        <f>IFERROR(TEXT((C8-D8)/D8*100,"0.0")&amp;"%","—")</f>
        <v/>
      </c>
      <c r="G8" s="11">
        <f>IF(C8&gt;D8,"✓ Technologie","✓ Santé")</f>
        <v/>
      </c>
    </row>
    <row r="9" ht="16.95" customHeight="1">
      <c r="A9" s="19" t="inlineStr">
        <is>
          <t>P/E médian</t>
        </is>
      </c>
      <c r="B9" s="13" t="inlineStr">
        <is>
          <t>Valorisation bénéfices (×)</t>
        </is>
      </c>
      <c r="C9" s="44">
        <f>AGRÉGATS!D8</f>
        <v/>
      </c>
      <c r="D9" s="44">
        <f>AGRÉGATS!D17</f>
        <v/>
      </c>
      <c r="E9" s="44">
        <f>C9-D9</f>
        <v/>
      </c>
      <c r="F9" s="47">
        <f>IFERROR(TEXT((C9-D9)/D9*100,"0.0")&amp;"%","—")</f>
        <v/>
      </c>
      <c r="G9" s="14">
        <f>IF(C9&gt;D9,"Prime Technologie","Prime Santé")</f>
        <v/>
      </c>
    </row>
    <row r="10" ht="16.95" customHeight="1">
      <c r="A10" s="18" t="inlineStr">
        <is>
          <t>EV/EBITDA médian</t>
        </is>
      </c>
      <c r="B10" s="9" t="inlineStr">
        <is>
          <t>Valorisation hors structure (×)</t>
        </is>
      </c>
      <c r="C10" s="45">
        <f>AGRÉGATS!D9</f>
        <v/>
      </c>
      <c r="D10" s="45">
        <f>AGRÉGATS!D18</f>
        <v/>
      </c>
      <c r="E10" s="45">
        <f>C10-D10</f>
        <v/>
      </c>
      <c r="F10" s="10">
        <f>IFERROR(TEXT((C10-D10)/D10*100,"0.0")&amp;"%","—")</f>
        <v/>
      </c>
      <c r="G10" s="11">
        <f>IF(C10&gt;D10,"Prime Technologie","Prime Santé")</f>
        <v/>
      </c>
    </row>
    <row r="11" ht="16.95" customHeight="1">
      <c r="A11" s="19" t="inlineStr">
        <is>
          <t>ROE médian</t>
        </is>
      </c>
      <c r="B11" s="13" t="inlineStr">
        <is>
          <t>Rentabilité des fonds propres</t>
        </is>
      </c>
      <c r="C11" s="46">
        <f>AGRÉGATS!D10/100</f>
        <v/>
      </c>
      <c r="D11" s="46">
        <f>AGRÉGATS!D19/100</f>
        <v/>
      </c>
      <c r="E11" s="46">
        <f>C11-D11</f>
        <v/>
      </c>
      <c r="F11" s="47">
        <f>IFERROR(TEXT((C11-D11)/D11*100,"0.0")&amp;"%","—")</f>
        <v/>
      </c>
      <c r="G11" s="14">
        <f>IF(C11&gt;D11,"✓ Technologie","✓ Santé")</f>
        <v/>
      </c>
    </row>
    <row r="12" ht="16.95" customHeight="1">
      <c r="A12" s="18" t="inlineStr">
        <is>
          <t>Croiss. revenus médiane</t>
        </is>
      </c>
      <c r="B12" s="9" t="inlineStr">
        <is>
          <t>Dynamique commerciale YoY</t>
        </is>
      </c>
      <c r="C12" s="43">
        <f>AGRÉGATS!D11/100</f>
        <v/>
      </c>
      <c r="D12" s="43">
        <f>AGRÉGATS!D20/100</f>
        <v/>
      </c>
      <c r="E12" s="43">
        <f>C12-D12</f>
        <v/>
      </c>
      <c r="F12" s="10">
        <f>IFERROR(TEXT((C12-D12)/D12*100,"0.0")&amp;"%","—")</f>
        <v/>
      </c>
      <c r="G12" s="11">
        <f>IF(C12&gt;D12,"✓ Technologie","✓ Santé")</f>
        <v/>
      </c>
    </row>
    <row r="13"/>
    <row r="14" ht="19.95" customHeight="1">
      <c r="A14" s="7" t="inlineStr">
        <is>
          <t>STATISTIQUES AVANCÉES — DISPERSION &amp; AMPLITUDE SECTORIELLES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8" customHeight="1">
      <c r="A15" s="15" t="inlineStr">
        <is>
          <t>INDICATEUR</t>
        </is>
      </c>
      <c r="B15" s="16" t="inlineStr">
        <is>
          <t>TECHNOLOGIE Médiane</t>
        </is>
      </c>
      <c r="C15" s="16" t="inlineStr">
        <is>
          <t>TECHNOLOGIE Moyenne</t>
        </is>
      </c>
      <c r="D15" s="16" t="inlineStr">
        <is>
          <t>TECHNOLOGIE Min</t>
        </is>
      </c>
      <c r="E15" s="16" t="inlineStr">
        <is>
          <t>TECHNOLOGIE Max</t>
        </is>
      </c>
      <c r="F15" s="16" t="inlineStr">
        <is>
          <t>SANTÉ Médiane</t>
        </is>
      </c>
      <c r="G15" s="16" t="inlineStr">
        <is>
          <t>SANTÉ Min</t>
        </is>
      </c>
      <c r="H15" s="16" t="inlineStr">
        <is>
          <t>SANTÉ Max</t>
        </is>
      </c>
      <c r="I15" s="17" t="inlineStr">
        <is>
          <t>Δ Médiane</t>
        </is>
      </c>
    </row>
    <row r="16" ht="16.95" customHeight="1">
      <c r="A16" s="8" t="inlineStr">
        <is>
          <t>Score FinSight</t>
        </is>
      </c>
      <c r="B16" s="41">
        <f>AGRÉGATS!D6</f>
        <v/>
      </c>
      <c r="C16" s="41">
        <f>AGRÉGATS!E6</f>
        <v/>
      </c>
      <c r="D16" s="41">
        <f>AGRÉGATS!F6</f>
        <v/>
      </c>
      <c r="E16" s="41">
        <f>AGRÉGATS!G6</f>
        <v/>
      </c>
      <c r="F16" s="41">
        <f>AGRÉGATS!D15</f>
        <v/>
      </c>
      <c r="G16" s="41">
        <f>AGRÉGATS!F15</f>
        <v/>
      </c>
      <c r="H16" s="41">
        <f>AGRÉGATS!G15</f>
        <v/>
      </c>
      <c r="I16" s="48">
        <f>B16-F16</f>
        <v/>
      </c>
    </row>
    <row r="17" ht="16.95" customHeight="1">
      <c r="A17" s="12" t="inlineStr">
        <is>
          <t>Marge EBITDA</t>
        </is>
      </c>
      <c r="B17" s="46">
        <f>AGRÉGATS!D7/100</f>
        <v/>
      </c>
      <c r="C17" s="46">
        <f>AGRÉGATS!E7/100</f>
        <v/>
      </c>
      <c r="D17" s="46">
        <f>AGRÉGATS!F7/100</f>
        <v/>
      </c>
      <c r="E17" s="46">
        <f>AGRÉGATS!G7/100</f>
        <v/>
      </c>
      <c r="F17" s="46">
        <f>AGRÉGATS!D16/100</f>
        <v/>
      </c>
      <c r="G17" s="46">
        <f>AGRÉGATS!F16/100</f>
        <v/>
      </c>
      <c r="H17" s="46">
        <f>AGRÉGATS!G16/100</f>
        <v/>
      </c>
      <c r="I17" s="49">
        <f>B17-F17</f>
        <v/>
      </c>
    </row>
    <row r="18" ht="16.95" customHeight="1">
      <c r="A18" s="8" t="inlineStr">
        <is>
          <t>P/E</t>
        </is>
      </c>
      <c r="B18" s="45">
        <f>AGRÉGATS!D8</f>
        <v/>
      </c>
      <c r="C18" s="45">
        <f>AGRÉGATS!E8</f>
        <v/>
      </c>
      <c r="D18" s="45">
        <f>AGRÉGATS!F8</f>
        <v/>
      </c>
      <c r="E18" s="45">
        <f>AGRÉGATS!G8</f>
        <v/>
      </c>
      <c r="F18" s="45">
        <f>AGRÉGATS!D17</f>
        <v/>
      </c>
      <c r="G18" s="45">
        <f>AGRÉGATS!F17</f>
        <v/>
      </c>
      <c r="H18" s="45">
        <f>AGRÉGATS!G17</f>
        <v/>
      </c>
      <c r="I18" s="50">
        <f>B18-F18</f>
        <v/>
      </c>
    </row>
    <row r="19" ht="16.95" customHeight="1">
      <c r="A19" s="12" t="inlineStr">
        <is>
          <t>EV/EBITDA</t>
        </is>
      </c>
      <c r="B19" s="44">
        <f>AGRÉGATS!D9</f>
        <v/>
      </c>
      <c r="C19" s="44">
        <f>AGRÉGATS!E9</f>
        <v/>
      </c>
      <c r="D19" s="44">
        <f>AGRÉGATS!F9</f>
        <v/>
      </c>
      <c r="E19" s="44">
        <f>AGRÉGATS!G9</f>
        <v/>
      </c>
      <c r="F19" s="44">
        <f>AGRÉGATS!D18</f>
        <v/>
      </c>
      <c r="G19" s="44">
        <f>AGRÉGATS!F18</f>
        <v/>
      </c>
      <c r="H19" s="44">
        <f>AGRÉGATS!G18</f>
        <v/>
      </c>
      <c r="I19" s="51">
        <f>B19-F19</f>
        <v/>
      </c>
    </row>
    <row r="20" ht="16.95" customHeight="1">
      <c r="A20" s="8" t="inlineStr">
        <is>
          <t>ROE</t>
        </is>
      </c>
      <c r="B20" s="43">
        <f>AGRÉGATS!D10/100</f>
        <v/>
      </c>
      <c r="C20" s="43">
        <f>AGRÉGATS!E10/100</f>
        <v/>
      </c>
      <c r="D20" s="43">
        <f>AGRÉGATS!F10/100</f>
        <v/>
      </c>
      <c r="E20" s="43">
        <f>AGRÉGATS!G10/100</f>
        <v/>
      </c>
      <c r="F20" s="43">
        <f>AGRÉGATS!D19/100</f>
        <v/>
      </c>
      <c r="G20" s="43">
        <f>AGRÉGATS!F19/100</f>
        <v/>
      </c>
      <c r="H20" s="43">
        <f>AGRÉGATS!G19/100</f>
        <v/>
      </c>
      <c r="I20" s="52">
        <f>B20-F20</f>
        <v/>
      </c>
    </row>
    <row r="21" ht="16.95" customHeight="1">
      <c r="A21" s="12" t="inlineStr">
        <is>
          <t>Croiss. Rev.</t>
        </is>
      </c>
      <c r="B21" s="46">
        <f>AGRÉGATS!D11/100</f>
        <v/>
      </c>
      <c r="C21" s="46">
        <f>AGRÉGATS!E11/100</f>
        <v/>
      </c>
      <c r="D21" s="46">
        <f>AGRÉGATS!F11/100</f>
        <v/>
      </c>
      <c r="E21" s="46">
        <f>AGRÉGATS!G11/100</f>
        <v/>
      </c>
      <c r="F21" s="46">
        <f>AGRÉGATS!D20/100</f>
        <v/>
      </c>
      <c r="G21" s="46">
        <f>AGRÉGATS!F20/100</f>
        <v/>
      </c>
      <c r="H21" s="46">
        <f>AGRÉGATS!G20/100</f>
        <v/>
      </c>
      <c r="I21" s="49">
        <f>B21-F21</f>
        <v/>
      </c>
    </row>
    <row r="22"/>
    <row r="23" ht="19.95" customHeight="1">
      <c r="A23" s="7" t="inlineStr">
        <is>
          <t>TOP PERFORMERS — N°1 PAR SECTEUR (Score FinSight)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18" customHeight="1">
      <c r="A24" s="15" t="inlineStr">
        <is>
          <t>SECTEUR</t>
        </is>
      </c>
      <c r="B24" s="16" t="inlineStr">
        <is>
          <t>TICKER</t>
        </is>
      </c>
      <c r="C24" s="16" t="inlineStr">
        <is>
          <t>SOCIÉTÉ</t>
        </is>
      </c>
      <c r="D24" s="16" t="inlineStr">
        <is>
          <t>SCORE</t>
        </is>
      </c>
      <c r="E24" s="16" t="inlineStr">
        <is>
          <t>MARGE EBITDA</t>
        </is>
      </c>
      <c r="F24" s="16" t="inlineStr">
        <is>
          <t>ROE</t>
        </is>
      </c>
      <c r="G24" s="17" t="inlineStr">
        <is>
          <t>CROISS. REV.</t>
        </is>
      </c>
    </row>
    <row r="25" ht="16.95" customHeight="1">
      <c r="A25" s="20" t="inlineStr">
        <is>
          <t>Technologie</t>
        </is>
      </c>
      <c r="B25" s="21">
        <f>TOP_TECH!B5</f>
        <v/>
      </c>
      <c r="C25" s="21">
        <f>TOP_TECH!C5</f>
        <v/>
      </c>
      <c r="D25" s="53">
        <f>TOP_TECH!D5</f>
        <v/>
      </c>
      <c r="E25" s="55">
        <f>TOP_TECH!G5/100</f>
        <v/>
      </c>
      <c r="F25" s="55">
        <f>TOP_TECH!H5/100</f>
        <v/>
      </c>
      <c r="G25" s="56">
        <f>TOP_TECH!I5/100</f>
        <v/>
      </c>
    </row>
    <row r="26" ht="16.95" customHeight="1">
      <c r="A26" s="22" t="inlineStr">
        <is>
          <t>Santé</t>
        </is>
      </c>
      <c r="B26" s="23">
        <f>TOP_HC!B5</f>
        <v/>
      </c>
      <c r="C26" s="23">
        <f>TOP_HC!C5</f>
        <v/>
      </c>
      <c r="D26" s="54">
        <f>TOP_HC!D5</f>
        <v/>
      </c>
      <c r="E26" s="57">
        <f>TOP_HC!G5/100</f>
        <v/>
      </c>
      <c r="F26" s="57">
        <f>TOP_HC!H5/100</f>
        <v/>
      </c>
      <c r="G26" s="58">
        <f>TOP_HC!I5/100</f>
        <v/>
      </c>
    </row>
    <row r="27"/>
    <row r="28" ht="19.95" customHeight="1">
      <c r="A28" s="7" t="inlineStr">
        <is>
          <t>MÉDIANES PONDÉRÉES PAR SCORE FINSIGHT — Valeurs de qualité supérieure surpondérées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15" customHeight="1">
      <c r="A29" s="75" t="inlineStr">
        <is>
          <t>Les médianes pondérées donnent plus de poids aux valeurs avec un Score FinSight élevé (SUMPRODUCT Score × KPI / SUM Score)</t>
        </is>
      </c>
    </row>
    <row r="30" ht="18" customHeight="1">
      <c r="A30" s="15" t="inlineStr">
        <is>
          <t>INDICATEUR</t>
        </is>
      </c>
      <c r="B30" s="16" t="inlineStr">
        <is>
          <t>MG EBITDA pondérée</t>
        </is>
      </c>
      <c r="C30" s="16" t="inlineStr">
        <is>
          <t>P/E pondéré</t>
        </is>
      </c>
      <c r="D30" s="16" t="inlineStr">
        <is>
          <t>EV/EBITDA pondéré</t>
        </is>
      </c>
      <c r="E30" s="16" t="inlineStr">
        <is>
          <t>ROE pondéré</t>
        </is>
      </c>
      <c r="F30" s="16" t="inlineStr">
        <is>
          <t>CROISS. REV. pondérée</t>
        </is>
      </c>
    </row>
    <row r="31" ht="16.95" customHeight="1">
      <c r="A31" s="20" t="inlineStr">
        <is>
          <t>Technologie (pondérée)</t>
        </is>
      </c>
      <c r="B31" s="69">
        <f t="array" ref="B31">IFERROR(SUMPRODUCT((DATA_TECH!$C$4:$C$91)*(DATA_TECH!F4:F91)*(ISNUMBER(DATA_TECH!F4:F91)))/SUMPRODUCT((DATA_TECH!$C$4:$C$91)*(ISNUMBER(DATA_TECH!F4:F91))),"")</f>
        <v/>
      </c>
      <c r="C31" s="65">
        <f t="array" ref="C31">IFERROR(SUMPRODUCT((DATA_TECH!$C$4:$C$91)*(DATA_TECH!D4:D91)*(ISNUMBER(DATA_TECH!D4:D91)))/SUMPRODUCT((DATA_TECH!$C$4:$C$91)*(ISNUMBER(DATA_TECH!D4:D91))),"")</f>
        <v/>
      </c>
      <c r="D31" s="65">
        <f t="array" ref="D31">IFERROR(SUMPRODUCT((DATA_TECH!$C$4:$C$91)*(DATA_TECH!E4:E91)*(ISNUMBER(DATA_TECH!E4:E91)))/SUMPRODUCT((DATA_TECH!$C$4:$C$91)*(ISNUMBER(DATA_TECH!E4:E91))),"")</f>
        <v/>
      </c>
      <c r="E31" s="69">
        <f t="array" ref="E31">IFERROR(SUMPRODUCT((DATA_TECH!$C$4:$C$91)*(DATA_TECH!G4:G91)*(ISNUMBER(DATA_TECH!G4:G91)))/SUMPRODUCT((DATA_TECH!$C$4:$C$91)*(ISNUMBER(DATA_TECH!G4:G91))),"")</f>
        <v/>
      </c>
      <c r="F31" s="69">
        <f t="array" ref="F31">IFERROR(SUMPRODUCT((DATA_TECH!$C$4:$C$91)*(DATA_TECH!H4:H91)*(ISNUMBER(DATA_TECH!H4:H91)))/SUMPRODUCT((DATA_TECH!$C$4:$C$91)*(ISNUMBER(DATA_TECH!H4:H91))),"")</f>
        <v/>
      </c>
    </row>
    <row r="32" ht="16.95" customHeight="1">
      <c r="A32" s="22" t="inlineStr">
        <is>
          <t>Santé (pondérée)</t>
        </is>
      </c>
      <c r="B32" s="63">
        <f t="array" ref="B32">IFERROR(SUMPRODUCT((DATA_HC!$C$4:$C$9)*(DATA_HC!F4:F9)*(ISNUMBER(DATA_HC!F4:F9)))/SUMPRODUCT((DATA_HC!$C$4:$C$9)*(ISNUMBER(DATA_HC!F4:F9))),"")</f>
        <v/>
      </c>
      <c r="C32" s="67">
        <f t="array" ref="C32">IFERROR(SUMPRODUCT((DATA_HC!$C$4:$C$9)*(DATA_HC!D4:D9)*(ISNUMBER(DATA_HC!D4:D9)))/SUMPRODUCT((DATA_HC!$C$4:$C$9)*(ISNUMBER(DATA_HC!D4:D9))),"")</f>
        <v/>
      </c>
      <c r="D32" s="67">
        <f t="array" ref="D32">IFERROR(SUMPRODUCT((DATA_HC!$C$4:$C$9)*(DATA_HC!E4:E9)*(ISNUMBER(DATA_HC!E4:E9)))/SUMPRODUCT((DATA_HC!$C$4:$C$9)*(ISNUMBER(DATA_HC!E4:E9))),"")</f>
        <v/>
      </c>
      <c r="E32" s="63">
        <f t="array" ref="E32">IFERROR(SUMPRODUCT((DATA_HC!$C$4:$C$9)*(DATA_HC!G4:G9)*(ISNUMBER(DATA_HC!G4:G9)))/SUMPRODUCT((DATA_HC!$C$4:$C$9)*(ISNUMBER(DATA_HC!G4:G9))),"")</f>
        <v/>
      </c>
      <c r="F32" s="63">
        <f t="array" ref="F32">IFERROR(SUMPRODUCT((DATA_HC!$C$4:$C$9)*(DATA_HC!H4:H9)*(ISNUMBER(DATA_HC!H4:H9)))/SUMPRODUCT((DATA_HC!$C$4:$C$9)*(ISNUMBER(DATA_HC!H4:H9))),"")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F15" sqref="F15"/>
    </sheetView>
  </sheetViews>
  <sheetFormatPr baseColWidth="10" defaultColWidth="8.88671875" defaultRowHeight="14.4"/>
  <cols>
    <col width="16.6640625" customWidth="1" min="1" max="1"/>
    <col width="22.21875" customWidth="1" min="2" max="2"/>
    <col width="9.21875" customWidth="1" min="3" max="3"/>
    <col width="15.77734375" customWidth="1" min="4" max="8"/>
    <col width="13.88671875" customWidth="1" min="9" max="11"/>
  </cols>
  <sheetData>
    <row r="1" ht="25.95" customHeight="1">
      <c r="A1" s="2" t="inlineStr">
        <is>
          <t>FinSight</t>
        </is>
      </c>
      <c r="B1" s="1" t="n"/>
      <c r="C1" s="3" t="inlineStr">
        <is>
          <t>AGRÉGATS — Statistiques comparatives Technologie vs Santé</t>
        </is>
      </c>
      <c r="D1" s="1" t="n"/>
      <c r="E1" s="1" t="n"/>
      <c r="F1" s="1" t="n"/>
      <c r="G1" s="1" t="n"/>
      <c r="H1" s="1" t="n"/>
      <c r="I1" s="24" t="n"/>
      <c r="J1" s="24" t="n"/>
      <c r="K1" s="24" t="n"/>
    </row>
    <row r="2" ht="15" customHeight="1">
      <c r="A2" s="5" t="inlineStr">
        <is>
          <t>Médiane · Moyenne · Min · Max · Écart-type — liés à DATA_TECH (88 valeurs) et DATA_HC (6 valeurs)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/>
    <row r="4" ht="19.95" customHeight="1">
      <c r="A4" s="7" t="inlineStr">
        <is>
          <t>TECHNOLOGIE — 10 valeurs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8" customHeight="1">
      <c r="A5" s="15" t="inlineStr">
        <is>
          <t>SECTEUR</t>
        </is>
      </c>
      <c r="B5" s="16" t="inlineStr">
        <is>
          <t>INDICATEUR</t>
        </is>
      </c>
      <c r="C5" s="16" t="inlineStr">
        <is>
          <t>N</t>
        </is>
      </c>
      <c r="D5" s="16" t="inlineStr">
        <is>
          <t>MÉDIANE</t>
        </is>
      </c>
      <c r="E5" s="16" t="inlineStr">
        <is>
          <t>MOYENNE</t>
        </is>
      </c>
      <c r="F5" s="16" t="inlineStr">
        <is>
          <t>MIN</t>
        </is>
      </c>
      <c r="G5" s="16" t="inlineStr">
        <is>
          <t>MAX</t>
        </is>
      </c>
      <c r="H5" s="16" t="inlineStr">
        <is>
          <t>ÉCART-TYPE</t>
        </is>
      </c>
      <c r="I5" s="16" t="inlineStr">
        <is>
          <t>Q1 (25e)</t>
        </is>
      </c>
      <c r="J5" s="16" t="inlineStr">
        <is>
          <t>Q3 (75e)</t>
        </is>
      </c>
      <c r="K5" s="16" t="inlineStr">
        <is>
          <t>IQR</t>
        </is>
      </c>
    </row>
    <row r="6" ht="16.95" customHeight="1">
      <c r="A6" s="20" t="inlineStr">
        <is>
          <t>Technologie</t>
        </is>
      </c>
      <c r="B6" s="18" t="inlineStr">
        <is>
          <t>Score FinSight</t>
        </is>
      </c>
      <c r="C6" s="9">
        <f>COUNT(DATA_TECH!C4:C200)</f>
        <v/>
      </c>
      <c r="D6" s="41">
        <f>MEDIAN(DATA_TECH!C4:C200)</f>
        <v/>
      </c>
      <c r="E6" s="41">
        <f>AVERAGE(DATA_TECH!C4:C200)</f>
        <v/>
      </c>
      <c r="F6" s="41">
        <f>MIN(DATA_TECH!C4:C200)</f>
        <v/>
      </c>
      <c r="G6" s="41">
        <f>MAX(DATA_TECH!C4:C200)</f>
        <v/>
      </c>
      <c r="H6" s="41">
        <f>STDEV(DATA_TECH!C4:C200)</f>
        <v/>
      </c>
      <c r="I6" s="41">
        <f>QUARTILE(DATA_TECH!C4:C200,1)</f>
        <v/>
      </c>
      <c r="J6" s="41">
        <f>QUARTILE(DATA_TECH!C4:C200,3)</f>
        <v/>
      </c>
      <c r="K6" s="41">
        <f>J6-I6</f>
        <v/>
      </c>
    </row>
    <row r="7" ht="16.95" customHeight="1">
      <c r="A7" s="22" t="inlineStr">
        <is>
          <t>Technologie</t>
        </is>
      </c>
      <c r="B7" s="19" t="inlineStr">
        <is>
          <t>Marge EBITDA</t>
        </is>
      </c>
      <c r="C7" s="13">
        <f>COUNT(DATA_TECH!F4:F200)</f>
        <v/>
      </c>
      <c r="D7" s="59">
        <f>MEDIAN(DATA_TECH!F4:F200)</f>
        <v/>
      </c>
      <c r="E7" s="59">
        <f>AVERAGE(DATA_TECH!F4:F200)</f>
        <v/>
      </c>
      <c r="F7" s="59">
        <f>MIN(DATA_TECH!F4:F200)</f>
        <v/>
      </c>
      <c r="G7" s="59">
        <f>MAX(DATA_TECH!F4:F200)</f>
        <v/>
      </c>
      <c r="H7" s="59">
        <f>STDEV(DATA_TECH!F4:F200)</f>
        <v/>
      </c>
      <c r="I7" s="59">
        <f>QUARTILE(DATA_TECH!F4:F200,1)</f>
        <v/>
      </c>
      <c r="J7" s="59">
        <f>QUARTILE(DATA_TECH!F4:F200,3)</f>
        <v/>
      </c>
      <c r="K7" s="59">
        <f>J7-I7</f>
        <v/>
      </c>
    </row>
    <row r="8" ht="16.95" customHeight="1">
      <c r="A8" s="20" t="inlineStr">
        <is>
          <t>Technologie</t>
        </is>
      </c>
      <c r="B8" s="18" t="inlineStr">
        <is>
          <t>P/E</t>
        </is>
      </c>
      <c r="C8" s="9">
        <f>COUNT(DATA_TECH!D4:D200)</f>
        <v/>
      </c>
      <c r="D8" s="45">
        <f>MEDIAN(DATA_TECH!D4:D200)</f>
        <v/>
      </c>
      <c r="E8" s="45">
        <f>AVERAGE(DATA_TECH!D4:D200)</f>
        <v/>
      </c>
      <c r="F8" s="45">
        <f>MIN(DATA_TECH!D4:D200)</f>
        <v/>
      </c>
      <c r="G8" s="45">
        <f>MAX(DATA_TECH!D4:D200)</f>
        <v/>
      </c>
      <c r="H8" s="45">
        <f>STDEV(DATA_TECH!D4:D200)</f>
        <v/>
      </c>
      <c r="I8" s="45">
        <f>QUARTILE(DATA_TECH!D4:D200,1)</f>
        <v/>
      </c>
      <c r="J8" s="45">
        <f>QUARTILE(DATA_TECH!D4:D200,3)</f>
        <v/>
      </c>
      <c r="K8" s="45">
        <f>J8-I8</f>
        <v/>
      </c>
    </row>
    <row r="9" ht="16.95" customHeight="1">
      <c r="A9" s="22" t="inlineStr">
        <is>
          <t>Technologie</t>
        </is>
      </c>
      <c r="B9" s="19" t="inlineStr">
        <is>
          <t>EV/EBITDA</t>
        </is>
      </c>
      <c r="C9" s="13">
        <f>COUNT(DATA_TECH!E4:E200)</f>
        <v/>
      </c>
      <c r="D9" s="44">
        <f>MEDIAN(DATA_TECH!E4:E200)</f>
        <v/>
      </c>
      <c r="E9" s="44">
        <f>AVERAGE(DATA_TECH!E4:E200)</f>
        <v/>
      </c>
      <c r="F9" s="44">
        <f>MIN(DATA_TECH!E4:E200)</f>
        <v/>
      </c>
      <c r="G9" s="44">
        <f>MAX(DATA_TECH!E4:E200)</f>
        <v/>
      </c>
      <c r="H9" s="44">
        <f>STDEV(DATA_TECH!E4:E200)</f>
        <v/>
      </c>
      <c r="I9" s="44">
        <f>QUARTILE(DATA_TECH!E4:E200,1)</f>
        <v/>
      </c>
      <c r="J9" s="44">
        <f>QUARTILE(DATA_TECH!E4:E200,3)</f>
        <v/>
      </c>
      <c r="K9" s="44">
        <f>J9-I9</f>
        <v/>
      </c>
    </row>
    <row r="10" ht="16.95" customHeight="1">
      <c r="A10" s="20" t="inlineStr">
        <is>
          <t>Technologie</t>
        </is>
      </c>
      <c r="B10" s="18" t="inlineStr">
        <is>
          <t>ROE</t>
        </is>
      </c>
      <c r="C10" s="9">
        <f>COUNT(DATA_TECH!G4:G200)</f>
        <v/>
      </c>
      <c r="D10" s="60">
        <f>MEDIAN(DATA_TECH!G4:G200)</f>
        <v/>
      </c>
      <c r="E10" s="60">
        <f>AVERAGE(DATA_TECH!G4:G200)</f>
        <v/>
      </c>
      <c r="F10" s="60">
        <f>MIN(DATA_TECH!G4:G200)</f>
        <v/>
      </c>
      <c r="G10" s="60">
        <f>MAX(DATA_TECH!G4:G200)</f>
        <v/>
      </c>
      <c r="H10" s="60">
        <f>STDEV(DATA_TECH!G4:G200)</f>
        <v/>
      </c>
      <c r="I10" s="60">
        <f>QUARTILE(DATA_TECH!G4:G200,1)</f>
        <v/>
      </c>
      <c r="J10" s="60">
        <f>QUARTILE(DATA_TECH!G4:G200,3)</f>
        <v/>
      </c>
      <c r="K10" s="60">
        <f>J10-I10</f>
        <v/>
      </c>
    </row>
    <row r="11" ht="16.95" customHeight="1">
      <c r="A11" s="22" t="inlineStr">
        <is>
          <t>Technologie</t>
        </is>
      </c>
      <c r="B11" s="19" t="inlineStr">
        <is>
          <t>Croiss. Revenus</t>
        </is>
      </c>
      <c r="C11" s="13">
        <f>COUNT(DATA_TECH!H4:H200)</f>
        <v/>
      </c>
      <c r="D11" s="59">
        <f>MEDIAN(DATA_TECH!H4:H200)</f>
        <v/>
      </c>
      <c r="E11" s="59">
        <f>AVERAGE(DATA_TECH!H4:H200)</f>
        <v/>
      </c>
      <c r="F11" s="59">
        <f>MIN(DATA_TECH!H4:H200)</f>
        <v/>
      </c>
      <c r="G11" s="59">
        <f>MAX(DATA_TECH!H4:H200)</f>
        <v/>
      </c>
      <c r="H11" s="59">
        <f>STDEV(DATA_TECH!H4:H200)</f>
        <v/>
      </c>
      <c r="I11" s="59">
        <f>QUARTILE(DATA_TECH!H4:H200,1)</f>
        <v/>
      </c>
      <c r="J11" s="59">
        <f>QUARTILE(DATA_TECH!H4:H200,3)</f>
        <v/>
      </c>
      <c r="K11" s="59">
        <f>J11-I11</f>
        <v/>
      </c>
    </row>
    <row r="12"/>
    <row r="13" ht="19.95" customHeight="1">
      <c r="A13" s="7" t="inlineStr">
        <is>
          <t>SANTÉ — 6 valeurs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18" customHeight="1">
      <c r="A14" s="15" t="inlineStr">
        <is>
          <t>SECTEUR</t>
        </is>
      </c>
      <c r="B14" s="16" t="inlineStr">
        <is>
          <t>INDICATEUR</t>
        </is>
      </c>
      <c r="C14" s="16" t="inlineStr">
        <is>
          <t>N</t>
        </is>
      </c>
      <c r="D14" s="16" t="inlineStr">
        <is>
          <t>MÉDIANE</t>
        </is>
      </c>
      <c r="E14" s="16" t="inlineStr">
        <is>
          <t>MOYENNE</t>
        </is>
      </c>
      <c r="F14" s="16" t="inlineStr">
        <is>
          <t>MIN</t>
        </is>
      </c>
      <c r="G14" s="16" t="inlineStr">
        <is>
          <t>MAX</t>
        </is>
      </c>
      <c r="H14" s="16" t="inlineStr">
        <is>
          <t>ÉCART-TYPE</t>
        </is>
      </c>
      <c r="I14" s="16" t="inlineStr">
        <is>
          <t>Q1 (25e)</t>
        </is>
      </c>
      <c r="J14" s="16" t="inlineStr">
        <is>
          <t>Q3 (75e)</t>
        </is>
      </c>
      <c r="K14" s="16" t="inlineStr">
        <is>
          <t>IQR</t>
        </is>
      </c>
    </row>
    <row r="15" ht="16.95" customHeight="1">
      <c r="A15" s="20" t="inlineStr">
        <is>
          <t>Santé</t>
        </is>
      </c>
      <c r="B15" s="18" t="inlineStr">
        <is>
          <t>Score FinSight</t>
        </is>
      </c>
      <c r="C15" s="9">
        <f>COUNT(DATA_HC!C4:C200)</f>
        <v/>
      </c>
      <c r="D15" s="41">
        <f>MEDIAN(DATA_HC!C4:C200)</f>
        <v/>
      </c>
      <c r="E15" s="41">
        <f>AVERAGE(DATA_HC!C4:C200)</f>
        <v/>
      </c>
      <c r="F15" s="41">
        <f>MIN(DATA_HC!C4:C200)</f>
        <v/>
      </c>
      <c r="G15" s="41">
        <f>MAX(DATA_HC!C4:C200)</f>
        <v/>
      </c>
      <c r="H15" s="41">
        <f>STDEV(DATA_HC!C4:C200)</f>
        <v/>
      </c>
      <c r="I15" s="41">
        <f>QUARTILE(DATA_HC!C4:C200,1)</f>
        <v/>
      </c>
      <c r="J15" s="41">
        <f>QUARTILE(DATA_HC!C4:C200,3)</f>
        <v/>
      </c>
      <c r="K15" s="41">
        <f>J15-I15</f>
        <v/>
      </c>
    </row>
    <row r="16" ht="16.95" customHeight="1">
      <c r="A16" s="22" t="inlineStr">
        <is>
          <t>Santé</t>
        </is>
      </c>
      <c r="B16" s="19" t="inlineStr">
        <is>
          <t>Marge EBITDA</t>
        </is>
      </c>
      <c r="C16" s="13">
        <f>COUNT(DATA_HC!F4:F200)</f>
        <v/>
      </c>
      <c r="D16" s="59">
        <f>MEDIAN(DATA_HC!F4:F200)</f>
        <v/>
      </c>
      <c r="E16" s="59">
        <f>AVERAGE(DATA_HC!F4:F200)</f>
        <v/>
      </c>
      <c r="F16" s="59">
        <f>MIN(DATA_HC!F4:F200)</f>
        <v/>
      </c>
      <c r="G16" s="59">
        <f>MAX(DATA_HC!F4:F200)</f>
        <v/>
      </c>
      <c r="H16" s="59">
        <f>STDEV(DATA_HC!F4:F200)</f>
        <v/>
      </c>
      <c r="I16" s="59">
        <f>QUARTILE(DATA_HC!F4:F200,1)</f>
        <v/>
      </c>
      <c r="J16" s="59">
        <f>QUARTILE(DATA_HC!F4:F200,3)</f>
        <v/>
      </c>
      <c r="K16" s="59">
        <f>J16-I16</f>
        <v/>
      </c>
    </row>
    <row r="17" ht="16.95" customHeight="1">
      <c r="A17" s="20" t="inlineStr">
        <is>
          <t>Santé</t>
        </is>
      </c>
      <c r="B17" s="18" t="inlineStr">
        <is>
          <t>P/E</t>
        </is>
      </c>
      <c r="C17" s="9">
        <f>COUNT(DATA_HC!D4:D200)</f>
        <v/>
      </c>
      <c r="D17" s="45">
        <f>MEDIAN(DATA_HC!D4:D200)</f>
        <v/>
      </c>
      <c r="E17" s="45">
        <f>AVERAGE(DATA_HC!D4:D200)</f>
        <v/>
      </c>
      <c r="F17" s="45">
        <f>MIN(DATA_HC!D4:D200)</f>
        <v/>
      </c>
      <c r="G17" s="45">
        <f>MAX(DATA_HC!D4:D200)</f>
        <v/>
      </c>
      <c r="H17" s="45">
        <f>STDEV(DATA_HC!D4:D200)</f>
        <v/>
      </c>
      <c r="I17" s="45">
        <f>QUARTILE(DATA_HC!D4:D200,1)</f>
        <v/>
      </c>
      <c r="J17" s="45">
        <f>QUARTILE(DATA_HC!D4:D200,3)</f>
        <v/>
      </c>
      <c r="K17" s="45">
        <f>J17-I17</f>
        <v/>
      </c>
    </row>
    <row r="18" ht="16.95" customHeight="1">
      <c r="A18" s="22" t="inlineStr">
        <is>
          <t>Santé</t>
        </is>
      </c>
      <c r="B18" s="19" t="inlineStr">
        <is>
          <t>EV/EBITDA</t>
        </is>
      </c>
      <c r="C18" s="13">
        <f>COUNT(DATA_HC!E4:E200)</f>
        <v/>
      </c>
      <c r="D18" s="44">
        <f>MEDIAN(DATA_HC!E4:E200)</f>
        <v/>
      </c>
      <c r="E18" s="44">
        <f>AVERAGE(DATA_HC!E4:E200)</f>
        <v/>
      </c>
      <c r="F18" s="44">
        <f>MIN(DATA_HC!E4:E200)</f>
        <v/>
      </c>
      <c r="G18" s="44">
        <f>MAX(DATA_HC!E4:E200)</f>
        <v/>
      </c>
      <c r="H18" s="44">
        <f>STDEV(DATA_HC!E4:E200)</f>
        <v/>
      </c>
      <c r="I18" s="44">
        <f>QUARTILE(DATA_HC!E4:E200,1)</f>
        <v/>
      </c>
      <c r="J18" s="44">
        <f>QUARTILE(DATA_HC!E4:E200,3)</f>
        <v/>
      </c>
      <c r="K18" s="44">
        <f>J18-I18</f>
        <v/>
      </c>
    </row>
    <row r="19" ht="16.95" customHeight="1">
      <c r="A19" s="20" t="inlineStr">
        <is>
          <t>Santé</t>
        </is>
      </c>
      <c r="B19" s="18" t="inlineStr">
        <is>
          <t>ROE</t>
        </is>
      </c>
      <c r="C19" s="9">
        <f>COUNT(DATA_HC!G4:G200)</f>
        <v/>
      </c>
      <c r="D19" s="60">
        <f>MEDIAN(DATA_HC!G4:G200)</f>
        <v/>
      </c>
      <c r="E19" s="60">
        <f>AVERAGE(DATA_HC!G4:G200)</f>
        <v/>
      </c>
      <c r="F19" s="60">
        <f>MIN(DATA_HC!G4:G200)</f>
        <v/>
      </c>
      <c r="G19" s="60">
        <f>MAX(DATA_HC!G4:G200)</f>
        <v/>
      </c>
      <c r="H19" s="60">
        <f>STDEV(DATA_HC!G4:G200)</f>
        <v/>
      </c>
      <c r="I19" s="60">
        <f>QUARTILE(DATA_HC!G4:G200,1)</f>
        <v/>
      </c>
      <c r="J19" s="60">
        <f>QUARTILE(DATA_HC!G4:G200,3)</f>
        <v/>
      </c>
      <c r="K19" s="60">
        <f>J19-I19</f>
        <v/>
      </c>
    </row>
    <row r="20" ht="16.95" customHeight="1">
      <c r="A20" s="22" t="inlineStr">
        <is>
          <t>Santé</t>
        </is>
      </c>
      <c r="B20" s="19" t="inlineStr">
        <is>
          <t>Croiss. Revenus</t>
        </is>
      </c>
      <c r="C20" s="13">
        <f>COUNT(DATA_HC!H4:H200)</f>
        <v/>
      </c>
      <c r="D20" s="59">
        <f>MEDIAN(DATA_HC!H4:H200)</f>
        <v/>
      </c>
      <c r="E20" s="59">
        <f>AVERAGE(DATA_HC!H4:H200)</f>
        <v/>
      </c>
      <c r="F20" s="59">
        <f>MIN(DATA_HC!H4:H200)</f>
        <v/>
      </c>
      <c r="G20" s="59">
        <f>MAX(DATA_HC!H4:H200)</f>
        <v/>
      </c>
      <c r="H20" s="59">
        <f>STDEV(DATA_HC!H4:H200)</f>
        <v/>
      </c>
      <c r="I20" s="59">
        <f>QUARTILE(DATA_HC!H4:H200,1)</f>
        <v/>
      </c>
      <c r="J20" s="59">
        <f>QUARTILE(DATA_HC!H4:H200,3)</f>
        <v/>
      </c>
      <c r="K20" s="59">
        <f>J20-I20</f>
        <v/>
      </c>
    </row>
    <row r="21"/>
    <row r="22" ht="19.95" customHeight="1">
      <c r="A22" s="7" t="inlineStr">
        <is>
          <t>DELTA — Différentiel Technologie vs Santé (Tech − HC)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8" customHeight="1">
      <c r="A23" s="15" t="inlineStr">
        <is>
          <t>COMPARAISON</t>
        </is>
      </c>
      <c r="B23" s="16" t="inlineStr">
        <is>
          <t>INDICATEUR</t>
        </is>
      </c>
      <c r="C23" s="16" t="inlineStr">
        <is>
          <t>—</t>
        </is>
      </c>
      <c r="D23" s="16" t="inlineStr">
        <is>
          <t>Δ MÉDIANE</t>
        </is>
      </c>
      <c r="E23" s="16" t="inlineStr">
        <is>
          <t>Δ MOYENNE</t>
        </is>
      </c>
      <c r="F23" s="16" t="inlineStr">
        <is>
          <t>Δ MIN</t>
        </is>
      </c>
      <c r="G23" s="16" t="inlineStr">
        <is>
          <t>Δ MAX</t>
        </is>
      </c>
      <c r="H23" s="17" t="inlineStr">
        <is>
          <t>Δ ÉCART-TYPE</t>
        </is>
      </c>
    </row>
    <row r="24" ht="16.95" customHeight="1">
      <c r="A24" s="20" t="inlineStr">
        <is>
          <t>Technologie vs Santé</t>
        </is>
      </c>
      <c r="B24" s="25" t="inlineStr">
        <is>
          <t>Score FinSight</t>
        </is>
      </c>
      <c r="C24" s="26" t="inlineStr">
        <is>
          <t>—</t>
        </is>
      </c>
      <c r="D24" s="61">
        <f>D6-D15</f>
        <v/>
      </c>
      <c r="E24" s="61">
        <f>E6-E15</f>
        <v/>
      </c>
      <c r="F24" s="61">
        <f>F6-F15</f>
        <v/>
      </c>
      <c r="G24" s="61">
        <f>G6-G15</f>
        <v/>
      </c>
      <c r="H24" s="62">
        <f>H6-H15</f>
        <v/>
      </c>
    </row>
    <row r="25" ht="16.95" customHeight="1">
      <c r="A25" s="22" t="inlineStr">
        <is>
          <t>Technologie vs Santé</t>
        </is>
      </c>
      <c r="B25" s="27" t="inlineStr">
        <is>
          <t>Marge EBITDA</t>
        </is>
      </c>
      <c r="C25" s="28" t="inlineStr">
        <is>
          <t>—</t>
        </is>
      </c>
      <c r="D25" s="63">
        <f>D7-D16</f>
        <v/>
      </c>
      <c r="E25" s="63">
        <f>E7-E16</f>
        <v/>
      </c>
      <c r="F25" s="63">
        <f>F7-F16</f>
        <v/>
      </c>
      <c r="G25" s="63">
        <f>G7-G16</f>
        <v/>
      </c>
      <c r="H25" s="64">
        <f>H7-H16</f>
        <v/>
      </c>
    </row>
    <row r="26" ht="16.95" customHeight="1">
      <c r="A26" s="20" t="inlineStr">
        <is>
          <t>Technologie vs Santé</t>
        </is>
      </c>
      <c r="B26" s="25" t="inlineStr">
        <is>
          <t>P/E</t>
        </is>
      </c>
      <c r="C26" s="26" t="inlineStr">
        <is>
          <t>—</t>
        </is>
      </c>
      <c r="D26" s="65">
        <f>D8-D17</f>
        <v/>
      </c>
      <c r="E26" s="65">
        <f>E8-E17</f>
        <v/>
      </c>
      <c r="F26" s="65">
        <f>F8-F17</f>
        <v/>
      </c>
      <c r="G26" s="65">
        <f>G8-G17</f>
        <v/>
      </c>
      <c r="H26" s="66">
        <f>H8-H17</f>
        <v/>
      </c>
    </row>
    <row r="27" ht="16.95" customHeight="1">
      <c r="A27" s="22" t="inlineStr">
        <is>
          <t>Technologie vs Santé</t>
        </is>
      </c>
      <c r="B27" s="27" t="inlineStr">
        <is>
          <t>EV/EBITDA</t>
        </is>
      </c>
      <c r="C27" s="28" t="inlineStr">
        <is>
          <t>—</t>
        </is>
      </c>
      <c r="D27" s="67">
        <f>D9-D18</f>
        <v/>
      </c>
      <c r="E27" s="67">
        <f>E9-E18</f>
        <v/>
      </c>
      <c r="F27" s="67">
        <f>F9-F18</f>
        <v/>
      </c>
      <c r="G27" s="67">
        <f>G9-G18</f>
        <v/>
      </c>
      <c r="H27" s="68">
        <f>H9-H18</f>
        <v/>
      </c>
    </row>
    <row r="28" ht="16.95" customHeight="1">
      <c r="A28" s="20" t="inlineStr">
        <is>
          <t>Technologie vs Santé</t>
        </is>
      </c>
      <c r="B28" s="25" t="inlineStr">
        <is>
          <t>ROE</t>
        </is>
      </c>
      <c r="C28" s="26" t="inlineStr">
        <is>
          <t>—</t>
        </is>
      </c>
      <c r="D28" s="69">
        <f>D10-D19</f>
        <v/>
      </c>
      <c r="E28" s="69">
        <f>E10-E19</f>
        <v/>
      </c>
      <c r="F28" s="69">
        <f>F10-F19</f>
        <v/>
      </c>
      <c r="G28" s="69">
        <f>G10-G19</f>
        <v/>
      </c>
      <c r="H28" s="70">
        <f>H10-H19</f>
        <v/>
      </c>
    </row>
    <row r="29" ht="16.95" customHeight="1">
      <c r="A29" s="22" t="inlineStr">
        <is>
          <t>Technologie vs Santé</t>
        </is>
      </c>
      <c r="B29" s="27" t="inlineStr">
        <is>
          <t>Croiss. Revenus</t>
        </is>
      </c>
      <c r="C29" s="28" t="inlineStr">
        <is>
          <t>—</t>
        </is>
      </c>
      <c r="D29" s="63">
        <f>D11-D20</f>
        <v/>
      </c>
      <c r="E29" s="63">
        <f>E11-E20</f>
        <v/>
      </c>
      <c r="F29" s="63">
        <f>F11-F20</f>
        <v/>
      </c>
      <c r="G29" s="63">
        <f>G11-G20</f>
        <v/>
      </c>
      <c r="H29" s="64">
        <f>H11-H20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J3" sqref="J1:M3"/>
    </sheetView>
  </sheetViews>
  <sheetFormatPr baseColWidth="10" defaultColWidth="8.88671875" defaultRowHeight="14.4"/>
  <cols>
    <col width="7.44140625" customWidth="1" min="1" max="1"/>
    <col width="13" customWidth="1" min="2" max="2"/>
    <col width="36.109375" customWidth="1" min="3" max="3"/>
    <col width="11.109375" customWidth="1" min="4" max="4"/>
    <col width="13.88671875" customWidth="1" min="5" max="6"/>
    <col width="15.77734375" customWidth="1" min="7" max="9"/>
    <col width="16.6640625" customWidth="1" min="10" max="10"/>
  </cols>
  <sheetData>
    <row r="1" ht="25.95" customHeight="1">
      <c r="A1" s="2" t="inlineStr">
        <is>
          <t>FinSight</t>
        </is>
      </c>
      <c r="B1" s="1" t="n"/>
      <c r="C1" s="3" t="inlineStr">
        <is>
          <t>TOP TECH — Classement dynamique Technologie par Score FinSight (Top 20)</t>
        </is>
      </c>
      <c r="D1" s="1" t="n"/>
      <c r="E1" s="1" t="n"/>
      <c r="F1" s="1" t="n"/>
      <c r="G1" s="1" t="n"/>
      <c r="H1" s="1" t="n"/>
      <c r="I1" s="1" t="n"/>
    </row>
    <row r="2" ht="15" customHeight="1">
      <c r="A2" s="5" t="inlineStr">
        <is>
          <t>Classement calculé dynamiquement via LARGE / INDEX / MATCH depuis DATA_TECH · Se met à jour automatiquement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9.95" customHeight="1">
      <c r="A3" s="7" t="inlineStr">
        <is>
          <t>TOP 20 — TECHNOLOGIE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18" customHeight="1">
      <c r="A4" s="15" t="inlineStr">
        <is>
          <t>RANG</t>
        </is>
      </c>
      <c r="B4" s="16" t="inlineStr">
        <is>
          <t>TICKER</t>
        </is>
      </c>
      <c r="C4" s="16" t="inlineStr">
        <is>
          <t>SOCIÉTÉ</t>
        </is>
      </c>
      <c r="D4" s="16" t="inlineStr">
        <is>
          <t>SCORE</t>
        </is>
      </c>
      <c r="E4" s="16" t="inlineStr">
        <is>
          <t>P/E</t>
        </is>
      </c>
      <c r="F4" s="16" t="inlineStr">
        <is>
          <t>EV/EBITDA</t>
        </is>
      </c>
      <c r="G4" s="16" t="inlineStr">
        <is>
          <t>MG EBITDA</t>
        </is>
      </c>
      <c r="H4" s="16" t="inlineStr">
        <is>
          <t>ROE</t>
        </is>
      </c>
      <c r="I4" s="16" t="inlineStr">
        <is>
          <t>CROISS. REV.</t>
        </is>
      </c>
    </row>
    <row r="5" ht="16.95" customHeight="1">
      <c r="A5" s="29" t="n">
        <v>1</v>
      </c>
      <c r="B5" s="30">
        <f>IFERROR(INDEX(DATA_TECH!$A$4:$A$200,MATCH(LARGE(DATA_TECH!$C$4:$C$200,1),DATA_TECH!$C$4:$C$200,0)),"")</f>
        <v/>
      </c>
      <c r="C5" s="9">
        <f>IFERROR(INDEX(DATA_TECH!$B$4:$B$200,MATCH(LARGE(DATA_TECH!$C$4:$C$200,1),DATA_TECH!$C$4:$C$200,0)),"")</f>
        <v/>
      </c>
      <c r="D5" s="31">
        <f>LARGE(DATA_TECH!$C$4:$C$200,1)</f>
        <v/>
      </c>
      <c r="E5" s="71">
        <f>IFERROR(INDEX(DATA_TECH!$D$4:$D$200,MATCH(LARGE(DATA_TECH!$C$4:$C$200,1),DATA_TECH!$C$4:$C$200,0)),"")</f>
        <v/>
      </c>
      <c r="F5" s="71">
        <f>IFERROR(INDEX(DATA_TECH!$E$4:$E$200,MATCH(LARGE(DATA_TECH!$C$4:$C$200,1),DATA_TECH!$C$4:$C$200,0)),"")</f>
        <v/>
      </c>
      <c r="G5" s="73">
        <f>IFERROR(INDEX(DATA_TECH!$F$4:$F$200,MATCH(LARGE(DATA_TECH!$C$4:$C$200,1),DATA_TECH!$C$4:$C$200,0)),"")</f>
        <v/>
      </c>
      <c r="H5" s="73">
        <f>IFERROR(INDEX(DATA_TECH!$G$4:$G$200,MATCH(LARGE(DATA_TECH!$C$4:$C$200,1),DATA_TECH!$C$4:$C$200,0)),"")</f>
        <v/>
      </c>
      <c r="I5" s="73">
        <f>IFERROR(INDEX(DATA_TECH!$H$4:$H$200,MATCH(LARGE(DATA_TECH!$C$4:$C$200,1),DATA_TECH!$C$4:$C$200,0)),"")</f>
        <v/>
      </c>
    </row>
    <row r="6" ht="16.95" customHeight="1">
      <c r="A6" s="34" t="n">
        <v>2</v>
      </c>
      <c r="B6" s="35">
        <f>IFERROR(INDEX(DATA_TECH!$A$4:$A$200,MATCH(LARGE(DATA_TECH!$C$4:$C$200,2),DATA_TECH!$C$4:$C$200,0)),"")</f>
        <v/>
      </c>
      <c r="C6" s="13">
        <f>IFERROR(INDEX(DATA_TECH!$B$4:$B$200,MATCH(LARGE(DATA_TECH!$C$4:$C$200,2),DATA_TECH!$C$4:$C$200,0)),"")</f>
        <v/>
      </c>
      <c r="D6" s="36">
        <f>LARGE(DATA_TECH!$C$4:$C$200,2)</f>
        <v/>
      </c>
      <c r="E6" s="72">
        <f>IFERROR(INDEX(DATA_TECH!$D$4:$D$200,MATCH(LARGE(DATA_TECH!$C$4:$C$200,2),DATA_TECH!$C$4:$C$200,0)),"")</f>
        <v/>
      </c>
      <c r="F6" s="72">
        <f>IFERROR(INDEX(DATA_TECH!$E$4:$E$200,MATCH(LARGE(DATA_TECH!$C$4:$C$200,2),DATA_TECH!$C$4:$C$200,0)),"")</f>
        <v/>
      </c>
      <c r="G6" s="74">
        <f>IFERROR(INDEX(DATA_TECH!$F$4:$F$200,MATCH(LARGE(DATA_TECH!$C$4:$C$200,2),DATA_TECH!$C$4:$C$200,0)),"")</f>
        <v/>
      </c>
      <c r="H6" s="74">
        <f>IFERROR(INDEX(DATA_TECH!$G$4:$G$200,MATCH(LARGE(DATA_TECH!$C$4:$C$200,2),DATA_TECH!$C$4:$C$200,0)),"")</f>
        <v/>
      </c>
      <c r="I6" s="74">
        <f>IFERROR(INDEX(DATA_TECH!$H$4:$H$200,MATCH(LARGE(DATA_TECH!$C$4:$C$200,2),DATA_TECH!$C$4:$C$200,0)),"")</f>
        <v/>
      </c>
    </row>
    <row r="7" ht="16.95" customHeight="1">
      <c r="A7" s="29" t="n">
        <v>3</v>
      </c>
      <c r="B7" s="30">
        <f>IFERROR(INDEX(DATA_TECH!$A$4:$A$200,MATCH(LARGE(DATA_TECH!$C$4:$C$200,3),DATA_TECH!$C$4:$C$200,0)),"")</f>
        <v/>
      </c>
      <c r="C7" s="9">
        <f>IFERROR(INDEX(DATA_TECH!$B$4:$B$200,MATCH(LARGE(DATA_TECH!$C$4:$C$200,3),DATA_TECH!$C$4:$C$200,0)),"")</f>
        <v/>
      </c>
      <c r="D7" s="31">
        <f>LARGE(DATA_TECH!$C$4:$C$200,3)</f>
        <v/>
      </c>
      <c r="E7" s="71">
        <f>IFERROR(INDEX(DATA_TECH!$D$4:$D$200,MATCH(LARGE(DATA_TECH!$C$4:$C$200,3),DATA_TECH!$C$4:$C$200,0)),"")</f>
        <v/>
      </c>
      <c r="F7" s="71">
        <f>IFERROR(INDEX(DATA_TECH!$E$4:$E$200,MATCH(LARGE(DATA_TECH!$C$4:$C$200,3),DATA_TECH!$C$4:$C$200,0)),"")</f>
        <v/>
      </c>
      <c r="G7" s="73">
        <f>IFERROR(INDEX(DATA_TECH!$F$4:$F$200,MATCH(LARGE(DATA_TECH!$C$4:$C$200,3),DATA_TECH!$C$4:$C$200,0)),"")</f>
        <v/>
      </c>
      <c r="H7" s="73">
        <f>IFERROR(INDEX(DATA_TECH!$G$4:$G$200,MATCH(LARGE(DATA_TECH!$C$4:$C$200,3),DATA_TECH!$C$4:$C$200,0)),"")</f>
        <v/>
      </c>
      <c r="I7" s="73">
        <f>IFERROR(INDEX(DATA_TECH!$H$4:$H$200,MATCH(LARGE(DATA_TECH!$C$4:$C$200,3),DATA_TECH!$C$4:$C$200,0)),"")</f>
        <v/>
      </c>
    </row>
    <row r="8" ht="16.95" customHeight="1">
      <c r="A8" s="34" t="n">
        <v>4</v>
      </c>
      <c r="B8" s="35">
        <f>IFERROR(INDEX(DATA_TECH!$A$4:$A$200,MATCH(LARGE(DATA_TECH!$C$4:$C$200,4),DATA_TECH!$C$4:$C$200,0)),"")</f>
        <v/>
      </c>
      <c r="C8" s="13">
        <f>IFERROR(INDEX(DATA_TECH!$B$4:$B$200,MATCH(LARGE(DATA_TECH!$C$4:$C$200,4),DATA_TECH!$C$4:$C$200,0)),"")</f>
        <v/>
      </c>
      <c r="D8" s="36">
        <f>LARGE(DATA_TECH!$C$4:$C$200,4)</f>
        <v/>
      </c>
      <c r="E8" s="72">
        <f>IFERROR(INDEX(DATA_TECH!$D$4:$D$200,MATCH(LARGE(DATA_TECH!$C$4:$C$200,4),DATA_TECH!$C$4:$C$200,0)),"")</f>
        <v/>
      </c>
      <c r="F8" s="72">
        <f>IFERROR(INDEX(DATA_TECH!$E$4:$E$200,MATCH(LARGE(DATA_TECH!$C$4:$C$200,4),DATA_TECH!$C$4:$C$200,0)),"")</f>
        <v/>
      </c>
      <c r="G8" s="74">
        <f>IFERROR(INDEX(DATA_TECH!$F$4:$F$200,MATCH(LARGE(DATA_TECH!$C$4:$C$200,4),DATA_TECH!$C$4:$C$200,0)),"")</f>
        <v/>
      </c>
      <c r="H8" s="74">
        <f>IFERROR(INDEX(DATA_TECH!$G$4:$G$200,MATCH(LARGE(DATA_TECH!$C$4:$C$200,4),DATA_TECH!$C$4:$C$200,0)),"")</f>
        <v/>
      </c>
      <c r="I8" s="74">
        <f>IFERROR(INDEX(DATA_TECH!$H$4:$H$200,MATCH(LARGE(DATA_TECH!$C$4:$C$200,4),DATA_TECH!$C$4:$C$200,0)),"")</f>
        <v/>
      </c>
    </row>
    <row r="9" ht="16.95" customHeight="1">
      <c r="A9" s="29" t="n">
        <v>5</v>
      </c>
      <c r="B9" s="30">
        <f>IFERROR(INDEX(DATA_TECH!$A$4:$A$200,MATCH(LARGE(DATA_TECH!$C$4:$C$200,5),DATA_TECH!$C$4:$C$200,0)),"")</f>
        <v/>
      </c>
      <c r="C9" s="9">
        <f>IFERROR(INDEX(DATA_TECH!$B$4:$B$200,MATCH(LARGE(DATA_TECH!$C$4:$C$200,5),DATA_TECH!$C$4:$C$200,0)),"")</f>
        <v/>
      </c>
      <c r="D9" s="31">
        <f>LARGE(DATA_TECH!$C$4:$C$200,5)</f>
        <v/>
      </c>
      <c r="E9" s="71">
        <f>IFERROR(INDEX(DATA_TECH!$D$4:$D$200,MATCH(LARGE(DATA_TECH!$C$4:$C$200,5),DATA_TECH!$C$4:$C$200,0)),"")</f>
        <v/>
      </c>
      <c r="F9" s="71">
        <f>IFERROR(INDEX(DATA_TECH!$E$4:$E$200,MATCH(LARGE(DATA_TECH!$C$4:$C$200,5),DATA_TECH!$C$4:$C$200,0)),"")</f>
        <v/>
      </c>
      <c r="G9" s="73">
        <f>IFERROR(INDEX(DATA_TECH!$F$4:$F$200,MATCH(LARGE(DATA_TECH!$C$4:$C$200,5),DATA_TECH!$C$4:$C$200,0)),"")</f>
        <v/>
      </c>
      <c r="H9" s="73">
        <f>IFERROR(INDEX(DATA_TECH!$G$4:$G$200,MATCH(LARGE(DATA_TECH!$C$4:$C$200,5),DATA_TECH!$C$4:$C$200,0)),"")</f>
        <v/>
      </c>
      <c r="I9" s="73">
        <f>IFERROR(INDEX(DATA_TECH!$H$4:$H$200,MATCH(LARGE(DATA_TECH!$C$4:$C$200,5),DATA_TECH!$C$4:$C$200,0)),"")</f>
        <v/>
      </c>
    </row>
    <row r="10" ht="16.95" customHeight="1">
      <c r="A10" s="34" t="n">
        <v>6</v>
      </c>
      <c r="B10" s="35">
        <f>IFERROR(INDEX(DATA_TECH!$A$4:$A$200,MATCH(LARGE(DATA_TECH!$C$4:$C$200,6),DATA_TECH!$C$4:$C$200,0)),"")</f>
        <v/>
      </c>
      <c r="C10" s="13">
        <f>IFERROR(INDEX(DATA_TECH!$B$4:$B$200,MATCH(LARGE(DATA_TECH!$C$4:$C$200,6),DATA_TECH!$C$4:$C$200,0)),"")</f>
        <v/>
      </c>
      <c r="D10" s="36">
        <f>LARGE(DATA_TECH!$C$4:$C$200,6)</f>
        <v/>
      </c>
      <c r="E10" s="72">
        <f>IFERROR(INDEX(DATA_TECH!$D$4:$D$200,MATCH(LARGE(DATA_TECH!$C$4:$C$200,6),DATA_TECH!$C$4:$C$200,0)),"")</f>
        <v/>
      </c>
      <c r="F10" s="72">
        <f>IFERROR(INDEX(DATA_TECH!$E$4:$E$200,MATCH(LARGE(DATA_TECH!$C$4:$C$200,6),DATA_TECH!$C$4:$C$200,0)),"")</f>
        <v/>
      </c>
      <c r="G10" s="74">
        <f>IFERROR(INDEX(DATA_TECH!$F$4:$F$200,MATCH(LARGE(DATA_TECH!$C$4:$C$200,6),DATA_TECH!$C$4:$C$200,0)),"")</f>
        <v/>
      </c>
      <c r="H10" s="74">
        <f>IFERROR(INDEX(DATA_TECH!$G$4:$G$200,MATCH(LARGE(DATA_TECH!$C$4:$C$200,6),DATA_TECH!$C$4:$C$200,0)),"")</f>
        <v/>
      </c>
      <c r="I10" s="74">
        <f>IFERROR(INDEX(DATA_TECH!$H$4:$H$200,MATCH(LARGE(DATA_TECH!$C$4:$C$200,6),DATA_TECH!$C$4:$C$200,0)),"")</f>
        <v/>
      </c>
    </row>
    <row r="11" ht="16.95" customHeight="1">
      <c r="A11" s="29" t="n">
        <v>7</v>
      </c>
      <c r="B11" s="30">
        <f>IFERROR(INDEX(DATA_TECH!$A$4:$A$200,MATCH(LARGE(DATA_TECH!$C$4:$C$200,7),DATA_TECH!$C$4:$C$200,0)),"")</f>
        <v/>
      </c>
      <c r="C11" s="9">
        <f>IFERROR(INDEX(DATA_TECH!$B$4:$B$200,MATCH(LARGE(DATA_TECH!$C$4:$C$200,7),DATA_TECH!$C$4:$C$200,0)),"")</f>
        <v/>
      </c>
      <c r="D11" s="31">
        <f>LARGE(DATA_TECH!$C$4:$C$200,7)</f>
        <v/>
      </c>
      <c r="E11" s="71">
        <f>IFERROR(INDEX(DATA_TECH!$D$4:$D$200,MATCH(LARGE(DATA_TECH!$C$4:$C$200,7),DATA_TECH!$C$4:$C$200,0)),"")</f>
        <v/>
      </c>
      <c r="F11" s="71">
        <f>IFERROR(INDEX(DATA_TECH!$E$4:$E$200,MATCH(LARGE(DATA_TECH!$C$4:$C$200,7),DATA_TECH!$C$4:$C$200,0)),"")</f>
        <v/>
      </c>
      <c r="G11" s="73">
        <f>IFERROR(INDEX(DATA_TECH!$F$4:$F$200,MATCH(LARGE(DATA_TECH!$C$4:$C$200,7),DATA_TECH!$C$4:$C$200,0)),"")</f>
        <v/>
      </c>
      <c r="H11" s="73">
        <f>IFERROR(INDEX(DATA_TECH!$G$4:$G$200,MATCH(LARGE(DATA_TECH!$C$4:$C$200,7),DATA_TECH!$C$4:$C$200,0)),"")</f>
        <v/>
      </c>
      <c r="I11" s="73">
        <f>IFERROR(INDEX(DATA_TECH!$H$4:$H$200,MATCH(LARGE(DATA_TECH!$C$4:$C$200,7),DATA_TECH!$C$4:$C$200,0)),"")</f>
        <v/>
      </c>
    </row>
    <row r="12" ht="16.95" customHeight="1">
      <c r="A12" s="34" t="n">
        <v>8</v>
      </c>
      <c r="B12" s="35">
        <f>IFERROR(INDEX(DATA_TECH!$A$4:$A$200,MATCH(LARGE(DATA_TECH!$C$4:$C$200,8),DATA_TECH!$C$4:$C$200,0)),"")</f>
        <v/>
      </c>
      <c r="C12" s="13">
        <f>IFERROR(INDEX(DATA_TECH!$B$4:$B$200,MATCH(LARGE(DATA_TECH!$C$4:$C$200,8),DATA_TECH!$C$4:$C$200,0)),"")</f>
        <v/>
      </c>
      <c r="D12" s="36">
        <f>LARGE(DATA_TECH!$C$4:$C$200,8)</f>
        <v/>
      </c>
      <c r="E12" s="72">
        <f>IFERROR(INDEX(DATA_TECH!$D$4:$D$200,MATCH(LARGE(DATA_TECH!$C$4:$C$200,8),DATA_TECH!$C$4:$C$200,0)),"")</f>
        <v/>
      </c>
      <c r="F12" s="72">
        <f>IFERROR(INDEX(DATA_TECH!$E$4:$E$200,MATCH(LARGE(DATA_TECH!$C$4:$C$200,8),DATA_TECH!$C$4:$C$200,0)),"")</f>
        <v/>
      </c>
      <c r="G12" s="74">
        <f>IFERROR(INDEX(DATA_TECH!$F$4:$F$200,MATCH(LARGE(DATA_TECH!$C$4:$C$200,8),DATA_TECH!$C$4:$C$200,0)),"")</f>
        <v/>
      </c>
      <c r="H12" s="74">
        <f>IFERROR(INDEX(DATA_TECH!$G$4:$G$200,MATCH(LARGE(DATA_TECH!$C$4:$C$200,8),DATA_TECH!$C$4:$C$200,0)),"")</f>
        <v/>
      </c>
      <c r="I12" s="74">
        <f>IFERROR(INDEX(DATA_TECH!$H$4:$H$200,MATCH(LARGE(DATA_TECH!$C$4:$C$200,8),DATA_TECH!$C$4:$C$200,0)),"")</f>
        <v/>
      </c>
    </row>
    <row r="13" ht="16.95" customHeight="1">
      <c r="A13" s="29" t="n">
        <v>9</v>
      </c>
      <c r="B13" s="30">
        <f>IFERROR(INDEX(DATA_TECH!$A$4:$A$200,MATCH(LARGE(DATA_TECH!$C$4:$C$200,9),DATA_TECH!$C$4:$C$200,0)),"")</f>
        <v/>
      </c>
      <c r="C13" s="9">
        <f>IFERROR(INDEX(DATA_TECH!$B$4:$B$200,MATCH(LARGE(DATA_TECH!$C$4:$C$200,9),DATA_TECH!$C$4:$C$200,0)),"")</f>
        <v/>
      </c>
      <c r="D13" s="31">
        <f>LARGE(DATA_TECH!$C$4:$C$200,9)</f>
        <v/>
      </c>
      <c r="E13" s="71">
        <f>IFERROR(INDEX(DATA_TECH!$D$4:$D$200,MATCH(LARGE(DATA_TECH!$C$4:$C$200,9),DATA_TECH!$C$4:$C$200,0)),"")</f>
        <v/>
      </c>
      <c r="F13" s="71">
        <f>IFERROR(INDEX(DATA_TECH!$E$4:$E$200,MATCH(LARGE(DATA_TECH!$C$4:$C$200,9),DATA_TECH!$C$4:$C$200,0)),"")</f>
        <v/>
      </c>
      <c r="G13" s="73">
        <f>IFERROR(INDEX(DATA_TECH!$F$4:$F$200,MATCH(LARGE(DATA_TECH!$C$4:$C$200,9),DATA_TECH!$C$4:$C$200,0)),"")</f>
        <v/>
      </c>
      <c r="H13" s="73">
        <f>IFERROR(INDEX(DATA_TECH!$G$4:$G$200,MATCH(LARGE(DATA_TECH!$C$4:$C$200,9),DATA_TECH!$C$4:$C$200,0)),"")</f>
        <v/>
      </c>
      <c r="I13" s="73">
        <f>IFERROR(INDEX(DATA_TECH!$H$4:$H$200,MATCH(LARGE(DATA_TECH!$C$4:$C$200,9),DATA_TECH!$C$4:$C$200,0)),"")</f>
        <v/>
      </c>
    </row>
    <row r="14" ht="16.95" customHeight="1">
      <c r="A14" s="34" t="n">
        <v>10</v>
      </c>
      <c r="B14" s="35">
        <f>IFERROR(INDEX(DATA_TECH!$A$4:$A$200,MATCH(LARGE(DATA_TECH!$C$4:$C$200,10),DATA_TECH!$C$4:$C$200,0)),"")</f>
        <v/>
      </c>
      <c r="C14" s="13">
        <f>IFERROR(INDEX(DATA_TECH!$B$4:$B$200,MATCH(LARGE(DATA_TECH!$C$4:$C$200,10),DATA_TECH!$C$4:$C$200,0)),"")</f>
        <v/>
      </c>
      <c r="D14" s="36">
        <f>LARGE(DATA_TECH!$C$4:$C$200,10)</f>
        <v/>
      </c>
      <c r="E14" s="72">
        <f>IFERROR(INDEX(DATA_TECH!$D$4:$D$200,MATCH(LARGE(DATA_TECH!$C$4:$C$200,10),DATA_TECH!$C$4:$C$200,0)),"")</f>
        <v/>
      </c>
      <c r="F14" s="72">
        <f>IFERROR(INDEX(DATA_TECH!$E$4:$E$200,MATCH(LARGE(DATA_TECH!$C$4:$C$200,10),DATA_TECH!$C$4:$C$200,0)),"")</f>
        <v/>
      </c>
      <c r="G14" s="74">
        <f>IFERROR(INDEX(DATA_TECH!$F$4:$F$200,MATCH(LARGE(DATA_TECH!$C$4:$C$200,10),DATA_TECH!$C$4:$C$200,0)),"")</f>
        <v/>
      </c>
      <c r="H14" s="74">
        <f>IFERROR(INDEX(DATA_TECH!$G$4:$G$200,MATCH(LARGE(DATA_TECH!$C$4:$C$200,10),DATA_TECH!$C$4:$C$200,0)),"")</f>
        <v/>
      </c>
      <c r="I14" s="74">
        <f>IFERROR(INDEX(DATA_TECH!$H$4:$H$200,MATCH(LARGE(DATA_TECH!$C$4:$C$200,10),DATA_TECH!$C$4:$C$200,0)),"")</f>
        <v/>
      </c>
    </row>
    <row r="15" ht="16.95" customHeight="1">
      <c r="A15" s="29" t="n">
        <v>11</v>
      </c>
      <c r="B15" s="30">
        <f>IFERROR(INDEX(DATA_TECH!$A$4:$A$200,MATCH(LARGE(DATA_TECH!$C$4:$C$200,11),DATA_TECH!$C$4:$C$200,0)),"")</f>
        <v/>
      </c>
      <c r="C15" s="9">
        <f>IFERROR(INDEX(DATA_TECH!$B$4:$B$200,MATCH(LARGE(DATA_TECH!$C$4:$C$200,11),DATA_TECH!$C$4:$C$200,0)),"")</f>
        <v/>
      </c>
      <c r="D15" s="31">
        <f>LARGE(DATA_TECH!$C$4:$C$200,11)</f>
        <v/>
      </c>
      <c r="E15" s="71">
        <f>IFERROR(INDEX(DATA_TECH!$D$4:$D$200,MATCH(LARGE(DATA_TECH!$C$4:$C$200,11),DATA_TECH!$C$4:$C$200,0)),"")</f>
        <v/>
      </c>
      <c r="F15" s="71">
        <f>IFERROR(INDEX(DATA_TECH!$E$4:$E$200,MATCH(LARGE(DATA_TECH!$C$4:$C$200,11),DATA_TECH!$C$4:$C$200,0)),"")</f>
        <v/>
      </c>
      <c r="G15" s="73">
        <f>IFERROR(INDEX(DATA_TECH!$F$4:$F$200,MATCH(LARGE(DATA_TECH!$C$4:$C$200,11),DATA_TECH!$C$4:$C$200,0)),"")</f>
        <v/>
      </c>
      <c r="H15" s="73">
        <f>IFERROR(INDEX(DATA_TECH!$G$4:$G$200,MATCH(LARGE(DATA_TECH!$C$4:$C$200,11),DATA_TECH!$C$4:$C$200,0)),"")</f>
        <v/>
      </c>
      <c r="I15" s="73">
        <f>IFERROR(INDEX(DATA_TECH!$H$4:$H$200,MATCH(LARGE(DATA_TECH!$C$4:$C$200,11),DATA_TECH!$C$4:$C$200,0)),"")</f>
        <v/>
      </c>
    </row>
    <row r="16" ht="16.95" customHeight="1">
      <c r="A16" s="34" t="n">
        <v>12</v>
      </c>
      <c r="B16" s="35">
        <f>IFERROR(INDEX(DATA_TECH!$A$4:$A$200,MATCH(LARGE(DATA_TECH!$C$4:$C$200,12),DATA_TECH!$C$4:$C$200,0)),"")</f>
        <v/>
      </c>
      <c r="C16" s="13">
        <f>IFERROR(INDEX(DATA_TECH!$B$4:$B$200,MATCH(LARGE(DATA_TECH!$C$4:$C$200,12),DATA_TECH!$C$4:$C$200,0)),"")</f>
        <v/>
      </c>
      <c r="D16" s="36">
        <f>LARGE(DATA_TECH!$C$4:$C$200,12)</f>
        <v/>
      </c>
      <c r="E16" s="72">
        <f>IFERROR(INDEX(DATA_TECH!$D$4:$D$200,MATCH(LARGE(DATA_TECH!$C$4:$C$200,12),DATA_TECH!$C$4:$C$200,0)),"")</f>
        <v/>
      </c>
      <c r="F16" s="72">
        <f>IFERROR(INDEX(DATA_TECH!$E$4:$E$200,MATCH(LARGE(DATA_TECH!$C$4:$C$200,12),DATA_TECH!$C$4:$C$200,0)),"")</f>
        <v/>
      </c>
      <c r="G16" s="74">
        <f>IFERROR(INDEX(DATA_TECH!$F$4:$F$200,MATCH(LARGE(DATA_TECH!$C$4:$C$200,12),DATA_TECH!$C$4:$C$200,0)),"")</f>
        <v/>
      </c>
      <c r="H16" s="74">
        <f>IFERROR(INDEX(DATA_TECH!$G$4:$G$200,MATCH(LARGE(DATA_TECH!$C$4:$C$200,12),DATA_TECH!$C$4:$C$200,0)),"")</f>
        <v/>
      </c>
      <c r="I16" s="74">
        <f>IFERROR(INDEX(DATA_TECH!$H$4:$H$200,MATCH(LARGE(DATA_TECH!$C$4:$C$200,12),DATA_TECH!$C$4:$C$200,0)),"")</f>
        <v/>
      </c>
    </row>
    <row r="17" ht="16.95" customHeight="1">
      <c r="A17" s="29" t="n">
        <v>13</v>
      </c>
      <c r="B17" s="30">
        <f>IFERROR(INDEX(DATA_TECH!$A$4:$A$200,MATCH(LARGE(DATA_TECH!$C$4:$C$200,13),DATA_TECH!$C$4:$C$200,0)),"")</f>
        <v/>
      </c>
      <c r="C17" s="9">
        <f>IFERROR(INDEX(DATA_TECH!$B$4:$B$200,MATCH(LARGE(DATA_TECH!$C$4:$C$200,13),DATA_TECH!$C$4:$C$200,0)),"")</f>
        <v/>
      </c>
      <c r="D17" s="31">
        <f>LARGE(DATA_TECH!$C$4:$C$200,13)</f>
        <v/>
      </c>
      <c r="E17" s="71">
        <f>IFERROR(INDEX(DATA_TECH!$D$4:$D$200,MATCH(LARGE(DATA_TECH!$C$4:$C$200,13),DATA_TECH!$C$4:$C$200,0)),"")</f>
        <v/>
      </c>
      <c r="F17" s="71">
        <f>IFERROR(INDEX(DATA_TECH!$E$4:$E$200,MATCH(LARGE(DATA_TECH!$C$4:$C$200,13),DATA_TECH!$C$4:$C$200,0)),"")</f>
        <v/>
      </c>
      <c r="G17" s="73">
        <f>IFERROR(INDEX(DATA_TECH!$F$4:$F$200,MATCH(LARGE(DATA_TECH!$C$4:$C$200,13),DATA_TECH!$C$4:$C$200,0)),"")</f>
        <v/>
      </c>
      <c r="H17" s="73">
        <f>IFERROR(INDEX(DATA_TECH!$G$4:$G$200,MATCH(LARGE(DATA_TECH!$C$4:$C$200,13),DATA_TECH!$C$4:$C$200,0)),"")</f>
        <v/>
      </c>
      <c r="I17" s="73">
        <f>IFERROR(INDEX(DATA_TECH!$H$4:$H$200,MATCH(LARGE(DATA_TECH!$C$4:$C$200,13),DATA_TECH!$C$4:$C$200,0)),"")</f>
        <v/>
      </c>
    </row>
    <row r="18" ht="16.95" customHeight="1">
      <c r="A18" s="34" t="n">
        <v>14</v>
      </c>
      <c r="B18" s="35">
        <f>IFERROR(INDEX(DATA_TECH!$A$4:$A$200,MATCH(LARGE(DATA_TECH!$C$4:$C$200,14),DATA_TECH!$C$4:$C$200,0)),"")</f>
        <v/>
      </c>
      <c r="C18" s="13">
        <f>IFERROR(INDEX(DATA_TECH!$B$4:$B$200,MATCH(LARGE(DATA_TECH!$C$4:$C$200,14),DATA_TECH!$C$4:$C$200,0)),"")</f>
        <v/>
      </c>
      <c r="D18" s="36">
        <f>LARGE(DATA_TECH!$C$4:$C$200,14)</f>
        <v/>
      </c>
      <c r="E18" s="72">
        <f>IFERROR(INDEX(DATA_TECH!$D$4:$D$200,MATCH(LARGE(DATA_TECH!$C$4:$C$200,14),DATA_TECH!$C$4:$C$200,0)),"")</f>
        <v/>
      </c>
      <c r="F18" s="72">
        <f>IFERROR(INDEX(DATA_TECH!$E$4:$E$200,MATCH(LARGE(DATA_TECH!$C$4:$C$200,14),DATA_TECH!$C$4:$C$200,0)),"")</f>
        <v/>
      </c>
      <c r="G18" s="74">
        <f>IFERROR(INDEX(DATA_TECH!$F$4:$F$200,MATCH(LARGE(DATA_TECH!$C$4:$C$200,14),DATA_TECH!$C$4:$C$200,0)),"")</f>
        <v/>
      </c>
      <c r="H18" s="74">
        <f>IFERROR(INDEX(DATA_TECH!$G$4:$G$200,MATCH(LARGE(DATA_TECH!$C$4:$C$200,14),DATA_TECH!$C$4:$C$200,0)),"")</f>
        <v/>
      </c>
      <c r="I18" s="74">
        <f>IFERROR(INDEX(DATA_TECH!$H$4:$H$200,MATCH(LARGE(DATA_TECH!$C$4:$C$200,14),DATA_TECH!$C$4:$C$200,0)),"")</f>
        <v/>
      </c>
    </row>
    <row r="19" ht="16.95" customHeight="1">
      <c r="A19" s="29" t="n">
        <v>15</v>
      </c>
      <c r="B19" s="30">
        <f>IFERROR(INDEX(DATA_TECH!$A$4:$A$200,MATCH(LARGE(DATA_TECH!$C$4:$C$200,15),DATA_TECH!$C$4:$C$200,0)),"")</f>
        <v/>
      </c>
      <c r="C19" s="9">
        <f>IFERROR(INDEX(DATA_TECH!$B$4:$B$200,MATCH(LARGE(DATA_TECH!$C$4:$C$200,15),DATA_TECH!$C$4:$C$200,0)),"")</f>
        <v/>
      </c>
      <c r="D19" s="31">
        <f>LARGE(DATA_TECH!$C$4:$C$200,15)</f>
        <v/>
      </c>
      <c r="E19" s="71">
        <f>IFERROR(INDEX(DATA_TECH!$D$4:$D$200,MATCH(LARGE(DATA_TECH!$C$4:$C$200,15),DATA_TECH!$C$4:$C$200,0)),"")</f>
        <v/>
      </c>
      <c r="F19" s="71">
        <f>IFERROR(INDEX(DATA_TECH!$E$4:$E$200,MATCH(LARGE(DATA_TECH!$C$4:$C$200,15),DATA_TECH!$C$4:$C$200,0)),"")</f>
        <v/>
      </c>
      <c r="G19" s="73">
        <f>IFERROR(INDEX(DATA_TECH!$F$4:$F$200,MATCH(LARGE(DATA_TECH!$C$4:$C$200,15),DATA_TECH!$C$4:$C$200,0)),"")</f>
        <v/>
      </c>
      <c r="H19" s="73">
        <f>IFERROR(INDEX(DATA_TECH!$G$4:$G$200,MATCH(LARGE(DATA_TECH!$C$4:$C$200,15),DATA_TECH!$C$4:$C$200,0)),"")</f>
        <v/>
      </c>
      <c r="I19" s="73">
        <f>IFERROR(INDEX(DATA_TECH!$H$4:$H$200,MATCH(LARGE(DATA_TECH!$C$4:$C$200,15),DATA_TECH!$C$4:$C$200,0)),"")</f>
        <v/>
      </c>
    </row>
    <row r="20" ht="16.95" customHeight="1">
      <c r="A20" s="34" t="n">
        <v>16</v>
      </c>
      <c r="B20" s="35">
        <f>IFERROR(INDEX(DATA_TECH!$A$4:$A$200,MATCH(LARGE(DATA_TECH!$C$4:$C$200,16),DATA_TECH!$C$4:$C$200,0)),"")</f>
        <v/>
      </c>
      <c r="C20" s="13">
        <f>IFERROR(INDEX(DATA_TECH!$B$4:$B$200,MATCH(LARGE(DATA_TECH!$C$4:$C$200,16),DATA_TECH!$C$4:$C$200,0)),"")</f>
        <v/>
      </c>
      <c r="D20" s="36">
        <f>LARGE(DATA_TECH!$C$4:$C$200,16)</f>
        <v/>
      </c>
      <c r="E20" s="72">
        <f>IFERROR(INDEX(DATA_TECH!$D$4:$D$200,MATCH(LARGE(DATA_TECH!$C$4:$C$200,16),DATA_TECH!$C$4:$C$200,0)),"")</f>
        <v/>
      </c>
      <c r="F20" s="72">
        <f>IFERROR(INDEX(DATA_TECH!$E$4:$E$200,MATCH(LARGE(DATA_TECH!$C$4:$C$200,16),DATA_TECH!$C$4:$C$200,0)),"")</f>
        <v/>
      </c>
      <c r="G20" s="74">
        <f>IFERROR(INDEX(DATA_TECH!$F$4:$F$200,MATCH(LARGE(DATA_TECH!$C$4:$C$200,16),DATA_TECH!$C$4:$C$200,0)),"")</f>
        <v/>
      </c>
      <c r="H20" s="74">
        <f>IFERROR(INDEX(DATA_TECH!$G$4:$G$200,MATCH(LARGE(DATA_TECH!$C$4:$C$200,16),DATA_TECH!$C$4:$C$200,0)),"")</f>
        <v/>
      </c>
      <c r="I20" s="74">
        <f>IFERROR(INDEX(DATA_TECH!$H$4:$H$200,MATCH(LARGE(DATA_TECH!$C$4:$C$200,16),DATA_TECH!$C$4:$C$200,0)),"")</f>
        <v/>
      </c>
    </row>
    <row r="21" ht="16.95" customHeight="1">
      <c r="A21" s="29" t="n">
        <v>17</v>
      </c>
      <c r="B21" s="30">
        <f>IFERROR(INDEX(DATA_TECH!$A$4:$A$200,MATCH(LARGE(DATA_TECH!$C$4:$C$200,17),DATA_TECH!$C$4:$C$200,0)),"")</f>
        <v/>
      </c>
      <c r="C21" s="9">
        <f>IFERROR(INDEX(DATA_TECH!$B$4:$B$200,MATCH(LARGE(DATA_TECH!$C$4:$C$200,17),DATA_TECH!$C$4:$C$200,0)),"")</f>
        <v/>
      </c>
      <c r="D21" s="31">
        <f>LARGE(DATA_TECH!$C$4:$C$200,17)</f>
        <v/>
      </c>
      <c r="E21" s="71">
        <f>IFERROR(INDEX(DATA_TECH!$D$4:$D$200,MATCH(LARGE(DATA_TECH!$C$4:$C$200,17),DATA_TECH!$C$4:$C$200,0)),"")</f>
        <v/>
      </c>
      <c r="F21" s="71">
        <f>IFERROR(INDEX(DATA_TECH!$E$4:$E$200,MATCH(LARGE(DATA_TECH!$C$4:$C$200,17),DATA_TECH!$C$4:$C$200,0)),"")</f>
        <v/>
      </c>
      <c r="G21" s="73">
        <f>IFERROR(INDEX(DATA_TECH!$F$4:$F$200,MATCH(LARGE(DATA_TECH!$C$4:$C$200,17),DATA_TECH!$C$4:$C$200,0)),"")</f>
        <v/>
      </c>
      <c r="H21" s="73">
        <f>IFERROR(INDEX(DATA_TECH!$G$4:$G$200,MATCH(LARGE(DATA_TECH!$C$4:$C$200,17),DATA_TECH!$C$4:$C$200,0)),"")</f>
        <v/>
      </c>
      <c r="I21" s="73">
        <f>IFERROR(INDEX(DATA_TECH!$H$4:$H$200,MATCH(LARGE(DATA_TECH!$C$4:$C$200,17),DATA_TECH!$C$4:$C$200,0)),"")</f>
        <v/>
      </c>
    </row>
    <row r="22" ht="16.95" customHeight="1">
      <c r="A22" s="34" t="n">
        <v>18</v>
      </c>
      <c r="B22" s="35">
        <f>IFERROR(INDEX(DATA_TECH!$A$4:$A$200,MATCH(LARGE(DATA_TECH!$C$4:$C$200,18),DATA_TECH!$C$4:$C$200,0)),"")</f>
        <v/>
      </c>
      <c r="C22" s="13">
        <f>IFERROR(INDEX(DATA_TECH!$B$4:$B$200,MATCH(LARGE(DATA_TECH!$C$4:$C$200,18),DATA_TECH!$C$4:$C$200,0)),"")</f>
        <v/>
      </c>
      <c r="D22" s="36">
        <f>LARGE(DATA_TECH!$C$4:$C$200,18)</f>
        <v/>
      </c>
      <c r="E22" s="72">
        <f>IFERROR(INDEX(DATA_TECH!$D$4:$D$200,MATCH(LARGE(DATA_TECH!$C$4:$C$200,18),DATA_TECH!$C$4:$C$200,0)),"")</f>
        <v/>
      </c>
      <c r="F22" s="72">
        <f>IFERROR(INDEX(DATA_TECH!$E$4:$E$200,MATCH(LARGE(DATA_TECH!$C$4:$C$200,18),DATA_TECH!$C$4:$C$200,0)),"")</f>
        <v/>
      </c>
      <c r="G22" s="74">
        <f>IFERROR(INDEX(DATA_TECH!$F$4:$F$200,MATCH(LARGE(DATA_TECH!$C$4:$C$200,18),DATA_TECH!$C$4:$C$200,0)),"")</f>
        <v/>
      </c>
      <c r="H22" s="74">
        <f>IFERROR(INDEX(DATA_TECH!$G$4:$G$200,MATCH(LARGE(DATA_TECH!$C$4:$C$200,18),DATA_TECH!$C$4:$C$200,0)),"")</f>
        <v/>
      </c>
      <c r="I22" s="74">
        <f>IFERROR(INDEX(DATA_TECH!$H$4:$H$200,MATCH(LARGE(DATA_TECH!$C$4:$C$200,18),DATA_TECH!$C$4:$C$200,0)),"")</f>
        <v/>
      </c>
    </row>
    <row r="23" ht="16.95" customHeight="1">
      <c r="A23" s="29" t="n">
        <v>19</v>
      </c>
      <c r="B23" s="30">
        <f>IFERROR(INDEX(DATA_TECH!$A$4:$A$200,MATCH(LARGE(DATA_TECH!$C$4:$C$200,19),DATA_TECH!$C$4:$C$200,0)),"")</f>
        <v/>
      </c>
      <c r="C23" s="9">
        <f>IFERROR(INDEX(DATA_TECH!$B$4:$B$200,MATCH(LARGE(DATA_TECH!$C$4:$C$200,19),DATA_TECH!$C$4:$C$200,0)),"")</f>
        <v/>
      </c>
      <c r="D23" s="31">
        <f>LARGE(DATA_TECH!$C$4:$C$200,19)</f>
        <v/>
      </c>
      <c r="E23" s="71">
        <f>IFERROR(INDEX(DATA_TECH!$D$4:$D$200,MATCH(LARGE(DATA_TECH!$C$4:$C$200,19),DATA_TECH!$C$4:$C$200,0)),"")</f>
        <v/>
      </c>
      <c r="F23" s="71">
        <f>IFERROR(INDEX(DATA_TECH!$E$4:$E$200,MATCH(LARGE(DATA_TECH!$C$4:$C$200,19),DATA_TECH!$C$4:$C$200,0)),"")</f>
        <v/>
      </c>
      <c r="G23" s="73">
        <f>IFERROR(INDEX(DATA_TECH!$F$4:$F$200,MATCH(LARGE(DATA_TECH!$C$4:$C$200,19),DATA_TECH!$C$4:$C$200,0)),"")</f>
        <v/>
      </c>
      <c r="H23" s="73">
        <f>IFERROR(INDEX(DATA_TECH!$G$4:$G$200,MATCH(LARGE(DATA_TECH!$C$4:$C$200,19),DATA_TECH!$C$4:$C$200,0)),"")</f>
        <v/>
      </c>
      <c r="I23" s="73">
        <f>IFERROR(INDEX(DATA_TECH!$H$4:$H$200,MATCH(LARGE(DATA_TECH!$C$4:$C$200,19),DATA_TECH!$C$4:$C$200,0)),"")</f>
        <v/>
      </c>
    </row>
    <row r="24" ht="16.95" customHeight="1">
      <c r="A24" s="34" t="n">
        <v>20</v>
      </c>
      <c r="B24" s="35">
        <f>IFERROR(INDEX(DATA_TECH!$A$4:$A$200,MATCH(LARGE(DATA_TECH!$C$4:$C$200,20),DATA_TECH!$C$4:$C$200,0)),"")</f>
        <v/>
      </c>
      <c r="C24" s="13">
        <f>IFERROR(INDEX(DATA_TECH!$B$4:$B$200,MATCH(LARGE(DATA_TECH!$C$4:$C$200,20),DATA_TECH!$C$4:$C$200,0)),"")</f>
        <v/>
      </c>
      <c r="D24" s="36">
        <f>LARGE(DATA_TECH!$C$4:$C$200,20)</f>
        <v/>
      </c>
      <c r="E24" s="72">
        <f>IFERROR(INDEX(DATA_TECH!$D$4:$D$200,MATCH(LARGE(DATA_TECH!$C$4:$C$200,20),DATA_TECH!$C$4:$C$200,0)),"")</f>
        <v/>
      </c>
      <c r="F24" s="72">
        <f>IFERROR(INDEX(DATA_TECH!$E$4:$E$200,MATCH(LARGE(DATA_TECH!$C$4:$C$200,20),DATA_TECH!$C$4:$C$200,0)),"")</f>
        <v/>
      </c>
      <c r="G24" s="74">
        <f>IFERROR(INDEX(DATA_TECH!$F$4:$F$200,MATCH(LARGE(DATA_TECH!$C$4:$C$200,20),DATA_TECH!$C$4:$C$200,0)),"")</f>
        <v/>
      </c>
      <c r="H24" s="74">
        <f>IFERROR(INDEX(DATA_TECH!$G$4:$G$200,MATCH(LARGE(DATA_TECH!$C$4:$C$200,20),DATA_TECH!$C$4:$C$200,0)),"")</f>
        <v/>
      </c>
      <c r="I24" s="74">
        <f>IFERROR(INDEX(DATA_TECH!$H$4:$H$200,MATCH(LARGE(DATA_TECH!$C$4:$C$200,20),DATA_TECH!$C$4:$C$200,0)),"")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G13" sqref="G13"/>
    </sheetView>
  </sheetViews>
  <sheetFormatPr baseColWidth="10" defaultColWidth="8.88671875" defaultRowHeight="14.4"/>
  <cols>
    <col width="7.44140625" customWidth="1" min="1" max="1"/>
    <col width="13" customWidth="1" min="2" max="2"/>
    <col width="33.33203125" customWidth="1" min="3" max="3"/>
    <col width="11.109375" customWidth="1" min="4" max="4"/>
    <col width="13.88671875" customWidth="1" min="5" max="6"/>
    <col width="15.77734375" customWidth="1" min="7" max="9"/>
    <col width="16.6640625" customWidth="1" min="10" max="10"/>
  </cols>
  <sheetData>
    <row r="1" ht="25.95" customHeight="1">
      <c r="A1" s="2" t="inlineStr">
        <is>
          <t>FinSight</t>
        </is>
      </c>
      <c r="B1" s="1" t="n"/>
      <c r="C1" s="3" t="inlineStr">
        <is>
          <t>TOP HC — Classement dynamique Santé par Score FinSight</t>
        </is>
      </c>
      <c r="D1" s="1" t="n"/>
      <c r="E1" s="1" t="n"/>
      <c r="F1" s="1" t="n"/>
      <c r="G1" s="1" t="n"/>
      <c r="H1" s="1" t="n"/>
      <c r="I1" s="1" t="n"/>
    </row>
    <row r="2" ht="15" customHeight="1">
      <c r="A2" s="5" t="inlineStr">
        <is>
          <t>Classement calculé dynamiquement via LARGE / INDEX / MATCH depuis DATA_HC · 6 entités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9.95" customHeight="1">
      <c r="A3" s="7" t="inlineStr">
        <is>
          <t>TOUTES VALEURS — SANTÉ (classées par Score)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18" customHeight="1">
      <c r="A4" s="15" t="inlineStr">
        <is>
          <t>RANG</t>
        </is>
      </c>
      <c r="B4" s="16" t="inlineStr">
        <is>
          <t>TICKER</t>
        </is>
      </c>
      <c r="C4" s="16" t="inlineStr">
        <is>
          <t>SOCIÉTÉ</t>
        </is>
      </c>
      <c r="D4" s="16" t="inlineStr">
        <is>
          <t>SCORE</t>
        </is>
      </c>
      <c r="E4" s="16" t="inlineStr">
        <is>
          <t>P/E</t>
        </is>
      </c>
      <c r="F4" s="16" t="inlineStr">
        <is>
          <t>EV/EBITDA</t>
        </is>
      </c>
      <c r="G4" s="16" t="inlineStr">
        <is>
          <t>MG EBITDA</t>
        </is>
      </c>
      <c r="H4" s="16" t="inlineStr">
        <is>
          <t>ROE</t>
        </is>
      </c>
      <c r="I4" s="16" t="inlineStr">
        <is>
          <t>CROISS. REV.</t>
        </is>
      </c>
    </row>
    <row r="5" ht="16.95" customHeight="1">
      <c r="A5" s="29" t="n">
        <v>1</v>
      </c>
      <c r="B5" s="30">
        <f>IFERROR(INDEX(DATA_HC!$A$4:$A$200,MATCH(LARGE(DATA_HC!$C$4:$C$200,1),DATA_HC!$C$4:$C$200,0)),"")</f>
        <v/>
      </c>
      <c r="C5" s="9">
        <f>IFERROR(INDEX(DATA_HC!$B$4:$B$200,MATCH(LARGE(DATA_HC!$C$4:$C$200,1),DATA_HC!$C$4:$C$200,0)),"")</f>
        <v/>
      </c>
      <c r="D5" s="31">
        <f>LARGE(DATA_HC!$C$4:$C$200,1)</f>
        <v/>
      </c>
      <c r="E5" s="71">
        <f>IFERROR(INDEX(DATA_HC!$D$4:$D$200,MATCH(LARGE(DATA_HC!$C$4:$C$200,1),DATA_HC!$C$4:$C$200,0)),"")</f>
        <v/>
      </c>
      <c r="F5" s="71">
        <f>IFERROR(INDEX(DATA_HC!$E$4:$E$200,MATCH(LARGE(DATA_HC!$C$4:$C$200,1),DATA_HC!$C$4:$C$200,0)),"")</f>
        <v/>
      </c>
      <c r="G5" s="73">
        <f>IFERROR(INDEX(DATA_HC!$F$4:$F$200,MATCH(LARGE(DATA_HC!$C$4:$C$200,1),DATA_HC!$C$4:$C$200,0)),"")</f>
        <v/>
      </c>
      <c r="H5" s="73">
        <f>IFERROR(INDEX(DATA_HC!$G$4:$G$200,MATCH(LARGE(DATA_HC!$C$4:$C$200,1),DATA_HC!$C$4:$C$200,0)),"")</f>
        <v/>
      </c>
      <c r="I5" s="73">
        <f>IFERROR(INDEX(DATA_HC!$H$4:$H$200,MATCH(LARGE(DATA_HC!$C$4:$C$200,1),DATA_HC!$C$4:$C$200,0)),"")</f>
        <v/>
      </c>
    </row>
    <row r="6" ht="16.95" customHeight="1">
      <c r="A6" s="34" t="n">
        <v>2</v>
      </c>
      <c r="B6" s="35">
        <f>IFERROR(INDEX(DATA_HC!$A$4:$A$200,MATCH(LARGE(DATA_HC!$C$4:$C$200,2),DATA_HC!$C$4:$C$200,0)),"")</f>
        <v/>
      </c>
      <c r="C6" s="13">
        <f>IFERROR(INDEX(DATA_HC!$B$4:$B$200,MATCH(LARGE(DATA_HC!$C$4:$C$200,2),DATA_HC!$C$4:$C$200,0)),"")</f>
        <v/>
      </c>
      <c r="D6" s="36">
        <f>LARGE(DATA_HC!$C$4:$C$200,2)</f>
        <v/>
      </c>
      <c r="E6" s="72">
        <f>IFERROR(INDEX(DATA_HC!$D$4:$D$200,MATCH(LARGE(DATA_HC!$C$4:$C$200,2),DATA_HC!$C$4:$C$200,0)),"")</f>
        <v/>
      </c>
      <c r="F6" s="72">
        <f>IFERROR(INDEX(DATA_HC!$E$4:$E$200,MATCH(LARGE(DATA_HC!$C$4:$C$200,2),DATA_HC!$C$4:$C$200,0)),"")</f>
        <v/>
      </c>
      <c r="G6" s="74">
        <f>IFERROR(INDEX(DATA_HC!$F$4:$F$200,MATCH(LARGE(DATA_HC!$C$4:$C$200,2),DATA_HC!$C$4:$C$200,0)),"")</f>
        <v/>
      </c>
      <c r="H6" s="74">
        <f>IFERROR(INDEX(DATA_HC!$G$4:$G$200,MATCH(LARGE(DATA_HC!$C$4:$C$200,2),DATA_HC!$C$4:$C$200,0)),"")</f>
        <v/>
      </c>
      <c r="I6" s="74">
        <f>IFERROR(INDEX(DATA_HC!$H$4:$H$200,MATCH(LARGE(DATA_HC!$C$4:$C$200,2),DATA_HC!$C$4:$C$200,0)),"")</f>
        <v/>
      </c>
    </row>
    <row r="7" ht="16.95" customHeight="1">
      <c r="A7" s="29" t="n">
        <v>3</v>
      </c>
      <c r="B7" s="30">
        <f>IFERROR(INDEX(DATA_HC!$A$4:$A$200,MATCH(LARGE(DATA_HC!$C$4:$C$200,3),DATA_HC!$C$4:$C$200,0)),"")</f>
        <v/>
      </c>
      <c r="C7" s="9">
        <f>IFERROR(INDEX(DATA_HC!$B$4:$B$200,MATCH(LARGE(DATA_HC!$C$4:$C$200,3),DATA_HC!$C$4:$C$200,0)),"")</f>
        <v/>
      </c>
      <c r="D7" s="31">
        <f>LARGE(DATA_HC!$C$4:$C$200,3)</f>
        <v/>
      </c>
      <c r="E7" s="71">
        <f>IFERROR(INDEX(DATA_HC!$D$4:$D$200,MATCH(LARGE(DATA_HC!$C$4:$C$200,3),DATA_HC!$C$4:$C$200,0)),"")</f>
        <v/>
      </c>
      <c r="F7" s="71">
        <f>IFERROR(INDEX(DATA_HC!$E$4:$E$200,MATCH(LARGE(DATA_HC!$C$4:$C$200,3),DATA_HC!$C$4:$C$200,0)),"")</f>
        <v/>
      </c>
      <c r="G7" s="73">
        <f>IFERROR(INDEX(DATA_HC!$F$4:$F$200,MATCH(LARGE(DATA_HC!$C$4:$C$200,3),DATA_HC!$C$4:$C$200,0)),"")</f>
        <v/>
      </c>
      <c r="H7" s="73">
        <f>IFERROR(INDEX(DATA_HC!$G$4:$G$200,MATCH(LARGE(DATA_HC!$C$4:$C$200,3),DATA_HC!$C$4:$C$200,0)),"")</f>
        <v/>
      </c>
      <c r="I7" s="73">
        <f>IFERROR(INDEX(DATA_HC!$H$4:$H$200,MATCH(LARGE(DATA_HC!$C$4:$C$200,3),DATA_HC!$C$4:$C$200,0)),"")</f>
        <v/>
      </c>
    </row>
    <row r="8" ht="16.95" customHeight="1">
      <c r="A8" s="34" t="n">
        <v>4</v>
      </c>
      <c r="B8" s="35">
        <f>IFERROR(INDEX(DATA_HC!$A$4:$A$200,MATCH(LARGE(DATA_HC!$C$4:$C$200,4),DATA_HC!$C$4:$C$200,0)),"")</f>
        <v/>
      </c>
      <c r="C8" s="13">
        <f>IFERROR(INDEX(DATA_HC!$B$4:$B$200,MATCH(LARGE(DATA_HC!$C$4:$C$200,4),DATA_HC!$C$4:$C$200,0)),"")</f>
        <v/>
      </c>
      <c r="D8" s="36">
        <f>IFERROR(LARGE(DATA_HC!$C$4:$C$200,4),"—")</f>
        <v/>
      </c>
      <c r="E8" s="72">
        <f>IFERROR(INDEX(DATA_HC!$D$4:$D$200,MATCH(LARGE(DATA_HC!$C$4:$C$200,4),DATA_HC!$C$4:$C$200,0)),"")</f>
        <v/>
      </c>
      <c r="F8" s="72">
        <f>IFERROR(INDEX(DATA_HC!$E$4:$E$200,MATCH(LARGE(DATA_HC!$C$4:$C$200,4),DATA_HC!$C$4:$C$200,0)),"")</f>
        <v/>
      </c>
      <c r="G8" s="74">
        <f>IFERROR(INDEX(DATA_HC!$F$4:$F$200,MATCH(LARGE(DATA_HC!$C$4:$C$200,4),DATA_HC!$C$4:$C$200,0)),"")</f>
        <v/>
      </c>
      <c r="H8" s="74">
        <f>IFERROR(INDEX(DATA_HC!$G$4:$G$200,MATCH(LARGE(DATA_HC!$C$4:$C$200,4),DATA_HC!$C$4:$C$200,0)),"")</f>
        <v/>
      </c>
      <c r="I8" s="74">
        <f>IFERROR(INDEX(DATA_HC!$H$4:$H$200,MATCH(LARGE(DATA_HC!$C$4:$C$200,4),DATA_HC!$C$4:$C$200,0)),"")</f>
        <v/>
      </c>
    </row>
    <row r="9" ht="16.95" customHeight="1">
      <c r="A9" s="29" t="n">
        <v>5</v>
      </c>
      <c r="B9" s="30">
        <f>IFERROR(INDEX(DATA_HC!$A$4:$A$200,MATCH(LARGE(DATA_HC!$C$4:$C$200,5),DATA_HC!$C$4:$C$200,0)),"")</f>
        <v/>
      </c>
      <c r="C9" s="9">
        <f>IFERROR(INDEX(DATA_HC!$B$4:$B$200,MATCH(LARGE(DATA_HC!$C$4:$C$200,5),DATA_HC!$C$4:$C$200,0)),"")</f>
        <v/>
      </c>
      <c r="D9" s="31">
        <f>IFERROR(LARGE(DATA_HC!$C$4:$C$200,5),"—")</f>
        <v/>
      </c>
      <c r="E9" s="71">
        <f>IFERROR(INDEX(DATA_HC!$D$4:$D$200,MATCH(LARGE(DATA_HC!$C$4:$C$200,5),DATA_HC!$C$4:$C$200,0)),"")</f>
        <v/>
      </c>
      <c r="F9" s="71">
        <f>IFERROR(INDEX(DATA_HC!$E$4:$E$200,MATCH(LARGE(DATA_HC!$C$4:$C$200,5),DATA_HC!$C$4:$C$200,0)),"")</f>
        <v/>
      </c>
      <c r="G9" s="73">
        <f>IFERROR(INDEX(DATA_HC!$F$4:$F$200,MATCH(LARGE(DATA_HC!$C$4:$C$200,5),DATA_HC!$C$4:$C$200,0)),"")</f>
        <v/>
      </c>
      <c r="H9" s="73">
        <f>IFERROR(INDEX(DATA_HC!$G$4:$G$200,MATCH(LARGE(DATA_HC!$C$4:$C$200,5),DATA_HC!$C$4:$C$200,0)),"")</f>
        <v/>
      </c>
      <c r="I9" s="73">
        <f>IFERROR(INDEX(DATA_HC!$H$4:$H$200,MATCH(LARGE(DATA_HC!$C$4:$C$200,5),DATA_HC!$C$4:$C$200,0)),"")</f>
        <v/>
      </c>
    </row>
    <row r="10" ht="16.95" customHeight="1">
      <c r="A10" s="34" t="n">
        <v>6</v>
      </c>
      <c r="B10" s="35">
        <f>IFERROR(INDEX(DATA_HC!$A$4:$A$200,MATCH(LARGE(DATA_HC!$C$4:$C$200,6),DATA_HC!$C$4:$C$200,0)),"")</f>
        <v/>
      </c>
      <c r="C10" s="13">
        <f>IFERROR(INDEX(DATA_HC!$B$4:$B$200,MATCH(LARGE(DATA_HC!$C$4:$C$200,6),DATA_HC!$C$4:$C$200,0)),"")</f>
        <v/>
      </c>
      <c r="D10" s="36">
        <f>IFERROR(LARGE(DATA_HC!$C$4:$C$200,6),"—")</f>
        <v/>
      </c>
      <c r="E10" s="72">
        <f>IFERROR(INDEX(DATA_HC!$D$4:$D$200,MATCH(LARGE(DATA_HC!$C$4:$C$200,6),DATA_HC!$C$4:$C$200,0)),"")</f>
        <v/>
      </c>
      <c r="F10" s="72">
        <f>IFERROR(INDEX(DATA_HC!$E$4:$E$200,MATCH(LARGE(DATA_HC!$C$4:$C$200,6),DATA_HC!$C$4:$C$200,0)),"")</f>
        <v/>
      </c>
      <c r="G10" s="74">
        <f>IFERROR(INDEX(DATA_HC!$F$4:$F$200,MATCH(LARGE(DATA_HC!$C$4:$C$200,6),DATA_HC!$C$4:$C$200,0)),"")</f>
        <v/>
      </c>
      <c r="H10" s="74">
        <f>IFERROR(INDEX(DATA_HC!$G$4:$G$200,MATCH(LARGE(DATA_HC!$C$4:$C$200,6),DATA_HC!$C$4:$C$200,0)),"")</f>
        <v/>
      </c>
      <c r="I10" s="74">
        <f>IFERROR(INDEX(DATA_HC!$H$4:$H$200,MATCH(LARGE(DATA_HC!$C$4:$C$200,6),DATA_HC!$C$4:$C$200,0)),"")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selection activeCell="J1" sqref="I1:J1048576"/>
    </sheetView>
  </sheetViews>
  <sheetFormatPr baseColWidth="10" defaultColWidth="8.88671875" defaultRowHeight="14.4"/>
  <cols>
    <col width="13" customWidth="1" min="1" max="1"/>
    <col width="37" customWidth="1" min="2" max="2"/>
    <col width="16.6640625" customWidth="1" min="3" max="3"/>
    <col width="13.88671875" customWidth="1" min="4" max="5"/>
    <col width="15.77734375" customWidth="1" min="6" max="8"/>
    <col width="16.6640625" customWidth="1" style="76" min="9" max="9"/>
    <col width="8.88671875" customWidth="1" style="76" min="10" max="10"/>
  </cols>
  <sheetData>
    <row r="1" ht="25.95" customHeight="1">
      <c r="A1" s="2" t="inlineStr">
        <is>
          <t>FinSight</t>
        </is>
      </c>
      <c r="B1" s="1" t="n"/>
      <c r="C1" s="3" t="inlineStr">
        <is>
          <t>DATA TECH — Données brutes Technologie · 88 valeurs</t>
        </is>
      </c>
      <c r="D1" s="1" t="n"/>
      <c r="E1" s="1" t="n"/>
      <c r="F1" s="1" t="n"/>
      <c r="G1" s="1" t="n"/>
      <c r="H1" s="1" t="n"/>
      <c r="J1" s="76" t="inlineStr">
        <is>
          <t>Technologie</t>
        </is>
      </c>
    </row>
    <row r="2" ht="15" customHeight="1">
      <c r="A2" s="5" t="inlineStr">
        <is>
          <t>Source : FinSight IA · Univers Technologie S&amp;P500 / Nasdaq / Europe · Données au 12.04.2026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15" t="inlineStr">
        <is>
          <t>TICKER</t>
        </is>
      </c>
      <c r="B3" s="16" t="inlineStr">
        <is>
          <t>SOCIÉTÉ</t>
        </is>
      </c>
      <c r="C3" s="16" t="inlineStr">
        <is>
          <t>SCORE FINSIGHT</t>
        </is>
      </c>
      <c r="D3" s="16" t="inlineStr">
        <is>
          <t>P/E</t>
        </is>
      </c>
      <c r="E3" s="16" t="inlineStr">
        <is>
          <t>EV/EBITDA</t>
        </is>
      </c>
      <c r="F3" s="16" t="inlineStr">
        <is>
          <t>MARGE EBITDA</t>
        </is>
      </c>
      <c r="G3" s="16" t="inlineStr">
        <is>
          <t>ROE</t>
        </is>
      </c>
      <c r="H3" s="16" t="inlineStr">
        <is>
          <t>CROISS. REV.</t>
        </is>
      </c>
    </row>
    <row r="4" ht="16.95" customHeight="1">
      <c r="A4" s="39" t="inlineStr">
        <is>
          <t>GOOGL</t>
        </is>
      </c>
      <c r="B4" s="9" t="inlineStr">
        <is>
          <t>Alphabet Inc.</t>
        </is>
      </c>
      <c r="C4" s="31" t="n">
        <v>75</v>
      </c>
      <c r="D4" s="32" t="n">
        <v>14.7</v>
      </c>
      <c r="E4" s="32" t="n">
        <v>10.8</v>
      </c>
      <c r="F4" s="33" t="n">
        <v>44.9</v>
      </c>
      <c r="G4" s="33" t="n">
        <v>31.8</v>
      </c>
      <c r="H4" s="33" t="n">
        <v>15.1</v>
      </c>
      <c r="I4" s="77">
        <f>RANK.EQ(C4,$C$4:$C$9999,0)+COUNTIF($C$5:C4,C4)-1</f>
        <v/>
      </c>
    </row>
    <row r="5" ht="16.95" customHeight="1">
      <c r="A5" s="40" t="inlineStr">
        <is>
          <t>NVDA</t>
        </is>
      </c>
      <c r="B5" s="13" t="inlineStr">
        <is>
          <t>NVIDIA Corporation</t>
        </is>
      </c>
      <c r="C5" s="36" t="n">
        <v>67</v>
      </c>
      <c r="D5" s="37" t="n">
        <v>39.8</v>
      </c>
      <c r="E5" s="37" t="n">
        <v>33</v>
      </c>
      <c r="F5" s="38" t="n">
        <v>66.90000000000001</v>
      </c>
      <c r="G5" s="38" t="n">
        <v>76.3</v>
      </c>
      <c r="H5" s="38" t="n">
        <v>65.5</v>
      </c>
      <c r="I5" s="76">
        <f>RANK.EQ(C5,$C$4:$C$9999,0)+COUNTIF($C$5:C5,C5)-1</f>
        <v/>
      </c>
    </row>
    <row r="6" ht="16.95" customHeight="1">
      <c r="A6" s="39" t="inlineStr">
        <is>
          <t>META</t>
        </is>
      </c>
      <c r="B6" s="9" t="inlineStr">
        <is>
          <t>Meta Platforms, Inc.</t>
        </is>
      </c>
      <c r="C6" s="31" t="n">
        <v>64</v>
      </c>
      <c r="D6" s="32" t="n">
        <v>24</v>
      </c>
      <c r="E6" s="32" t="n">
        <v>13.9</v>
      </c>
      <c r="F6" s="33" t="n">
        <v>52.6</v>
      </c>
      <c r="G6" s="33" t="n">
        <v>27.8</v>
      </c>
      <c r="H6" s="33" t="n">
        <v>22.2</v>
      </c>
      <c r="I6" s="76">
        <f>RANK.EQ(C6,$C$4:$C$9999,0)+COUNTIF($C$5:C6,C6)-1</f>
        <v/>
      </c>
    </row>
    <row r="7" ht="16.95" customHeight="1">
      <c r="A7" s="40" t="inlineStr">
        <is>
          <t>INTC</t>
        </is>
      </c>
      <c r="B7" s="13" t="inlineStr">
        <is>
          <t>Intel Corporation</t>
        </is>
      </c>
      <c r="C7" s="36" t="n">
        <v>64</v>
      </c>
      <c r="D7" s="37" t="n"/>
      <c r="E7" s="37" t="n">
        <v>24.6</v>
      </c>
      <c r="F7" s="38" t="n">
        <v>27.2</v>
      </c>
      <c r="G7" s="38" t="n">
        <v>-20</v>
      </c>
      <c r="H7" s="38" t="n">
        <v>-50</v>
      </c>
      <c r="I7" s="76">
        <f>RANK.EQ(C7,$C$4:$C$9999,0)+COUNTIF($C$5:C7,C7)-1</f>
        <v/>
      </c>
    </row>
    <row r="8" ht="16.95" customHeight="1">
      <c r="A8" s="39" t="inlineStr">
        <is>
          <t>ADBE</t>
        </is>
      </c>
      <c r="B8" s="9" t="inlineStr">
        <is>
          <t>Adobe Inc.</t>
        </is>
      </c>
      <c r="C8" s="31" t="n">
        <v>58</v>
      </c>
      <c r="D8" s="32" t="n">
        <v>13.4</v>
      </c>
      <c r="E8" s="32" t="n">
        <v>9.800000000000001</v>
      </c>
      <c r="F8" s="33" t="n">
        <v>41.3</v>
      </c>
      <c r="G8" s="33" t="n">
        <v>61.3</v>
      </c>
      <c r="H8" s="33" t="n">
        <v>10.5</v>
      </c>
      <c r="I8" s="76">
        <f>RANK.EQ(C8,$C$4:$C$9999,0)+COUNTIF($C$5:C8,C8)-1</f>
        <v/>
      </c>
    </row>
    <row r="9" ht="16.95" customHeight="1">
      <c r="A9" s="40" t="inlineStr">
        <is>
          <t>MSFT</t>
        </is>
      </c>
      <c r="B9" s="13" t="inlineStr">
        <is>
          <t>Microsoft Corporation</t>
        </is>
      </c>
      <c r="C9" s="36" t="n">
        <v>47</v>
      </c>
      <c r="D9" s="37" t="n">
        <v>28.7</v>
      </c>
      <c r="E9" s="37" t="n">
        <v>18.3</v>
      </c>
      <c r="F9" s="38" t="n">
        <v>56.9</v>
      </c>
      <c r="G9" s="38" t="n">
        <v>29.6</v>
      </c>
      <c r="H9" s="38" t="n">
        <v>14.9</v>
      </c>
      <c r="I9" s="76">
        <f>RANK.EQ(C9,$C$4:$C$9999,0)+COUNTIF($C$5:C9,C9)-1</f>
        <v/>
      </c>
    </row>
    <row r="10" ht="16.95" customHeight="1">
      <c r="A10" s="39" t="inlineStr">
        <is>
          <t>CRM</t>
        </is>
      </c>
      <c r="B10" s="9" t="inlineStr">
        <is>
          <t>Salesforce, Inc.</t>
        </is>
      </c>
      <c r="C10" s="31" t="n">
        <v>44</v>
      </c>
      <c r="D10" s="32" t="n">
        <v>21.2</v>
      </c>
      <c r="E10" s="32" t="n">
        <v>13.2</v>
      </c>
      <c r="F10" s="33" t="n">
        <v>30.2</v>
      </c>
      <c r="G10" s="33" t="n">
        <v>12.6</v>
      </c>
      <c r="H10" s="33" t="n">
        <v>9.6</v>
      </c>
      <c r="I10" s="76">
        <f>RANK.EQ(C10,$C$4:$C$9999,0)+COUNTIF($C$5:C10,C10)-1</f>
        <v/>
      </c>
    </row>
    <row r="11" ht="16.95" customHeight="1">
      <c r="A11" s="40" t="inlineStr">
        <is>
          <t>CSCO</t>
        </is>
      </c>
      <c r="B11" s="13" t="inlineStr">
        <is>
          <t>Cisco Systems, Inc.</t>
        </is>
      </c>
      <c r="C11" s="36" t="n">
        <v>30</v>
      </c>
      <c r="D11" s="37" t="n">
        <v>32</v>
      </c>
      <c r="E11" s="37" t="n">
        <v>22.3</v>
      </c>
      <c r="F11" s="38" t="n">
        <v>27.4</v>
      </c>
      <c r="G11" s="38" t="n">
        <v>21.7</v>
      </c>
      <c r="H11" s="38" t="n">
        <v>5.3</v>
      </c>
      <c r="I11" s="76">
        <f>RANK.EQ(C11,$C$4:$C$9999,0)+COUNTIF($C$5:C11,C11)-1</f>
        <v/>
      </c>
    </row>
    <row r="12" ht="16.95" customHeight="1">
      <c r="A12" s="39" t="inlineStr">
        <is>
          <t>AAPL</t>
        </is>
      </c>
      <c r="B12" s="9" t="inlineStr">
        <is>
          <t>Apple Inc.</t>
        </is>
      </c>
      <c r="C12" s="31" t="n">
        <v>25</v>
      </c>
      <c r="D12" s="32" t="n">
        <v>33.9</v>
      </c>
      <c r="E12" s="32" t="n">
        <v>26.7</v>
      </c>
      <c r="F12" s="33" t="n">
        <v>34.8</v>
      </c>
      <c r="G12" s="33" t="n">
        <v>151.9</v>
      </c>
      <c r="H12" s="33" t="n">
        <v>6.4</v>
      </c>
      <c r="I12" s="76">
        <f>RANK.EQ(C12,$C$4:$C$9999,0)+COUNTIF($C$5:C12,C12)-1</f>
        <v/>
      </c>
    </row>
    <row r="13" ht="16.95" customHeight="1">
      <c r="A13" s="40" t="inlineStr">
        <is>
          <t>ORCL</t>
        </is>
      </c>
      <c r="B13" s="13" t="inlineStr">
        <is>
          <t>Oracle Corporation</t>
        </is>
      </c>
      <c r="C13" s="36" t="n">
        <v>25</v>
      </c>
      <c r="D13" s="37" t="n">
        <v>37.6</v>
      </c>
      <c r="E13" s="37" t="n">
        <v>23</v>
      </c>
      <c r="F13" s="38" t="n">
        <v>41.7</v>
      </c>
      <c r="G13" s="38" t="n">
        <v>60.8</v>
      </c>
      <c r="H13" s="38" t="n">
        <v>8.4</v>
      </c>
      <c r="I13" s="76">
        <f>RANK.EQ(C13,$C$4:$C$9999,0)+COUNTIF($C$5:C13,C13)-1</f>
        <v/>
      </c>
    </row>
    <row r="14" ht="16.95" customHeight="1">
      <c r="A14" s="39" t="n"/>
      <c r="B14" s="9" t="n"/>
      <c r="C14" s="31" t="n"/>
      <c r="D14" s="32" t="n"/>
      <c r="E14" s="32" t="n"/>
      <c r="F14" s="33" t="n"/>
      <c r="G14" s="33" t="n"/>
      <c r="H14" s="33" t="n"/>
      <c r="I14" s="76" t="n"/>
    </row>
    <row r="15" ht="16.95" customHeight="1">
      <c r="A15" s="40" t="n"/>
      <c r="B15" s="13" t="n"/>
      <c r="C15" s="36" t="n"/>
      <c r="D15" s="37" t="n"/>
      <c r="E15" s="37" t="n"/>
      <c r="F15" s="38" t="n"/>
      <c r="G15" s="38" t="n"/>
      <c r="H15" s="38" t="n"/>
      <c r="I15" s="76" t="n"/>
    </row>
    <row r="16" ht="16.95" customHeight="1">
      <c r="A16" s="39" t="n"/>
      <c r="B16" s="9" t="n"/>
      <c r="C16" s="31" t="n"/>
      <c r="D16" s="32" t="n"/>
      <c r="E16" s="32" t="n"/>
      <c r="F16" s="33" t="n"/>
      <c r="G16" s="33" t="n"/>
      <c r="H16" s="33" t="n"/>
      <c r="I16" s="76" t="n"/>
    </row>
    <row r="17" ht="16.95" customHeight="1">
      <c r="A17" s="40" t="n"/>
      <c r="B17" s="13" t="n"/>
      <c r="C17" s="36" t="n"/>
      <c r="D17" s="37" t="n"/>
      <c r="E17" s="37" t="n"/>
      <c r="F17" s="38" t="n"/>
      <c r="G17" s="38" t="n"/>
      <c r="H17" s="38" t="n"/>
      <c r="I17" s="76" t="n"/>
    </row>
    <row r="18" ht="16.95" customHeight="1">
      <c r="A18" s="39" t="n"/>
      <c r="B18" s="9" t="n"/>
      <c r="C18" s="31" t="n"/>
      <c r="D18" s="32" t="n"/>
      <c r="E18" s="32" t="n"/>
      <c r="F18" s="33" t="n"/>
      <c r="G18" s="33" t="n"/>
      <c r="H18" s="33" t="n"/>
      <c r="I18" s="76" t="n"/>
    </row>
    <row r="19" ht="16.95" customHeight="1">
      <c r="A19" s="40" t="n"/>
      <c r="B19" s="13" t="n"/>
      <c r="C19" s="36" t="n"/>
      <c r="D19" s="37" t="n"/>
      <c r="E19" s="37" t="n"/>
      <c r="F19" s="38" t="n"/>
      <c r="G19" s="38" t="n"/>
      <c r="H19" s="38" t="n"/>
      <c r="I19" s="76" t="n"/>
    </row>
    <row r="20" ht="16.95" customHeight="1">
      <c r="A20" s="39" t="n"/>
      <c r="B20" s="9" t="n"/>
      <c r="C20" s="31" t="n"/>
      <c r="D20" s="32" t="n"/>
      <c r="E20" s="32" t="n"/>
      <c r="F20" s="33" t="n"/>
      <c r="G20" s="33" t="n"/>
      <c r="H20" s="33" t="n"/>
      <c r="I20" s="76" t="n"/>
    </row>
    <row r="21" ht="16.95" customHeight="1">
      <c r="A21" s="40" t="n"/>
      <c r="B21" s="13" t="n"/>
      <c r="C21" s="36" t="n"/>
      <c r="D21" s="37" t="n"/>
      <c r="E21" s="37" t="n"/>
      <c r="F21" s="38" t="n"/>
      <c r="G21" s="38" t="n"/>
      <c r="H21" s="38" t="n"/>
      <c r="I21" s="76" t="n"/>
    </row>
    <row r="22" ht="16.95" customHeight="1">
      <c r="A22" s="39" t="n"/>
      <c r="B22" s="9" t="n"/>
      <c r="C22" s="31" t="n"/>
      <c r="D22" s="32" t="n"/>
      <c r="E22" s="32" t="n"/>
      <c r="F22" s="33" t="n"/>
      <c r="G22" s="33" t="n"/>
      <c r="H22" s="33" t="n"/>
      <c r="I22" s="76" t="n"/>
    </row>
    <row r="23" ht="16.95" customHeight="1">
      <c r="A23" s="40" t="n"/>
      <c r="B23" s="13" t="n"/>
      <c r="C23" s="36" t="n"/>
      <c r="D23" s="37" t="n"/>
      <c r="E23" s="37" t="n"/>
      <c r="F23" s="38" t="n"/>
      <c r="G23" s="38" t="n"/>
      <c r="H23" s="38" t="n"/>
      <c r="I23" s="76" t="n"/>
    </row>
    <row r="24" ht="16.95" customHeight="1">
      <c r="A24" s="39" t="n"/>
      <c r="B24" s="9" t="n"/>
      <c r="C24" s="31" t="n"/>
      <c r="D24" s="32" t="n"/>
      <c r="E24" s="32" t="n"/>
      <c r="F24" s="33" t="n"/>
      <c r="G24" s="33" t="n"/>
      <c r="H24" s="33" t="n"/>
      <c r="I24" s="76" t="n"/>
    </row>
    <row r="25" ht="16.95" customHeight="1">
      <c r="A25" s="40" t="n"/>
      <c r="B25" s="13" t="n"/>
      <c r="C25" s="36" t="n"/>
      <c r="D25" s="37" t="n"/>
      <c r="E25" s="37" t="n"/>
      <c r="F25" s="38" t="n"/>
      <c r="G25" s="38" t="n"/>
      <c r="H25" s="38" t="n"/>
      <c r="I25" s="76" t="n"/>
    </row>
    <row r="26" ht="16.95" customHeight="1">
      <c r="A26" s="39" t="n"/>
      <c r="B26" s="9" t="n"/>
      <c r="C26" s="31" t="n"/>
      <c r="D26" s="32" t="n"/>
      <c r="E26" s="32" t="n"/>
      <c r="F26" s="33" t="n"/>
      <c r="G26" s="33" t="n"/>
      <c r="H26" s="33" t="n"/>
      <c r="I26" s="76" t="n"/>
    </row>
    <row r="27" ht="16.95" customHeight="1">
      <c r="A27" s="40" t="n"/>
      <c r="B27" s="13" t="n"/>
      <c r="C27" s="36" t="n"/>
      <c r="D27" s="37" t="n"/>
      <c r="E27" s="37" t="n"/>
      <c r="F27" s="38" t="n"/>
      <c r="G27" s="38" t="n"/>
      <c r="H27" s="38" t="n"/>
      <c r="I27" s="76" t="n"/>
    </row>
    <row r="28" ht="16.95" customHeight="1">
      <c r="A28" s="39" t="n"/>
      <c r="B28" s="9" t="n"/>
      <c r="C28" s="31" t="n"/>
      <c r="D28" s="32" t="n"/>
      <c r="E28" s="32" t="n"/>
      <c r="F28" s="33" t="n"/>
      <c r="G28" s="33" t="n"/>
      <c r="H28" s="33" t="n"/>
      <c r="I28" s="76" t="n"/>
    </row>
    <row r="29" ht="16.95" customHeight="1">
      <c r="A29" s="40" t="n"/>
      <c r="B29" s="13" t="n"/>
      <c r="C29" s="36" t="n"/>
      <c r="D29" s="37" t="n"/>
      <c r="E29" s="37" t="n"/>
      <c r="F29" s="38" t="n"/>
      <c r="G29" s="38" t="n"/>
      <c r="H29" s="38" t="n"/>
      <c r="I29" s="76" t="n"/>
    </row>
    <row r="30" ht="16.95" customHeight="1">
      <c r="A30" s="39" t="n"/>
      <c r="B30" s="9" t="n"/>
      <c r="C30" s="31" t="n"/>
      <c r="D30" s="32" t="n"/>
      <c r="E30" s="32" t="n"/>
      <c r="F30" s="33" t="n"/>
      <c r="G30" s="33" t="n"/>
      <c r="H30" s="33" t="n"/>
      <c r="I30" s="76" t="n"/>
    </row>
    <row r="31" ht="16.95" customHeight="1">
      <c r="A31" s="40" t="n"/>
      <c r="B31" s="13" t="n"/>
      <c r="C31" s="36" t="n"/>
      <c r="D31" s="37" t="n"/>
      <c r="E31" s="37" t="n"/>
      <c r="F31" s="38" t="n"/>
      <c r="G31" s="38" t="n"/>
      <c r="H31" s="38" t="n"/>
      <c r="I31" s="76" t="n"/>
    </row>
    <row r="32" ht="16.95" customHeight="1">
      <c r="A32" s="39" t="n"/>
      <c r="B32" s="9" t="n"/>
      <c r="C32" s="31" t="n"/>
      <c r="D32" s="32" t="n"/>
      <c r="E32" s="32" t="n"/>
      <c r="F32" s="33" t="n"/>
      <c r="G32" s="33" t="n"/>
      <c r="H32" s="33" t="n"/>
      <c r="I32" s="76" t="n"/>
    </row>
    <row r="33" ht="16.95" customHeight="1">
      <c r="A33" s="40" t="n"/>
      <c r="B33" s="13" t="n"/>
      <c r="C33" s="36" t="n"/>
      <c r="D33" s="37" t="n"/>
      <c r="E33" s="37" t="n"/>
      <c r="F33" s="38" t="n"/>
      <c r="G33" s="38" t="n"/>
      <c r="H33" s="38" t="n"/>
      <c r="I33" s="76" t="n"/>
    </row>
    <row r="34" ht="16.95" customHeight="1">
      <c r="A34" s="39" t="n"/>
      <c r="B34" s="9" t="n"/>
      <c r="C34" s="31" t="n"/>
      <c r="D34" s="32" t="n"/>
      <c r="E34" s="32" t="n"/>
      <c r="F34" s="33" t="n"/>
      <c r="G34" s="33" t="n"/>
      <c r="H34" s="33" t="n"/>
      <c r="I34" s="76" t="n"/>
    </row>
    <row r="35" ht="16.95" customHeight="1">
      <c r="A35" s="40" t="n"/>
      <c r="B35" s="13" t="n"/>
      <c r="C35" s="36" t="n"/>
      <c r="D35" s="37" t="n"/>
      <c r="E35" s="37" t="n"/>
      <c r="F35" s="38" t="n"/>
      <c r="G35" s="38" t="n"/>
      <c r="H35" s="38" t="n"/>
      <c r="I35" s="76" t="n"/>
    </row>
    <row r="36" ht="16.95" customHeight="1">
      <c r="A36" s="39" t="n"/>
      <c r="B36" s="9" t="n"/>
      <c r="C36" s="31" t="n"/>
      <c r="D36" s="32" t="n"/>
      <c r="E36" s="32" t="n"/>
      <c r="F36" s="33" t="n"/>
      <c r="G36" s="33" t="n"/>
      <c r="H36" s="33" t="n"/>
      <c r="I36" s="76" t="n"/>
    </row>
    <row r="37" ht="16.95" customHeight="1">
      <c r="A37" s="40" t="n"/>
      <c r="B37" s="13" t="n"/>
      <c r="C37" s="36" t="n"/>
      <c r="D37" s="37" t="n"/>
      <c r="E37" s="37" t="n"/>
      <c r="F37" s="38" t="n"/>
      <c r="G37" s="38" t="n"/>
      <c r="H37" s="38" t="n"/>
      <c r="I37" s="76" t="n"/>
    </row>
    <row r="38" ht="16.95" customHeight="1">
      <c r="A38" s="39" t="n"/>
      <c r="B38" s="9" t="n"/>
      <c r="C38" s="31" t="n"/>
      <c r="D38" s="32" t="n"/>
      <c r="E38" s="32" t="n"/>
      <c r="F38" s="33" t="n"/>
      <c r="G38" s="33" t="n"/>
      <c r="H38" s="33" t="n"/>
      <c r="I38" s="76" t="n"/>
    </row>
    <row r="39" ht="16.95" customHeight="1">
      <c r="A39" s="40" t="n"/>
      <c r="B39" s="13" t="n"/>
      <c r="C39" s="36" t="n"/>
      <c r="D39" s="37" t="n"/>
      <c r="E39" s="37" t="n"/>
      <c r="F39" s="38" t="n"/>
      <c r="G39" s="38" t="n"/>
      <c r="H39" s="38" t="n"/>
      <c r="I39" s="76" t="n"/>
    </row>
    <row r="40" ht="16.95" customHeight="1">
      <c r="A40" s="39" t="n"/>
      <c r="B40" s="9" t="n"/>
      <c r="C40" s="31" t="n"/>
      <c r="D40" s="32" t="n"/>
      <c r="E40" s="32" t="n"/>
      <c r="F40" s="33" t="n"/>
      <c r="G40" s="33" t="n"/>
      <c r="H40" s="33" t="n"/>
      <c r="I40" s="76" t="n"/>
    </row>
    <row r="41" ht="16.95" customHeight="1">
      <c r="A41" s="40" t="n"/>
      <c r="B41" s="13" t="n"/>
      <c r="C41" s="36" t="n"/>
      <c r="D41" s="37" t="n"/>
      <c r="E41" s="37" t="n"/>
      <c r="F41" s="38" t="n"/>
      <c r="G41" s="38" t="n"/>
      <c r="H41" s="38" t="n"/>
      <c r="I41" s="76" t="n"/>
    </row>
    <row r="42" ht="16.95" customHeight="1">
      <c r="A42" s="39" t="n"/>
      <c r="B42" s="9" t="n"/>
      <c r="C42" s="31" t="n"/>
      <c r="D42" s="32" t="n"/>
      <c r="E42" s="32" t="n"/>
      <c r="F42" s="33" t="n"/>
      <c r="G42" s="33" t="n"/>
      <c r="H42" s="33" t="n"/>
      <c r="I42" s="76" t="n"/>
    </row>
    <row r="43" ht="16.95" customHeight="1">
      <c r="A43" s="40" t="n"/>
      <c r="B43" s="13" t="n"/>
      <c r="C43" s="36" t="n"/>
      <c r="D43" s="37" t="n"/>
      <c r="E43" s="37" t="n"/>
      <c r="F43" s="38" t="n"/>
      <c r="G43" s="38" t="n"/>
      <c r="H43" s="38" t="n"/>
      <c r="I43" s="76" t="n"/>
    </row>
    <row r="44" ht="16.95" customHeight="1">
      <c r="A44" s="39" t="n"/>
      <c r="B44" s="9" t="n"/>
      <c r="C44" s="31" t="n"/>
      <c r="D44" s="32" t="n"/>
      <c r="E44" s="32" t="n"/>
      <c r="F44" s="33" t="n"/>
      <c r="G44" s="33" t="n"/>
      <c r="H44" s="33" t="n"/>
      <c r="I44" s="76" t="n"/>
    </row>
    <row r="45" ht="16.95" customHeight="1">
      <c r="A45" s="40" t="n"/>
      <c r="B45" s="13" t="n"/>
      <c r="C45" s="36" t="n"/>
      <c r="D45" s="37" t="n"/>
      <c r="E45" s="37" t="n"/>
      <c r="F45" s="38" t="n"/>
      <c r="G45" s="38" t="n"/>
      <c r="H45" s="38" t="n"/>
      <c r="I45" s="76" t="n"/>
    </row>
    <row r="46" ht="16.95" customHeight="1">
      <c r="A46" s="39" t="n"/>
      <c r="B46" s="9" t="n"/>
      <c r="C46" s="31" t="n"/>
      <c r="D46" s="32" t="n"/>
      <c r="E46" s="32" t="n"/>
      <c r="F46" s="33" t="n"/>
      <c r="G46" s="33" t="n"/>
      <c r="H46" s="33" t="n"/>
      <c r="I46" s="76" t="n"/>
    </row>
    <row r="47" ht="16.95" customHeight="1">
      <c r="A47" s="40" t="n"/>
      <c r="B47" s="13" t="n"/>
      <c r="C47" s="36" t="n"/>
      <c r="D47" s="37" t="n"/>
      <c r="E47" s="37" t="n"/>
      <c r="F47" s="38" t="n"/>
      <c r="G47" s="38" t="n"/>
      <c r="H47" s="38" t="n"/>
      <c r="I47" s="76" t="n"/>
    </row>
    <row r="48" ht="16.95" customHeight="1">
      <c r="A48" s="39" t="n"/>
      <c r="B48" s="9" t="n"/>
      <c r="C48" s="31" t="n"/>
      <c r="D48" s="32" t="n"/>
      <c r="E48" s="32" t="n"/>
      <c r="F48" s="33" t="n"/>
      <c r="G48" s="33" t="n"/>
      <c r="H48" s="33" t="n"/>
      <c r="I48" s="76" t="n"/>
    </row>
    <row r="49" ht="16.95" customHeight="1">
      <c r="A49" s="40" t="n"/>
      <c r="B49" s="13" t="n"/>
      <c r="C49" s="36" t="n"/>
      <c r="D49" s="37" t="n"/>
      <c r="E49" s="37" t="n"/>
      <c r="F49" s="38" t="n"/>
      <c r="G49" s="38" t="n"/>
      <c r="H49" s="38" t="n"/>
      <c r="I49" s="76" t="n"/>
    </row>
    <row r="50" ht="16.95" customHeight="1">
      <c r="A50" s="39" t="n"/>
      <c r="B50" s="9" t="n"/>
      <c r="C50" s="31" t="n"/>
      <c r="D50" s="32" t="n"/>
      <c r="E50" s="32" t="n"/>
      <c r="F50" s="33" t="n"/>
      <c r="G50" s="33" t="n"/>
      <c r="H50" s="33" t="n"/>
      <c r="I50" s="76" t="n"/>
    </row>
    <row r="51" ht="16.95" customHeight="1">
      <c r="A51" s="40" t="n"/>
      <c r="B51" s="13" t="n"/>
      <c r="C51" s="36" t="n"/>
      <c r="D51" s="37" t="n"/>
      <c r="E51" s="37" t="n"/>
      <c r="F51" s="38" t="n"/>
      <c r="G51" s="38" t="n"/>
      <c r="H51" s="38" t="n"/>
      <c r="I51" s="76" t="n"/>
    </row>
    <row r="52" ht="16.95" customHeight="1">
      <c r="A52" s="39" t="n"/>
      <c r="B52" s="9" t="n"/>
      <c r="C52" s="31" t="n"/>
      <c r="D52" s="32" t="n"/>
      <c r="E52" s="32" t="n"/>
      <c r="F52" s="33" t="n"/>
      <c r="G52" s="33" t="n"/>
      <c r="H52" s="33" t="n"/>
      <c r="I52" s="76" t="n"/>
    </row>
    <row r="53" ht="16.95" customHeight="1">
      <c r="A53" s="40" t="n"/>
      <c r="B53" s="13" t="n"/>
      <c r="C53" s="36" t="n"/>
      <c r="D53" s="37" t="n"/>
      <c r="E53" s="37" t="n"/>
      <c r="F53" s="38" t="n"/>
      <c r="G53" s="38" t="n"/>
      <c r="H53" s="38" t="n"/>
      <c r="I53" s="76" t="n"/>
    </row>
    <row r="54" ht="16.95" customHeight="1">
      <c r="A54" s="39" t="n"/>
      <c r="B54" s="9" t="n"/>
      <c r="C54" s="31" t="n"/>
      <c r="D54" s="32" t="n"/>
      <c r="E54" s="32" t="n"/>
      <c r="F54" s="33" t="n"/>
      <c r="G54" s="33" t="n"/>
      <c r="H54" s="33" t="n"/>
      <c r="I54" s="76" t="n"/>
    </row>
    <row r="55" ht="16.95" customHeight="1">
      <c r="A55" s="40" t="n"/>
      <c r="B55" s="13" t="n"/>
      <c r="C55" s="36" t="n"/>
      <c r="D55" s="37" t="n"/>
      <c r="E55" s="37" t="n"/>
      <c r="F55" s="38" t="n"/>
      <c r="G55" s="38" t="n"/>
      <c r="H55" s="38" t="n"/>
      <c r="I55" s="76" t="n"/>
    </row>
    <row r="56" ht="16.95" customHeight="1">
      <c r="A56" s="39" t="n"/>
      <c r="B56" s="9" t="n"/>
      <c r="C56" s="31" t="n"/>
      <c r="D56" s="32" t="n"/>
      <c r="E56" s="32" t="n"/>
      <c r="F56" s="33" t="n"/>
      <c r="G56" s="33" t="n"/>
      <c r="H56" s="33" t="n"/>
      <c r="I56" s="76" t="n"/>
    </row>
    <row r="57" ht="16.95" customHeight="1">
      <c r="A57" s="40" t="n"/>
      <c r="B57" s="13" t="n"/>
      <c r="C57" s="36" t="n"/>
      <c r="D57" s="37" t="n"/>
      <c r="E57" s="37" t="n"/>
      <c r="F57" s="38" t="n"/>
      <c r="G57" s="38" t="n"/>
      <c r="H57" s="38" t="n"/>
      <c r="I57" s="76" t="n"/>
    </row>
    <row r="58" ht="16.95" customHeight="1">
      <c r="A58" s="39" t="n"/>
      <c r="B58" s="9" t="n"/>
      <c r="C58" s="31" t="n"/>
      <c r="D58" s="32" t="n"/>
      <c r="E58" s="32" t="n"/>
      <c r="F58" s="33" t="n"/>
      <c r="G58" s="33" t="n"/>
      <c r="H58" s="33" t="n"/>
      <c r="I58" s="76" t="n"/>
    </row>
    <row r="59" ht="16.95" customHeight="1">
      <c r="A59" s="40" t="n"/>
      <c r="B59" s="13" t="n"/>
      <c r="C59" s="36" t="n"/>
      <c r="D59" s="37" t="n"/>
      <c r="E59" s="37" t="n"/>
      <c r="F59" s="38" t="n"/>
      <c r="G59" s="38" t="n"/>
      <c r="H59" s="38" t="n"/>
      <c r="I59" s="76" t="n"/>
    </row>
    <row r="60" ht="16.95" customHeight="1">
      <c r="A60" s="39" t="n"/>
      <c r="B60" s="9" t="n"/>
      <c r="C60" s="31" t="n"/>
      <c r="D60" s="32" t="n"/>
      <c r="E60" s="32" t="n"/>
      <c r="F60" s="33" t="n"/>
      <c r="G60" s="33" t="n"/>
      <c r="H60" s="33" t="n"/>
      <c r="I60" s="76" t="n"/>
    </row>
    <row r="61" ht="16.95" customHeight="1">
      <c r="A61" s="40" t="n"/>
      <c r="B61" s="13" t="n"/>
      <c r="C61" s="36" t="n"/>
      <c r="D61" s="37" t="n"/>
      <c r="E61" s="37" t="n"/>
      <c r="F61" s="38" t="n"/>
      <c r="G61" s="38" t="n"/>
      <c r="H61" s="38" t="n"/>
      <c r="I61" s="76" t="n"/>
    </row>
    <row r="62" ht="16.95" customHeight="1">
      <c r="A62" s="39" t="n"/>
      <c r="B62" s="9" t="n"/>
      <c r="C62" s="31" t="n"/>
      <c r="D62" s="32" t="n"/>
      <c r="E62" s="32" t="n"/>
      <c r="F62" s="33" t="n"/>
      <c r="G62" s="33" t="n"/>
      <c r="H62" s="33" t="n"/>
      <c r="I62" s="76" t="n"/>
    </row>
    <row r="63" ht="16.95" customHeight="1">
      <c r="A63" s="40" t="n"/>
      <c r="B63" s="13" t="n"/>
      <c r="C63" s="36" t="n"/>
      <c r="D63" s="37" t="n"/>
      <c r="E63" s="37" t="n"/>
      <c r="F63" s="38" t="n"/>
      <c r="G63" s="38" t="n"/>
      <c r="H63" s="38" t="n"/>
      <c r="I63" s="76" t="n"/>
    </row>
    <row r="64" ht="16.95" customHeight="1">
      <c r="A64" s="39" t="n"/>
      <c r="B64" s="9" t="n"/>
      <c r="C64" s="31" t="n"/>
      <c r="D64" s="32" t="n"/>
      <c r="E64" s="32" t="n"/>
      <c r="F64" s="33" t="n"/>
      <c r="G64" s="33" t="n"/>
      <c r="H64" s="33" t="n"/>
      <c r="I64" s="76" t="n"/>
    </row>
    <row r="65" ht="16.95" customHeight="1">
      <c r="A65" s="40" t="n"/>
      <c r="B65" s="13" t="n"/>
      <c r="C65" s="36" t="n"/>
      <c r="D65" s="37" t="n"/>
      <c r="E65" s="37" t="n"/>
      <c r="F65" s="38" t="n"/>
      <c r="G65" s="38" t="n"/>
      <c r="H65" s="38" t="n"/>
      <c r="I65" s="76" t="n"/>
    </row>
    <row r="66" ht="16.95" customHeight="1">
      <c r="A66" s="39" t="n"/>
      <c r="B66" s="9" t="n"/>
      <c r="C66" s="31" t="n"/>
      <c r="D66" s="32" t="n"/>
      <c r="E66" s="32" t="n"/>
      <c r="F66" s="33" t="n"/>
      <c r="G66" s="33" t="n"/>
      <c r="H66" s="33" t="n"/>
      <c r="I66" s="76" t="n"/>
    </row>
    <row r="67" ht="16.95" customHeight="1">
      <c r="A67" s="40" t="n"/>
      <c r="B67" s="13" t="n"/>
      <c r="C67" s="36" t="n"/>
      <c r="D67" s="37" t="n"/>
      <c r="E67" s="37" t="n"/>
      <c r="F67" s="38" t="n"/>
      <c r="G67" s="38" t="n"/>
      <c r="H67" s="38" t="n"/>
      <c r="I67" s="76" t="n"/>
    </row>
    <row r="68" ht="16.95" customHeight="1">
      <c r="A68" s="39" t="n"/>
      <c r="B68" s="9" t="n"/>
      <c r="C68" s="31" t="n"/>
      <c r="D68" s="32" t="n"/>
      <c r="E68" s="32" t="n"/>
      <c r="F68" s="33" t="n"/>
      <c r="G68" s="33" t="n"/>
      <c r="H68" s="33" t="n"/>
      <c r="I68" s="76" t="n"/>
    </row>
    <row r="69" ht="16.95" customHeight="1">
      <c r="A69" s="40" t="n"/>
      <c r="B69" s="13" t="n"/>
      <c r="C69" s="36" t="n"/>
      <c r="D69" s="37" t="n"/>
      <c r="E69" s="37" t="n"/>
      <c r="F69" s="38" t="n"/>
      <c r="G69" s="38" t="n"/>
      <c r="H69" s="38" t="n"/>
      <c r="I69" s="76" t="n"/>
    </row>
    <row r="70" ht="16.95" customHeight="1">
      <c r="A70" s="39" t="n"/>
      <c r="B70" s="9" t="n"/>
      <c r="C70" s="31" t="n"/>
      <c r="D70" s="32" t="n"/>
      <c r="E70" s="32" t="n"/>
      <c r="F70" s="33" t="n"/>
      <c r="G70" s="33" t="n"/>
      <c r="H70" s="33" t="n"/>
      <c r="I70" s="76" t="n"/>
    </row>
    <row r="71" ht="16.95" customHeight="1">
      <c r="A71" s="40" t="n"/>
      <c r="B71" s="13" t="n"/>
      <c r="C71" s="36" t="n"/>
      <c r="D71" s="37" t="n"/>
      <c r="E71" s="37" t="n"/>
      <c r="F71" s="38" t="n"/>
      <c r="G71" s="38" t="n"/>
      <c r="H71" s="38" t="n"/>
      <c r="I71" s="76" t="n"/>
    </row>
    <row r="72" ht="16.95" customHeight="1">
      <c r="A72" s="39" t="n"/>
      <c r="B72" s="9" t="n"/>
      <c r="C72" s="31" t="n"/>
      <c r="D72" s="32" t="n"/>
      <c r="E72" s="32" t="n"/>
      <c r="F72" s="33" t="n"/>
      <c r="G72" s="33" t="n"/>
      <c r="H72" s="33" t="n"/>
      <c r="I72" s="76" t="n"/>
    </row>
    <row r="73" ht="16.95" customHeight="1">
      <c r="A73" s="40" t="n"/>
      <c r="B73" s="13" t="n"/>
      <c r="C73" s="36" t="n"/>
      <c r="D73" s="37" t="n"/>
      <c r="E73" s="37" t="n"/>
      <c r="F73" s="38" t="n"/>
      <c r="G73" s="38" t="n"/>
      <c r="H73" s="38" t="n"/>
      <c r="I73" s="76" t="n"/>
    </row>
    <row r="74" ht="16.95" customHeight="1">
      <c r="A74" s="39" t="n"/>
      <c r="B74" s="9" t="n"/>
      <c r="C74" s="31" t="n"/>
      <c r="D74" s="32" t="n"/>
      <c r="E74" s="32" t="n"/>
      <c r="F74" s="33" t="n"/>
      <c r="G74" s="33" t="n"/>
      <c r="H74" s="33" t="n"/>
      <c r="I74" s="76" t="n"/>
    </row>
    <row r="75" ht="16.95" customHeight="1">
      <c r="A75" s="40" t="n"/>
      <c r="B75" s="13" t="n"/>
      <c r="C75" s="36" t="n"/>
      <c r="D75" s="37" t="n"/>
      <c r="E75" s="37" t="n"/>
      <c r="F75" s="38" t="n"/>
      <c r="G75" s="38" t="n"/>
      <c r="H75" s="38" t="n"/>
      <c r="I75" s="76" t="n"/>
    </row>
    <row r="76" ht="16.95" customHeight="1">
      <c r="A76" s="39" t="n"/>
      <c r="B76" s="9" t="n"/>
      <c r="C76" s="31" t="n"/>
      <c r="D76" s="32" t="n"/>
      <c r="E76" s="32" t="n"/>
      <c r="F76" s="33" t="n"/>
      <c r="G76" s="33" t="n"/>
      <c r="H76" s="33" t="n"/>
      <c r="I76" s="76" t="n"/>
    </row>
    <row r="77" ht="16.95" customHeight="1">
      <c r="A77" s="40" t="n"/>
      <c r="B77" s="13" t="n"/>
      <c r="C77" s="36" t="n"/>
      <c r="D77" s="37" t="n"/>
      <c r="E77" s="37" t="n"/>
      <c r="F77" s="38" t="n"/>
      <c r="G77" s="38" t="n"/>
      <c r="H77" s="38" t="n"/>
      <c r="I77" s="76" t="n"/>
    </row>
    <row r="78" ht="16.95" customHeight="1">
      <c r="A78" s="39" t="n"/>
      <c r="B78" s="9" t="n"/>
      <c r="C78" s="31" t="n"/>
      <c r="D78" s="32" t="n"/>
      <c r="E78" s="32" t="n"/>
      <c r="F78" s="33" t="n"/>
      <c r="G78" s="33" t="n"/>
      <c r="H78" s="33" t="n"/>
      <c r="I78" s="76" t="n"/>
    </row>
    <row r="79" ht="16.95" customHeight="1">
      <c r="A79" s="40" t="n"/>
      <c r="B79" s="13" t="n"/>
      <c r="C79" s="36" t="n"/>
      <c r="D79" s="37" t="n"/>
      <c r="E79" s="37" t="n"/>
      <c r="F79" s="38" t="n"/>
      <c r="G79" s="38" t="n"/>
      <c r="H79" s="38" t="n"/>
    </row>
    <row r="80" ht="16.95" customHeight="1">
      <c r="A80" s="39" t="n"/>
      <c r="B80" s="9" t="n"/>
      <c r="C80" s="31" t="n"/>
      <c r="D80" s="32" t="n"/>
      <c r="E80" s="32" t="n"/>
      <c r="F80" s="33" t="n"/>
      <c r="G80" s="33" t="n"/>
      <c r="H80" s="33" t="n"/>
    </row>
    <row r="81" ht="16.95" customHeight="1">
      <c r="A81" s="40" t="n"/>
      <c r="B81" s="13" t="n"/>
      <c r="C81" s="36" t="n"/>
      <c r="D81" s="37" t="n"/>
      <c r="E81" s="37" t="n"/>
      <c r="F81" s="38" t="n"/>
      <c r="G81" s="38" t="n"/>
      <c r="H81" s="38" t="n"/>
    </row>
    <row r="82" ht="16.95" customHeight="1">
      <c r="A82" s="39" t="n"/>
      <c r="B82" s="9" t="n"/>
      <c r="C82" s="31" t="n"/>
      <c r="D82" s="32" t="n"/>
      <c r="E82" s="32" t="n"/>
      <c r="F82" s="33" t="n"/>
      <c r="G82" s="33" t="n"/>
      <c r="H82" s="33" t="n"/>
    </row>
    <row r="83" ht="16.95" customHeight="1">
      <c r="A83" s="40" t="n"/>
      <c r="B83" s="13" t="n"/>
      <c r="C83" s="36" t="n"/>
      <c r="D83" s="37" t="n"/>
      <c r="E83" s="37" t="n"/>
      <c r="F83" s="38" t="n"/>
      <c r="G83" s="38" t="n"/>
      <c r="H83" s="38" t="n"/>
    </row>
    <row r="84" ht="16.95" customHeight="1">
      <c r="A84" s="39" t="n"/>
      <c r="B84" s="9" t="n"/>
      <c r="C84" s="31" t="n"/>
      <c r="D84" s="32" t="n"/>
      <c r="E84" s="32" t="n"/>
      <c r="F84" s="33" t="n"/>
      <c r="G84" s="33" t="n"/>
      <c r="H84" s="33" t="n"/>
    </row>
    <row r="85" ht="16.95" customHeight="1">
      <c r="A85" s="40" t="n"/>
      <c r="B85" s="13" t="n"/>
      <c r="C85" s="36" t="n"/>
      <c r="D85" s="37" t="n"/>
      <c r="E85" s="37" t="n"/>
      <c r="F85" s="38" t="n"/>
      <c r="G85" s="38" t="n"/>
      <c r="H85" s="38" t="n"/>
    </row>
    <row r="86" ht="16.95" customHeight="1">
      <c r="A86" s="39" t="n"/>
      <c r="B86" s="9" t="n"/>
      <c r="C86" s="31" t="n"/>
      <c r="D86" s="32" t="n"/>
      <c r="E86" s="32" t="n"/>
      <c r="F86" s="33" t="n"/>
      <c r="G86" s="33" t="n"/>
      <c r="H86" s="33" t="n"/>
    </row>
    <row r="87" ht="16.95" customHeight="1">
      <c r="A87" s="40" t="n"/>
      <c r="B87" s="13" t="n"/>
      <c r="C87" s="36" t="n"/>
      <c r="D87" s="37" t="n"/>
      <c r="E87" s="37" t="n"/>
      <c r="F87" s="38" t="n"/>
      <c r="G87" s="38" t="n"/>
      <c r="H87" s="38" t="n"/>
    </row>
    <row r="88" ht="16.95" customHeight="1">
      <c r="A88" s="39" t="n"/>
      <c r="B88" s="9" t="n"/>
      <c r="C88" s="31" t="n"/>
      <c r="D88" s="32" t="n"/>
      <c r="E88" s="32" t="n"/>
      <c r="F88" s="33" t="n"/>
      <c r="G88" s="33" t="n"/>
      <c r="H88" s="33" t="n"/>
    </row>
    <row r="89" ht="16.95" customHeight="1">
      <c r="A89" s="40" t="n"/>
      <c r="B89" s="13" t="n"/>
      <c r="C89" s="36" t="n"/>
      <c r="D89" s="37" t="n"/>
      <c r="E89" s="37" t="n"/>
      <c r="F89" s="38" t="n"/>
      <c r="G89" s="38" t="n"/>
      <c r="H89" s="38" t="n"/>
    </row>
    <row r="90" ht="16.95" customHeight="1">
      <c r="A90" s="39" t="n"/>
      <c r="B90" s="9" t="n"/>
      <c r="C90" s="31" t="n"/>
      <c r="D90" s="32" t="n"/>
      <c r="E90" s="32" t="n"/>
      <c r="F90" s="33" t="n"/>
      <c r="G90" s="33" t="n"/>
      <c r="H90" s="33" t="n"/>
    </row>
    <row r="91" ht="16.95" customHeight="1">
      <c r="A91" s="40" t="n"/>
      <c r="B91" s="13" t="n"/>
      <c r="C91" s="36" t="n"/>
      <c r="D91" s="37" t="n"/>
      <c r="E91" s="37" t="n"/>
      <c r="F91" s="38" t="n"/>
      <c r="G91" s="38" t="n"/>
      <c r="H91" s="38" t="n"/>
    </row>
  </sheetData>
  <conditionalFormatting sqref="C4:C91">
    <cfRule type="colorScale" priority="1">
      <colorScale>
        <cfvo type="min"/>
        <cfvo type="num" val="50"/>
        <cfvo type="max"/>
        <color rgb="FFFF6347"/>
        <color rgb="FFFFFF00"/>
        <color rgb="FF00B050"/>
      </colorScale>
    </cfRule>
    <cfRule type="colorScale" priority="2">
      <colorScale>
        <cfvo type="min"/>
        <cfvo type="num" val="50"/>
        <cfvo type="max"/>
        <color rgb="FFFF6347"/>
        <color rgb="FFFFD700"/>
        <color rgb="FF00B0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selection activeCell="I1" sqref="I1:L2"/>
    </sheetView>
  </sheetViews>
  <sheetFormatPr baseColWidth="10" defaultColWidth="8.88671875" defaultRowHeight="14.4"/>
  <cols>
    <col width="13" customWidth="1" min="1" max="1"/>
    <col width="29.6640625" customWidth="1" min="2" max="2"/>
    <col width="16.6640625" customWidth="1" min="3" max="3"/>
    <col width="13.88671875" customWidth="1" min="4" max="5"/>
    <col width="15.77734375" customWidth="1" min="6" max="8"/>
    <col width="16.6640625" customWidth="1" min="9" max="9"/>
  </cols>
  <sheetData>
    <row r="1" ht="25.95" customHeight="1">
      <c r="A1" s="2" t="inlineStr">
        <is>
          <t>FinSight</t>
        </is>
      </c>
      <c r="B1" s="1" t="n"/>
      <c r="C1" s="3" t="inlineStr">
        <is>
          <t>DATA HC — Données brutes Santé · 6 valeurs</t>
        </is>
      </c>
      <c r="D1" s="1" t="n"/>
      <c r="E1" s="1" t="n"/>
      <c r="F1" s="1" t="n"/>
      <c r="G1" s="1" t="n"/>
      <c r="H1" s="1" t="n"/>
      <c r="I1" t="inlineStr">
        <is>
          <t>Santé</t>
        </is>
      </c>
    </row>
    <row r="2" ht="15" customHeight="1">
      <c r="A2" s="5" t="inlineStr">
        <is>
          <t>Source : FinSight IA · Univers Santé · Benchmark sectoriel · Données au 12.04.2026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15" t="inlineStr">
        <is>
          <t>TICKER</t>
        </is>
      </c>
      <c r="B3" s="16" t="inlineStr">
        <is>
          <t>SOCIÉTÉ</t>
        </is>
      </c>
      <c r="C3" s="16" t="inlineStr">
        <is>
          <t>SCORE FINSIGHT</t>
        </is>
      </c>
      <c r="D3" s="16" t="inlineStr">
        <is>
          <t>P/E</t>
        </is>
      </c>
      <c r="E3" s="16" t="inlineStr">
        <is>
          <t>EV/EBITDA</t>
        </is>
      </c>
      <c r="F3" s="16" t="inlineStr">
        <is>
          <t>MARGE EBITDA</t>
        </is>
      </c>
      <c r="G3" s="16" t="inlineStr">
        <is>
          <t>ROE</t>
        </is>
      </c>
      <c r="H3" s="16" t="inlineStr">
        <is>
          <t>CROISS. REV.</t>
        </is>
      </c>
    </row>
    <row r="4" ht="16.95" customHeight="1">
      <c r="A4" s="39" t="inlineStr">
        <is>
          <t>JNJ</t>
        </is>
      </c>
      <c r="B4" s="9" t="inlineStr">
        <is>
          <t>Johnson &amp; Johnson</t>
        </is>
      </c>
      <c r="C4" s="31" t="n">
        <v>75</v>
      </c>
      <c r="D4" s="32" t="n">
        <v>21.6</v>
      </c>
      <c r="E4" s="32" t="n">
        <v>14.8</v>
      </c>
      <c r="F4" s="73" t="n">
        <v>43.6</v>
      </c>
      <c r="G4" s="73" t="n">
        <v>32.9</v>
      </c>
      <c r="H4" s="73" t="n">
        <v>6</v>
      </c>
    </row>
    <row r="5" ht="16.95" customHeight="1">
      <c r="A5" s="40" t="inlineStr">
        <is>
          <t>MRK</t>
        </is>
      </c>
      <c r="B5" s="13" t="inlineStr">
        <is>
          <t>Merck &amp; Co., Inc.</t>
        </is>
      </c>
      <c r="C5" s="36" t="n">
        <v>75</v>
      </c>
      <c r="D5" s="37" t="n">
        <v>16.2</v>
      </c>
      <c r="E5" s="37" t="n">
        <v>11.7</v>
      </c>
      <c r="F5" s="74" t="n">
        <v>43.5</v>
      </c>
      <c r="G5" s="74" t="n">
        <v>34.7</v>
      </c>
      <c r="H5" s="74" t="n">
        <v>130</v>
      </c>
    </row>
    <row r="6" ht="16.95" customHeight="1">
      <c r="A6" s="39" t="inlineStr">
        <is>
          <t>LLY</t>
        </is>
      </c>
      <c r="B6" s="9" t="inlineStr">
        <is>
          <t>Eli Lilly and Company</t>
        </is>
      </c>
      <c r="C6" s="31" t="n">
        <v>65</v>
      </c>
      <c r="D6" s="32" t="n">
        <v>39.9</v>
      </c>
      <c r="E6" s="32" t="n">
        <v>27.1</v>
      </c>
      <c r="F6" s="73" t="n">
        <v>48.6</v>
      </c>
      <c r="G6" s="73" t="n">
        <v>77.8</v>
      </c>
      <c r="H6" s="73" t="n">
        <v>44.7</v>
      </c>
    </row>
    <row r="7" ht="16.95" customHeight="1">
      <c r="A7" s="40" t="inlineStr">
        <is>
          <t>PFE</t>
        </is>
      </c>
      <c r="B7" s="13" t="inlineStr">
        <is>
          <t>Pfizer Inc.</t>
        </is>
      </c>
      <c r="C7" s="36" t="n">
        <v>40</v>
      </c>
      <c r="D7" s="37" t="n">
        <v>19.8</v>
      </c>
      <c r="E7" s="37" t="n">
        <v>12.9</v>
      </c>
      <c r="F7" s="74" t="n">
        <v>26.8</v>
      </c>
      <c r="G7" s="74" t="n">
        <v>9</v>
      </c>
      <c r="H7" s="74" t="n">
        <v>-160</v>
      </c>
    </row>
    <row r="8" ht="16.95" customHeight="1">
      <c r="A8" s="39" t="inlineStr">
        <is>
          <t>ABBV</t>
        </is>
      </c>
      <c r="B8" s="9" t="inlineStr">
        <is>
          <t>AbbVie Inc.</t>
        </is>
      </c>
      <c r="C8" s="31" t="n">
        <v>25</v>
      </c>
      <c r="D8" s="32" t="n">
        <v>88</v>
      </c>
      <c r="E8" s="32" t="n">
        <v>24.6</v>
      </c>
      <c r="F8" s="73" t="n">
        <v>28.8</v>
      </c>
      <c r="G8" s="73" t="n">
        <v>-129.2</v>
      </c>
      <c r="H8" s="73" t="n">
        <v>8.6</v>
      </c>
    </row>
    <row r="9" ht="16.95" customHeight="1">
      <c r="A9" s="40" t="inlineStr">
        <is>
          <t>UNH</t>
        </is>
      </c>
      <c r="B9" s="13" t="inlineStr">
        <is>
          <t>UnitedHealth Group Incorporated</t>
        </is>
      </c>
      <c r="C9" s="36" t="n">
        <v>20</v>
      </c>
      <c r="D9" s="37" t="n">
        <v>23.7</v>
      </c>
      <c r="E9" s="37" t="n">
        <v>14.7</v>
      </c>
      <c r="F9" s="74" t="n">
        <v>5.2</v>
      </c>
      <c r="G9" s="74" t="n">
        <v>12.8</v>
      </c>
      <c r="H9" s="74" t="n">
        <v>11.8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</sheetData>
  <conditionalFormatting sqref="C4:C9">
    <cfRule type="colorScale" priority="1">
      <colorScale>
        <cfvo type="min"/>
        <cfvo type="num" val="50"/>
        <cfvo type="max"/>
        <color rgb="FFFF6347"/>
        <color rgb="FFFFD7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2026-04-12T14:38:18Z</dcterms:created>
  <dcterms:modified xmlns:dcterms="http://purl.org/dc/terms/" xmlns:xsi="http://www.w3.org/2001/XMLSchema-instance" xsi:type="dcterms:W3CDTF">2026-04-15T11:45:22Z</dcterms:modified>
  <cp:lastModifiedBy>Baptiste jeh</cp:lastModifiedBy>
</cp:coreProperties>
</file>